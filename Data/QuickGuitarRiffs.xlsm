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olid\Documents\HugeWall\QuickGuitarRiffs\Data\"/>
    </mc:Choice>
  </mc:AlternateContent>
  <bookViews>
    <workbookView xWindow="33600" yWindow="463" windowWidth="28800" windowHeight="17537" activeTab="2"/>
  </bookViews>
  <sheets>
    <sheet name="Helper" sheetId="2" r:id="rId1"/>
    <sheet name="Spread" sheetId="9" r:id="rId2"/>
    <sheet name="QuickGuitarRiffs" sheetId="1" r:id="rId3"/>
    <sheet name="T_DATABASE" sheetId="3" r:id="rId4"/>
  </sheets>
  <definedNames>
    <definedName name="_xlnm._FilterDatabase" localSheetId="2" hidden="1">QuickGuitarRiffs!$A$1:$O$333</definedName>
    <definedName name="helper">Helper!$E$3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3" l="1"/>
  <c r="D3" i="3"/>
  <c r="B3" i="1"/>
  <c r="P8" i="2"/>
  <c r="P7" i="2"/>
  <c r="J346" i="1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B5" i="9"/>
  <c r="F5" i="9"/>
  <c r="M5" i="9"/>
  <c r="C5" i="9"/>
  <c r="D5" i="9"/>
  <c r="E5" i="9"/>
  <c r="G5" i="9"/>
  <c r="H5" i="9"/>
  <c r="I5" i="9"/>
  <c r="L5" i="9"/>
  <c r="J5" i="9"/>
  <c r="K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B9" i="9"/>
  <c r="B8" i="9"/>
  <c r="B7" i="9"/>
  <c r="B6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K333" i="1"/>
  <c r="H333" i="1"/>
  <c r="C333" i="1"/>
  <c r="K332" i="1"/>
  <c r="H332" i="1"/>
  <c r="C332" i="1"/>
  <c r="K331" i="1"/>
  <c r="H331" i="1"/>
  <c r="C331" i="1"/>
  <c r="K330" i="1"/>
  <c r="H330" i="1"/>
  <c r="C330" i="1"/>
  <c r="K329" i="1"/>
  <c r="H329" i="1"/>
  <c r="C329" i="1"/>
  <c r="K328" i="1"/>
  <c r="H328" i="1"/>
  <c r="C328" i="1"/>
  <c r="K327" i="1"/>
  <c r="H327" i="1"/>
  <c r="C327" i="1"/>
  <c r="I346" i="1"/>
  <c r="K326" i="1"/>
  <c r="H326" i="1"/>
  <c r="C326" i="1"/>
  <c r="K325" i="1"/>
  <c r="H325" i="1"/>
  <c r="C325" i="1"/>
  <c r="K306" i="1"/>
  <c r="H306" i="1"/>
  <c r="C306" i="1"/>
  <c r="H27" i="2"/>
  <c r="K13" i="1"/>
  <c r="K26" i="2"/>
  <c r="O29" i="9"/>
  <c r="R29" i="9"/>
  <c r="N29" i="9"/>
  <c r="Q29" i="9"/>
  <c r="M29" i="9"/>
  <c r="P29" i="9"/>
  <c r="I29" i="9"/>
  <c r="E29" i="9"/>
  <c r="L29" i="9"/>
  <c r="J29" i="9"/>
  <c r="K29" i="9"/>
  <c r="I27" i="2"/>
  <c r="K324" i="1"/>
  <c r="H324" i="1"/>
  <c r="C324" i="1"/>
  <c r="K323" i="1"/>
  <c r="H323" i="1"/>
  <c r="C323" i="1"/>
  <c r="K322" i="1"/>
  <c r="H322" i="1"/>
  <c r="C322" i="1"/>
  <c r="K321" i="1"/>
  <c r="H321" i="1"/>
  <c r="C321" i="1"/>
  <c r="K320" i="1"/>
  <c r="H320" i="1"/>
  <c r="C320" i="1"/>
  <c r="K319" i="1"/>
  <c r="H319" i="1"/>
  <c r="C319" i="1"/>
  <c r="K318" i="1"/>
  <c r="H318" i="1"/>
  <c r="C318" i="1"/>
  <c r="K317" i="1"/>
  <c r="H317" i="1"/>
  <c r="C317" i="1"/>
  <c r="K316" i="1"/>
  <c r="H316" i="1"/>
  <c r="C316" i="1"/>
  <c r="K315" i="1"/>
  <c r="H315" i="1"/>
  <c r="C315" i="1"/>
  <c r="K314" i="1"/>
  <c r="H314" i="1"/>
  <c r="C314" i="1"/>
  <c r="K313" i="1"/>
  <c r="H313" i="1"/>
  <c r="C313" i="1"/>
  <c r="K312" i="1"/>
  <c r="H312" i="1"/>
  <c r="C312" i="1"/>
  <c r="K311" i="1"/>
  <c r="H311" i="1"/>
  <c r="C311" i="1"/>
  <c r="K310" i="1"/>
  <c r="H310" i="1"/>
  <c r="C310" i="1"/>
  <c r="K309" i="1"/>
  <c r="H309" i="1"/>
  <c r="C309" i="1"/>
  <c r="K308" i="1"/>
  <c r="H308" i="1"/>
  <c r="C308" i="1"/>
  <c r="K307" i="1"/>
  <c r="H307" i="1"/>
  <c r="C307" i="1"/>
  <c r="K305" i="1"/>
  <c r="H305" i="1"/>
  <c r="C305" i="1"/>
  <c r="K304" i="1"/>
  <c r="H304" i="1"/>
  <c r="C304" i="1"/>
  <c r="K303" i="1"/>
  <c r="H303" i="1"/>
  <c r="C303" i="1"/>
  <c r="K302" i="1"/>
  <c r="H302" i="1"/>
  <c r="C302" i="1"/>
  <c r="K301" i="1"/>
  <c r="H301" i="1"/>
  <c r="C301" i="1"/>
  <c r="K300" i="1"/>
  <c r="H300" i="1"/>
  <c r="C300" i="1"/>
  <c r="K299" i="1"/>
  <c r="H299" i="1"/>
  <c r="C299" i="1"/>
  <c r="K298" i="1"/>
  <c r="H298" i="1"/>
  <c r="C298" i="1"/>
  <c r="K297" i="1"/>
  <c r="H297" i="1"/>
  <c r="C297" i="1"/>
  <c r="K296" i="1"/>
  <c r="H296" i="1"/>
  <c r="C296" i="1"/>
  <c r="K295" i="1"/>
  <c r="H295" i="1"/>
  <c r="C295" i="1"/>
  <c r="K294" i="1"/>
  <c r="H294" i="1"/>
  <c r="C294" i="1"/>
  <c r="K293" i="1"/>
  <c r="H293" i="1"/>
  <c r="C293" i="1"/>
  <c r="K292" i="1"/>
  <c r="H292" i="1"/>
  <c r="C292" i="1"/>
  <c r="K291" i="1"/>
  <c r="H291" i="1"/>
  <c r="C291" i="1"/>
  <c r="K290" i="1"/>
  <c r="H290" i="1"/>
  <c r="C290" i="1"/>
  <c r="K289" i="1"/>
  <c r="H289" i="1"/>
  <c r="C289" i="1"/>
  <c r="K288" i="1"/>
  <c r="H288" i="1"/>
  <c r="C288" i="1"/>
  <c r="K287" i="1"/>
  <c r="H287" i="1"/>
  <c r="C287" i="1"/>
  <c r="K286" i="1"/>
  <c r="H286" i="1"/>
  <c r="C286" i="1"/>
  <c r="K285" i="1"/>
  <c r="H285" i="1"/>
  <c r="C285" i="1"/>
  <c r="K284" i="1"/>
  <c r="H284" i="1"/>
  <c r="C284" i="1"/>
  <c r="K283" i="1"/>
  <c r="H283" i="1"/>
  <c r="C283" i="1"/>
  <c r="K282" i="1"/>
  <c r="H282" i="1"/>
  <c r="C282" i="1"/>
  <c r="K281" i="1"/>
  <c r="H281" i="1"/>
  <c r="C281" i="1"/>
  <c r="K280" i="1"/>
  <c r="H280" i="1"/>
  <c r="C280" i="1"/>
  <c r="K279" i="1"/>
  <c r="H279" i="1"/>
  <c r="C279" i="1"/>
  <c r="K278" i="1"/>
  <c r="H278" i="1"/>
  <c r="C278" i="1"/>
  <c r="K277" i="1"/>
  <c r="H277" i="1"/>
  <c r="C277" i="1"/>
  <c r="K276" i="1"/>
  <c r="H276" i="1"/>
  <c r="C276" i="1"/>
  <c r="K275" i="1"/>
  <c r="H275" i="1"/>
  <c r="C275" i="1"/>
  <c r="K274" i="1"/>
  <c r="H274" i="1"/>
  <c r="C274" i="1"/>
  <c r="K273" i="1"/>
  <c r="H273" i="1"/>
  <c r="C273" i="1"/>
  <c r="K272" i="1"/>
  <c r="H272" i="1"/>
  <c r="C272" i="1"/>
  <c r="K271" i="1"/>
  <c r="H271" i="1"/>
  <c r="C271" i="1"/>
  <c r="K270" i="1"/>
  <c r="H270" i="1"/>
  <c r="C270" i="1"/>
  <c r="K269" i="1"/>
  <c r="H269" i="1"/>
  <c r="C269" i="1"/>
  <c r="K268" i="1"/>
  <c r="H268" i="1"/>
  <c r="C268" i="1"/>
  <c r="K267" i="1"/>
  <c r="H267" i="1"/>
  <c r="C267" i="1"/>
  <c r="K266" i="1"/>
  <c r="H266" i="1"/>
  <c r="C266" i="1"/>
  <c r="K265" i="1"/>
  <c r="H265" i="1"/>
  <c r="C265" i="1"/>
  <c r="K264" i="1"/>
  <c r="H264" i="1"/>
  <c r="C264" i="1"/>
  <c r="K263" i="1"/>
  <c r="H263" i="1"/>
  <c r="C263" i="1"/>
  <c r="K262" i="1"/>
  <c r="H262" i="1"/>
  <c r="C262" i="1"/>
  <c r="K261" i="1"/>
  <c r="H261" i="1"/>
  <c r="C261" i="1"/>
  <c r="K260" i="1"/>
  <c r="H260" i="1"/>
  <c r="C260" i="1"/>
  <c r="K259" i="1"/>
  <c r="H259" i="1"/>
  <c r="C259" i="1"/>
  <c r="K258" i="1"/>
  <c r="H258" i="1"/>
  <c r="C258" i="1"/>
  <c r="K257" i="1"/>
  <c r="H257" i="1"/>
  <c r="C257" i="1"/>
  <c r="K256" i="1"/>
  <c r="H256" i="1"/>
  <c r="C256" i="1"/>
  <c r="K255" i="1"/>
  <c r="H255" i="1"/>
  <c r="C255" i="1"/>
  <c r="K254" i="1"/>
  <c r="H254" i="1"/>
  <c r="C254" i="1"/>
  <c r="K253" i="1"/>
  <c r="H253" i="1"/>
  <c r="C253" i="1"/>
  <c r="K252" i="1"/>
  <c r="H252" i="1"/>
  <c r="C252" i="1"/>
  <c r="K251" i="1"/>
  <c r="H251" i="1"/>
  <c r="C251" i="1"/>
  <c r="K250" i="1"/>
  <c r="H250" i="1"/>
  <c r="C250" i="1"/>
  <c r="K249" i="1"/>
  <c r="H249" i="1"/>
  <c r="C249" i="1"/>
  <c r="K248" i="1"/>
  <c r="H248" i="1"/>
  <c r="C248" i="1"/>
  <c r="K247" i="1"/>
  <c r="H247" i="1"/>
  <c r="C247" i="1"/>
  <c r="K246" i="1"/>
  <c r="H246" i="1"/>
  <c r="C246" i="1"/>
  <c r="K245" i="1"/>
  <c r="H245" i="1"/>
  <c r="C245" i="1"/>
  <c r="K244" i="1"/>
  <c r="H244" i="1"/>
  <c r="C244" i="1"/>
  <c r="K243" i="1"/>
  <c r="H243" i="1"/>
  <c r="C243" i="1"/>
  <c r="K242" i="1"/>
  <c r="H242" i="1"/>
  <c r="C242" i="1"/>
  <c r="K241" i="1"/>
  <c r="H241" i="1"/>
  <c r="C241" i="1"/>
  <c r="K240" i="1"/>
  <c r="H240" i="1"/>
  <c r="C240" i="1"/>
  <c r="K239" i="1"/>
  <c r="H239" i="1"/>
  <c r="C239" i="1"/>
  <c r="K238" i="1"/>
  <c r="H238" i="1"/>
  <c r="C238" i="1"/>
  <c r="K237" i="1"/>
  <c r="H237" i="1"/>
  <c r="C237" i="1"/>
  <c r="K236" i="1"/>
  <c r="H236" i="1"/>
  <c r="C236" i="1"/>
  <c r="K235" i="1"/>
  <c r="H235" i="1"/>
  <c r="C235" i="1"/>
  <c r="K234" i="1"/>
  <c r="H234" i="1"/>
  <c r="C234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K4" i="1"/>
  <c r="K5" i="1"/>
  <c r="K6" i="1"/>
  <c r="K7" i="1"/>
  <c r="K8" i="1"/>
  <c r="K9" i="1"/>
  <c r="K10" i="1"/>
  <c r="K11" i="1"/>
  <c r="K12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O6" i="9"/>
  <c r="R6" i="9"/>
  <c r="O7" i="9"/>
  <c r="R7" i="9"/>
  <c r="O8" i="9"/>
  <c r="R8" i="9"/>
  <c r="O9" i="9"/>
  <c r="R9" i="9"/>
  <c r="O10" i="9"/>
  <c r="R10" i="9"/>
  <c r="O11" i="9"/>
  <c r="R11" i="9"/>
  <c r="O12" i="9"/>
  <c r="R12" i="9"/>
  <c r="O13" i="9"/>
  <c r="R13" i="9"/>
  <c r="O14" i="9"/>
  <c r="R14" i="9"/>
  <c r="O15" i="9"/>
  <c r="R15" i="9"/>
  <c r="O16" i="9"/>
  <c r="R16" i="9"/>
  <c r="O17" i="9"/>
  <c r="R17" i="9"/>
  <c r="O18" i="9"/>
  <c r="R18" i="9"/>
  <c r="O19" i="9"/>
  <c r="R19" i="9"/>
  <c r="O20" i="9"/>
  <c r="R20" i="9"/>
  <c r="O21" i="9"/>
  <c r="R21" i="9"/>
  <c r="O22" i="9"/>
  <c r="R22" i="9"/>
  <c r="O23" i="9"/>
  <c r="R23" i="9"/>
  <c r="O24" i="9"/>
  <c r="R24" i="9"/>
  <c r="O25" i="9"/>
  <c r="R25" i="9"/>
  <c r="O26" i="9"/>
  <c r="R26" i="9"/>
  <c r="O27" i="9"/>
  <c r="R27" i="9"/>
  <c r="O28" i="9"/>
  <c r="R28" i="9"/>
  <c r="O5" i="9"/>
  <c r="R5" i="9"/>
  <c r="N6" i="9"/>
  <c r="Q6" i="9"/>
  <c r="N7" i="9"/>
  <c r="Q7" i="9"/>
  <c r="N8" i="9"/>
  <c r="Q8" i="9"/>
  <c r="N9" i="9"/>
  <c r="Q9" i="9"/>
  <c r="N10" i="9"/>
  <c r="Q10" i="9"/>
  <c r="N11" i="9"/>
  <c r="Q11" i="9"/>
  <c r="N12" i="9"/>
  <c r="Q12" i="9"/>
  <c r="N13" i="9"/>
  <c r="Q13" i="9"/>
  <c r="N14" i="9"/>
  <c r="Q14" i="9"/>
  <c r="N15" i="9"/>
  <c r="Q15" i="9"/>
  <c r="N16" i="9"/>
  <c r="Q16" i="9"/>
  <c r="N17" i="9"/>
  <c r="Q17" i="9"/>
  <c r="N18" i="9"/>
  <c r="Q18" i="9"/>
  <c r="N19" i="9"/>
  <c r="Q19" i="9"/>
  <c r="N20" i="9"/>
  <c r="Q20" i="9"/>
  <c r="N21" i="9"/>
  <c r="Q21" i="9"/>
  <c r="N22" i="9"/>
  <c r="Q22" i="9"/>
  <c r="N23" i="9"/>
  <c r="Q23" i="9"/>
  <c r="N24" i="9"/>
  <c r="Q24" i="9"/>
  <c r="N25" i="9"/>
  <c r="Q25" i="9"/>
  <c r="N26" i="9"/>
  <c r="Q26" i="9"/>
  <c r="N27" i="9"/>
  <c r="Q27" i="9"/>
  <c r="N28" i="9"/>
  <c r="Q28" i="9"/>
  <c r="N5" i="9"/>
  <c r="Q5" i="9"/>
  <c r="M6" i="9"/>
  <c r="P6" i="9"/>
  <c r="M7" i="9"/>
  <c r="P7" i="9"/>
  <c r="M8" i="9"/>
  <c r="P8" i="9"/>
  <c r="M9" i="9"/>
  <c r="P9" i="9"/>
  <c r="M10" i="9"/>
  <c r="P10" i="9"/>
  <c r="M11" i="9"/>
  <c r="P11" i="9"/>
  <c r="M12" i="9"/>
  <c r="P12" i="9"/>
  <c r="M13" i="9"/>
  <c r="P13" i="9"/>
  <c r="M14" i="9"/>
  <c r="P14" i="9"/>
  <c r="M15" i="9"/>
  <c r="P15" i="9"/>
  <c r="M16" i="9"/>
  <c r="P16" i="9"/>
  <c r="M17" i="9"/>
  <c r="P17" i="9"/>
  <c r="M18" i="9"/>
  <c r="P18" i="9"/>
  <c r="M19" i="9"/>
  <c r="P19" i="9"/>
  <c r="M20" i="9"/>
  <c r="P20" i="9"/>
  <c r="M21" i="9"/>
  <c r="P21" i="9"/>
  <c r="M22" i="9"/>
  <c r="P22" i="9"/>
  <c r="M23" i="9"/>
  <c r="P23" i="9"/>
  <c r="M24" i="9"/>
  <c r="P24" i="9"/>
  <c r="M25" i="9"/>
  <c r="P25" i="9"/>
  <c r="M26" i="9"/>
  <c r="P26" i="9"/>
  <c r="M27" i="9"/>
  <c r="P27" i="9"/>
  <c r="M28" i="9"/>
  <c r="P28" i="9"/>
  <c r="P5" i="9"/>
  <c r="I6" i="9"/>
  <c r="E6" i="9"/>
  <c r="L6" i="9"/>
  <c r="I7" i="9"/>
  <c r="E7" i="9"/>
  <c r="L7" i="9"/>
  <c r="I8" i="9"/>
  <c r="E8" i="9"/>
  <c r="L8" i="9"/>
  <c r="I9" i="9"/>
  <c r="E9" i="9"/>
  <c r="L9" i="9"/>
  <c r="I10" i="9"/>
  <c r="L10" i="9"/>
  <c r="I11" i="9"/>
  <c r="E11" i="9"/>
  <c r="L11" i="9"/>
  <c r="I12" i="9"/>
  <c r="E12" i="9"/>
  <c r="L12" i="9"/>
  <c r="I13" i="9"/>
  <c r="E13" i="9"/>
  <c r="L13" i="9"/>
  <c r="I14" i="9"/>
  <c r="E14" i="9"/>
  <c r="L14" i="9"/>
  <c r="I15" i="9"/>
  <c r="E15" i="9"/>
  <c r="L15" i="9"/>
  <c r="I16" i="9"/>
  <c r="E16" i="9"/>
  <c r="L16" i="9"/>
  <c r="I17" i="9"/>
  <c r="E17" i="9"/>
  <c r="L17" i="9"/>
  <c r="I18" i="9"/>
  <c r="E18" i="9"/>
  <c r="L18" i="9"/>
  <c r="I19" i="9"/>
  <c r="E19" i="9"/>
  <c r="L19" i="9"/>
  <c r="I20" i="9"/>
  <c r="E20" i="9"/>
  <c r="L20" i="9"/>
  <c r="I21" i="9"/>
  <c r="E21" i="9"/>
  <c r="L21" i="9"/>
  <c r="I22" i="9"/>
  <c r="E22" i="9"/>
  <c r="L22" i="9"/>
  <c r="I23" i="9"/>
  <c r="E23" i="9"/>
  <c r="L23" i="9"/>
  <c r="I24" i="9"/>
  <c r="E24" i="9"/>
  <c r="L24" i="9"/>
  <c r="I25" i="9"/>
  <c r="E25" i="9"/>
  <c r="L25" i="9"/>
  <c r="I26" i="9"/>
  <c r="E26" i="9"/>
  <c r="L26" i="9"/>
  <c r="I27" i="9"/>
  <c r="E27" i="9"/>
  <c r="L27" i="9"/>
  <c r="I28" i="9"/>
  <c r="E28" i="9"/>
  <c r="L28" i="9"/>
  <c r="J6" i="9"/>
  <c r="K6" i="9"/>
  <c r="J7" i="9"/>
  <c r="K7" i="9"/>
  <c r="J8" i="9"/>
  <c r="K8" i="9"/>
  <c r="J9" i="9"/>
  <c r="K9" i="9"/>
  <c r="E10" i="9"/>
  <c r="J10" i="9"/>
  <c r="K10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J19" i="9"/>
  <c r="K19" i="9"/>
  <c r="J20" i="9"/>
  <c r="K20" i="9"/>
  <c r="J21" i="9"/>
  <c r="K21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1" i="9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M3" i="1"/>
  <c r="J3" i="3"/>
  <c r="N3" i="1"/>
  <c r="K3" i="3"/>
  <c r="J4" i="3"/>
  <c r="K4" i="3"/>
  <c r="O3" i="1"/>
  <c r="L3" i="1"/>
  <c r="K3" i="1"/>
  <c r="J3" i="1"/>
  <c r="I3" i="1"/>
  <c r="H3" i="1"/>
  <c r="G3" i="1"/>
  <c r="F3" i="1"/>
  <c r="E3" i="1"/>
  <c r="D3" i="1"/>
  <c r="C3" i="1"/>
  <c r="A3" i="1"/>
  <c r="E3" i="3"/>
  <c r="B3" i="3"/>
  <c r="C3" i="3"/>
  <c r="G3" i="3"/>
  <c r="I3" i="3"/>
  <c r="L3" i="3"/>
  <c r="A3" i="3"/>
  <c r="E4" i="3"/>
  <c r="C4" i="3"/>
  <c r="L4" i="3"/>
  <c r="A4" i="3"/>
  <c r="B4" i="3"/>
  <c r="I4" i="3"/>
  <c r="G4" i="3"/>
  <c r="H3" i="3"/>
  <c r="F3" i="3"/>
  <c r="F4" i="3"/>
  <c r="H4" i="3"/>
  <c r="A1" i="3"/>
</calcChain>
</file>

<file path=xl/sharedStrings.xml><?xml version="1.0" encoding="utf-8"?>
<sst xmlns="http://schemas.openxmlformats.org/spreadsheetml/2006/main" count="2823" uniqueCount="1591">
  <si>
    <t>RID</t>
  </si>
  <si>
    <t>Difficulty</t>
  </si>
  <si>
    <t>Artist</t>
  </si>
  <si>
    <t>Song</t>
  </si>
  <si>
    <t>Genre</t>
  </si>
  <si>
    <t>Color</t>
  </si>
  <si>
    <t>Name</t>
  </si>
  <si>
    <t>Youtube Link</t>
  </si>
  <si>
    <t>Key</t>
  </si>
  <si>
    <t>Tuning</t>
  </si>
  <si>
    <t>Hard Rock</t>
  </si>
  <si>
    <t>Rock</t>
  </si>
  <si>
    <t>Latin Rock</t>
  </si>
  <si>
    <t>Alt Rock</t>
  </si>
  <si>
    <t>Rock N Roll</t>
  </si>
  <si>
    <t>Heavy Metal</t>
  </si>
  <si>
    <t>Alt Metal</t>
  </si>
  <si>
    <t>Grunge</t>
  </si>
  <si>
    <t>Neo Classical</t>
  </si>
  <si>
    <t>Progressive</t>
  </si>
  <si>
    <t>Glam Rock</t>
  </si>
  <si>
    <t>Blues Rock</t>
  </si>
  <si>
    <t>Soft Rock</t>
  </si>
  <si>
    <t>Classic Rock</t>
  </si>
  <si>
    <t>Southern Rock</t>
  </si>
  <si>
    <t>Thrash Metal</t>
  </si>
  <si>
    <t>Surf Rock</t>
  </si>
  <si>
    <t>Punk Rock</t>
  </si>
  <si>
    <t>New Wave</t>
  </si>
  <si>
    <t>Pop Rock</t>
  </si>
  <si>
    <t>Genre Color Code</t>
  </si>
  <si>
    <t>Beginner</t>
  </si>
  <si>
    <t>Intermediate</t>
  </si>
  <si>
    <t>Advanced</t>
  </si>
  <si>
    <t>AC/DC</t>
  </si>
  <si>
    <t>Avenged Sevenfold</t>
  </si>
  <si>
    <t>Black Sabbath</t>
  </si>
  <si>
    <t>Canon Rock</t>
  </si>
  <si>
    <t>Aerosmith</t>
  </si>
  <si>
    <t>Alice In Chains</t>
  </si>
  <si>
    <t>Blur</t>
  </si>
  <si>
    <t>Guns N Roses</t>
  </si>
  <si>
    <t>Jimi Hendrix</t>
  </si>
  <si>
    <t>Kansas</t>
  </si>
  <si>
    <t>Welcome To The Jungle</t>
  </si>
  <si>
    <t>Purple Haze</t>
  </si>
  <si>
    <t>Foxy Lady</t>
  </si>
  <si>
    <t>Dust in the Wind</t>
  </si>
  <si>
    <t>Thunderstruck</t>
  </si>
  <si>
    <t>Unholy Confessions</t>
  </si>
  <si>
    <t>Afterlife</t>
  </si>
  <si>
    <t>Iron Man</t>
  </si>
  <si>
    <t>Jerry C (Pachelbel)</t>
  </si>
  <si>
    <t>Highway to Hell</t>
  </si>
  <si>
    <t>Man In the Box</t>
  </si>
  <si>
    <t>Paranoid</t>
  </si>
  <si>
    <t>Song 2</t>
  </si>
  <si>
    <t>ID</t>
  </si>
  <si>
    <t>Text</t>
  </si>
  <si>
    <t>Am</t>
  </si>
  <si>
    <t>B</t>
  </si>
  <si>
    <t>C</t>
  </si>
  <si>
    <t>Dm</t>
  </si>
  <si>
    <t>E</t>
  </si>
  <si>
    <t>F</t>
  </si>
  <si>
    <t>G</t>
  </si>
  <si>
    <t>Bm</t>
  </si>
  <si>
    <t>Cm</t>
  </si>
  <si>
    <t>Ab</t>
  </si>
  <si>
    <t>D#m</t>
  </si>
  <si>
    <t>F#</t>
  </si>
  <si>
    <t>Tab</t>
  </si>
  <si>
    <t>fjwWjx7Cw8I</t>
  </si>
  <si>
    <t>QuickGuitarRiffs</t>
  </si>
  <si>
    <t>#FFFFCC</t>
  </si>
  <si>
    <t>Locked</t>
  </si>
  <si>
    <t>Standard</t>
  </si>
  <si>
    <t>Drop D</t>
  </si>
  <si>
    <t>Muse</t>
  </si>
  <si>
    <t>Supermassive Black Hole</t>
  </si>
  <si>
    <t>Hysteria</t>
  </si>
  <si>
    <t>Coldplay</t>
  </si>
  <si>
    <t>Fix You</t>
  </si>
  <si>
    <t>Diff</t>
  </si>
  <si>
    <t>Arctic Monkeys</t>
  </si>
  <si>
    <t>Do I Wanna Know?</t>
  </si>
  <si>
    <t>Dancing Shoes</t>
  </si>
  <si>
    <t>Who Knows</t>
  </si>
  <si>
    <t>Foo Fighters</t>
  </si>
  <si>
    <t>All My Life</t>
  </si>
  <si>
    <t>Red Hot Chili Peppers</t>
  </si>
  <si>
    <t>Suck My Kiss</t>
  </si>
  <si>
    <t>Dani California</t>
  </si>
  <si>
    <t>The Beatles</t>
  </si>
  <si>
    <t>Twist &amp; Shout</t>
  </si>
  <si>
    <t>What You're Doing</t>
  </si>
  <si>
    <t>Paperback Writer</t>
  </si>
  <si>
    <t>Dizzy Miss Lizzy</t>
  </si>
  <si>
    <t>Come Together</t>
  </si>
  <si>
    <t>Van Halen</t>
  </si>
  <si>
    <t>Unchained</t>
  </si>
  <si>
    <t>Electric Funeral</t>
  </si>
  <si>
    <t>Pink Floyd</t>
  </si>
  <si>
    <t>Same Old Song and Dance</t>
  </si>
  <si>
    <t>Sweet Emotion</t>
  </si>
  <si>
    <t>Fall Out Boy</t>
  </si>
  <si>
    <t>Thriller</t>
  </si>
  <si>
    <t>Dance Dance</t>
  </si>
  <si>
    <t>Panic! At The Disco</t>
  </si>
  <si>
    <t>Victorious</t>
  </si>
  <si>
    <t>Paramore</t>
  </si>
  <si>
    <t>Still Into You</t>
  </si>
  <si>
    <t>Green Day</t>
  </si>
  <si>
    <t>Holiday</t>
  </si>
  <si>
    <t>Hitching A Ride</t>
  </si>
  <si>
    <t>American Idiot</t>
  </si>
  <si>
    <t>Dream Theater</t>
  </si>
  <si>
    <t>Home</t>
  </si>
  <si>
    <t>U2</t>
  </si>
  <si>
    <t>Until The End of the World</t>
  </si>
  <si>
    <t>Sunday Bloody Sunday</t>
  </si>
  <si>
    <t>Kiss</t>
  </si>
  <si>
    <t>Detroit Rock City</t>
  </si>
  <si>
    <t>Pearl Jam</t>
  </si>
  <si>
    <t>Jeremy</t>
  </si>
  <si>
    <t>REM</t>
  </si>
  <si>
    <t>Losing My Religion</t>
  </si>
  <si>
    <t>Led Zeppelin</t>
  </si>
  <si>
    <t>Moby Dick</t>
  </si>
  <si>
    <t>Rise Against</t>
  </si>
  <si>
    <t>Savior</t>
  </si>
  <si>
    <t>Re-Education (Through Labor)</t>
  </si>
  <si>
    <t>Royal Blood</t>
  </si>
  <si>
    <t>Out of The Black</t>
  </si>
  <si>
    <t>ZZ Top</t>
  </si>
  <si>
    <t>My Head's In Mississippi</t>
  </si>
  <si>
    <t>Cream</t>
  </si>
  <si>
    <t>Sunshine Of Your Love</t>
  </si>
  <si>
    <t>Santana</t>
  </si>
  <si>
    <t>Maria Maria</t>
  </si>
  <si>
    <t>David Bowie</t>
  </si>
  <si>
    <t>The Man Who Sold The World</t>
  </si>
  <si>
    <t>Queens of The Stone Age</t>
  </si>
  <si>
    <t>No One Knows</t>
  </si>
  <si>
    <t>Rammstein</t>
  </si>
  <si>
    <t>Du Hast</t>
  </si>
  <si>
    <t>Radiohead</t>
  </si>
  <si>
    <t>My Iron Lung</t>
  </si>
  <si>
    <t>Linkin Park</t>
  </si>
  <si>
    <t>One Step Closer</t>
  </si>
  <si>
    <t>Faint</t>
  </si>
  <si>
    <t>Audioslave</t>
  </si>
  <si>
    <t>Cochise</t>
  </si>
  <si>
    <t>Yellow</t>
  </si>
  <si>
    <t>In My Place</t>
  </si>
  <si>
    <t>Maroon 5</t>
  </si>
  <si>
    <t>This Love</t>
  </si>
  <si>
    <t>Misery</t>
  </si>
  <si>
    <t>Yellow Ledbetter</t>
  </si>
  <si>
    <t>Alive</t>
  </si>
  <si>
    <t>Black Dog</t>
  </si>
  <si>
    <t>Loose Change</t>
  </si>
  <si>
    <t>Psycho</t>
  </si>
  <si>
    <t>I Bet You Look Good On The Dance Floor</t>
  </si>
  <si>
    <t>R U Mine?</t>
  </si>
  <si>
    <t>You Could Be Mine</t>
  </si>
  <si>
    <t>Paradise City</t>
  </si>
  <si>
    <t>All Along The Watchtower</t>
  </si>
  <si>
    <t>Voodoo Child</t>
  </si>
  <si>
    <t>The Pretender</t>
  </si>
  <si>
    <t>Can't Stop</t>
  </si>
  <si>
    <t>Rush</t>
  </si>
  <si>
    <t>Lord of This World</t>
  </si>
  <si>
    <t>Heaven and Hell</t>
  </si>
  <si>
    <t>Young Lust</t>
  </si>
  <si>
    <t>The Allman Brothers Band</t>
  </si>
  <si>
    <t>Jessica</t>
  </si>
  <si>
    <t>Soulshine</t>
  </si>
  <si>
    <t>The Smiths</t>
  </si>
  <si>
    <t>Girl Afraid</t>
  </si>
  <si>
    <t>Misery Business</t>
  </si>
  <si>
    <t>Disturbed</t>
  </si>
  <si>
    <t>Down With The Sickness</t>
  </si>
  <si>
    <t>Guarded</t>
  </si>
  <si>
    <t>Constant Motion</t>
  </si>
  <si>
    <t>Vertigo</t>
  </si>
  <si>
    <t>Deep Purple</t>
  </si>
  <si>
    <t>Stormbringer</t>
  </si>
  <si>
    <t>Speed King</t>
  </si>
  <si>
    <t>Deuce</t>
  </si>
  <si>
    <t>Whole Lotta Love</t>
  </si>
  <si>
    <t>Sick, Sick, Sick</t>
  </si>
  <si>
    <t>Engel</t>
  </si>
  <si>
    <t>Paranoid Android</t>
  </si>
  <si>
    <t>System of A Down</t>
  </si>
  <si>
    <t>Chop Suey</t>
  </si>
  <si>
    <t>Papercut</t>
  </si>
  <si>
    <t>Adventure Of A Lifetime</t>
  </si>
  <si>
    <t>Something Just Like This</t>
  </si>
  <si>
    <t>Clocks</t>
  </si>
  <si>
    <t>Mr Brownstone</t>
  </si>
  <si>
    <t>I'm The One</t>
  </si>
  <si>
    <t>Panama</t>
  </si>
  <si>
    <t>Hot For Teacher</t>
  </si>
  <si>
    <t>The Spirit of The Radio</t>
  </si>
  <si>
    <t>Just Stop</t>
  </si>
  <si>
    <t>Stricken</t>
  </si>
  <si>
    <t>Indestructible</t>
  </si>
  <si>
    <t>The Killers</t>
  </si>
  <si>
    <t>Mr Brightside</t>
  </si>
  <si>
    <t>Stevie Ray Vaughan</t>
  </si>
  <si>
    <t>Pride and Joy</t>
  </si>
  <si>
    <t>Lenny</t>
  </si>
  <si>
    <t>Heard It On The X</t>
  </si>
  <si>
    <t>Slipknot</t>
  </si>
  <si>
    <t>Psychosocial</t>
  </si>
  <si>
    <t>Vicinity of Obscenity</t>
  </si>
  <si>
    <t>Layla</t>
  </si>
  <si>
    <t>Smoke On The Water</t>
  </si>
  <si>
    <t>You Shook Me All Night Long</t>
  </si>
  <si>
    <t>La Grange</t>
  </si>
  <si>
    <t>FREE</t>
  </si>
  <si>
    <t>Toto</t>
  </si>
  <si>
    <t>Hold The Line</t>
  </si>
  <si>
    <t>The Rolling Stones</t>
  </si>
  <si>
    <t>(I Can't Get No) Satisfaction</t>
  </si>
  <si>
    <t>Michael Jackson</t>
  </si>
  <si>
    <t>Beat It</t>
  </si>
  <si>
    <t>Back In Black</t>
  </si>
  <si>
    <t>SteppenWolf</t>
  </si>
  <si>
    <t>Born To Be Wild</t>
  </si>
  <si>
    <t>Day Tripper</t>
  </si>
  <si>
    <t>Nirvana</t>
  </si>
  <si>
    <t>Smells Like Teen Spirit</t>
  </si>
  <si>
    <t>Jump</t>
  </si>
  <si>
    <t>Survivor</t>
  </si>
  <si>
    <t>Eye of the Tiger</t>
  </si>
  <si>
    <t>Eric Clapton</t>
  </si>
  <si>
    <t>Wonderful Tonight</t>
  </si>
  <si>
    <t>The One I Love</t>
  </si>
  <si>
    <t>Billie Jean</t>
  </si>
  <si>
    <t>Sweet Dreams</t>
  </si>
  <si>
    <t>The White Stripes</t>
  </si>
  <si>
    <t>Seven Nation Army</t>
  </si>
  <si>
    <t>Cocaine</t>
  </si>
  <si>
    <t>Scorpions</t>
  </si>
  <si>
    <t>Rock You Like A Hurricane</t>
  </si>
  <si>
    <t>Dio</t>
  </si>
  <si>
    <t>Rainbow In The Dark</t>
  </si>
  <si>
    <t>Carlos Santana</t>
  </si>
  <si>
    <t>Smooth</t>
  </si>
  <si>
    <t>Californication</t>
  </si>
  <si>
    <t>Creedence Clearwater Revival</t>
  </si>
  <si>
    <t>Fortunate Son</t>
  </si>
  <si>
    <t>Megadeth</t>
  </si>
  <si>
    <t>Symphony of Destruction</t>
  </si>
  <si>
    <t>Tom Sawyer</t>
  </si>
  <si>
    <t>Journey</t>
  </si>
  <si>
    <t>Don't Stop Believing</t>
  </si>
  <si>
    <t>Elvis Presley</t>
  </si>
  <si>
    <t>Jailhouse Rock</t>
  </si>
  <si>
    <t>Queen</t>
  </si>
  <si>
    <t>Another One Bites The Dust</t>
  </si>
  <si>
    <t>Incubus</t>
  </si>
  <si>
    <t>Drive</t>
  </si>
  <si>
    <t>Joan Jett</t>
  </si>
  <si>
    <t>I Love Rock and Roll</t>
  </si>
  <si>
    <t>Slayer</t>
  </si>
  <si>
    <t>Raining Blood</t>
  </si>
  <si>
    <t>Pantera</t>
  </si>
  <si>
    <t>Mouth for War</t>
  </si>
  <si>
    <t>Metallica</t>
  </si>
  <si>
    <t>Enter Sandman</t>
  </si>
  <si>
    <t>Walk This Way</t>
  </si>
  <si>
    <t>Come As You Are</t>
  </si>
  <si>
    <t>Heartbreaker</t>
  </si>
  <si>
    <t>Rainbow</t>
  </si>
  <si>
    <t>Man On The Silver Mountain</t>
  </si>
  <si>
    <t>Rebel Rebel</t>
  </si>
  <si>
    <t>Everlong</t>
  </si>
  <si>
    <t>Uprising</t>
  </si>
  <si>
    <t>Dire Straits</t>
  </si>
  <si>
    <t>Money For Nothing</t>
  </si>
  <si>
    <t>Tie Your Mother Down</t>
  </si>
  <si>
    <t>Lynyrd Skynyrd</t>
  </si>
  <si>
    <t>Sweet Home Alabama</t>
  </si>
  <si>
    <t>Still Loving You</t>
  </si>
  <si>
    <t>Ain't Talking 'Bout Love</t>
  </si>
  <si>
    <t>The Police</t>
  </si>
  <si>
    <t>Every Breath You Take</t>
  </si>
  <si>
    <t>Learn To Fly</t>
  </si>
  <si>
    <t>Money</t>
  </si>
  <si>
    <t>Ah-ha</t>
  </si>
  <si>
    <t>Take On Me</t>
  </si>
  <si>
    <t>Scar Tissue</t>
  </si>
  <si>
    <t>Hells Bells</t>
  </si>
  <si>
    <t>The Animals</t>
  </si>
  <si>
    <t>House of the Rising Sun</t>
  </si>
  <si>
    <t>Seek and Destroy</t>
  </si>
  <si>
    <t>Motorhead</t>
  </si>
  <si>
    <t>Ace of Spades</t>
  </si>
  <si>
    <t>Blue Oyster Cult</t>
  </si>
  <si>
    <t>Don't Fear The Reaper</t>
  </si>
  <si>
    <t>Fade To Black</t>
  </si>
  <si>
    <t>Tears In Heaven</t>
  </si>
  <si>
    <t>Europe</t>
  </si>
  <si>
    <t>Final Countdown</t>
  </si>
  <si>
    <t>The Offspring</t>
  </si>
  <si>
    <t>Knocking on Heavens Door</t>
  </si>
  <si>
    <t>Lenny Kravitz</t>
  </si>
  <si>
    <t>Are You Gonna Go My Way</t>
  </si>
  <si>
    <t>Roy Orbison</t>
  </si>
  <si>
    <t>Pretty Woman</t>
  </si>
  <si>
    <t>Mr Big</t>
  </si>
  <si>
    <t>To Be With You</t>
  </si>
  <si>
    <t>Pat Benetar</t>
  </si>
  <si>
    <t>Hit Me With Your Best Shot</t>
  </si>
  <si>
    <t>Dream On</t>
  </si>
  <si>
    <t>The Eagles</t>
  </si>
  <si>
    <t>Life In the Fast Lane</t>
  </si>
  <si>
    <t>Opeth</t>
  </si>
  <si>
    <t>Bleak</t>
  </si>
  <si>
    <t>Plug In Baby</t>
  </si>
  <si>
    <t>Ted Nugent</t>
  </si>
  <si>
    <t>Cat Scratch Fever</t>
  </si>
  <si>
    <t>Ziggy Stardust</t>
  </si>
  <si>
    <t>Run Through the Jungle</t>
  </si>
  <si>
    <t>The Cult</t>
  </si>
  <si>
    <t>She Sells Sanctuary</t>
  </si>
  <si>
    <t>ABBA</t>
  </si>
  <si>
    <t>Gimme Gimme Gimme</t>
  </si>
  <si>
    <t>Under The Bridge</t>
  </si>
  <si>
    <t>Rage of The Machine</t>
  </si>
  <si>
    <t>Killing In The Name of</t>
  </si>
  <si>
    <t>Kashmir</t>
  </si>
  <si>
    <t>Bon Jovi</t>
  </si>
  <si>
    <t>Wanted Dead or Alive</t>
  </si>
  <si>
    <t>Hotel California</t>
  </si>
  <si>
    <t>Give It Away</t>
  </si>
  <si>
    <t>Even Flow</t>
  </si>
  <si>
    <t>Ozzy Osbourne</t>
  </si>
  <si>
    <t>Crazy Train</t>
  </si>
  <si>
    <t>Message In A Bottle</t>
  </si>
  <si>
    <t>Stairway To Heaven</t>
  </si>
  <si>
    <t>Ritchie Valen</t>
  </si>
  <si>
    <t>La Bamba</t>
  </si>
  <si>
    <t>Carry On My Wayward Son</t>
  </si>
  <si>
    <t>Master of Puppets</t>
  </si>
  <si>
    <t>Cemetry Gates</t>
  </si>
  <si>
    <t>Nothing Else Matters</t>
  </si>
  <si>
    <t>Jehthro Tull</t>
  </si>
  <si>
    <t>Aqualung</t>
  </si>
  <si>
    <t>Iron Maiden</t>
  </si>
  <si>
    <t>Fear of the Dark</t>
  </si>
  <si>
    <t>YYZ</t>
  </si>
  <si>
    <t>Samba Pa Ti</t>
  </si>
  <si>
    <t>Dick Dale</t>
  </si>
  <si>
    <t>Miserlou</t>
  </si>
  <si>
    <t>Neil Zaza</t>
  </si>
  <si>
    <t>I'm Alright</t>
  </si>
  <si>
    <t>Chuck Berry</t>
  </si>
  <si>
    <t>Johhny B Goode</t>
  </si>
  <si>
    <t>Coheed and Cambria</t>
  </si>
  <si>
    <t>Welcome Home</t>
  </si>
  <si>
    <t>John Petrucii</t>
  </si>
  <si>
    <t>Glasgow Kiss</t>
  </si>
  <si>
    <t>The Trooper</t>
  </si>
  <si>
    <t>The Doors</t>
  </si>
  <si>
    <t>Light My Fire</t>
  </si>
  <si>
    <t>Snow</t>
  </si>
  <si>
    <t>Stockholm Syndrome</t>
  </si>
  <si>
    <t>Dance</t>
  </si>
  <si>
    <t>Disco</t>
  </si>
  <si>
    <t>Psychedellic Rock</t>
  </si>
  <si>
    <t>Synth Pop</t>
  </si>
  <si>
    <t>Beg</t>
  </si>
  <si>
    <t>Int</t>
  </si>
  <si>
    <t>Adv</t>
  </si>
  <si>
    <t>6M4_Ommfvv0</t>
  </si>
  <si>
    <t>vjVkXlxsO8Q</t>
  </si>
  <si>
    <t>x2rQzv8OWEY</t>
  </si>
  <si>
    <t>t6omUxqhG78</t>
  </si>
  <si>
    <t>RFiexmXEccE</t>
  </si>
  <si>
    <t>Nightrain</t>
  </si>
  <si>
    <t>pK7egZaT3hs</t>
  </si>
  <si>
    <t>auLBLk4ibAk</t>
  </si>
  <si>
    <t>oRdxUFDoQe0</t>
  </si>
  <si>
    <t>Slash</t>
  </si>
  <si>
    <t>G8sdsW93ThQ</t>
  </si>
  <si>
    <t>pWB5JZRGl0U</t>
  </si>
  <si>
    <t>4tcXblWojdM</t>
  </si>
  <si>
    <t>kfjXp4KTTY8</t>
  </si>
  <si>
    <t>Lo2qQmj0_h4</t>
  </si>
  <si>
    <t>nrIPxlFzDi0</t>
  </si>
  <si>
    <t>A</t>
  </si>
  <si>
    <t>Dragonforce</t>
  </si>
  <si>
    <t>Through the Fire and Flames</t>
  </si>
  <si>
    <t>0jgrCKhxE1s</t>
  </si>
  <si>
    <t>zUwEIt9ez7M</t>
  </si>
  <si>
    <t>Vppbdf-qtGU</t>
  </si>
  <si>
    <t>All Right Now</t>
  </si>
  <si>
    <t>bpLv4M4paSI</t>
  </si>
  <si>
    <t>htgr3pvBr-I</t>
  </si>
  <si>
    <t>pAgnJDJN4VA</t>
  </si>
  <si>
    <t>rMbATaj7Il8</t>
  </si>
  <si>
    <t>R1TLj9-jdLs</t>
  </si>
  <si>
    <t>SwYN7mTi6HM</t>
  </si>
  <si>
    <t>btPJPFnesV4</t>
  </si>
  <si>
    <t>vUSzL2leaFM</t>
  </si>
  <si>
    <t>hkXHsK4AQPs</t>
  </si>
  <si>
    <t>j7oQEPfe-O8</t>
  </si>
  <si>
    <t>Zi_XLOBDo_Y</t>
  </si>
  <si>
    <t>Eurythmics</t>
  </si>
  <si>
    <t>qeMFqkcPYcg</t>
  </si>
  <si>
    <t>0J2QdDbelmY</t>
  </si>
  <si>
    <t>fdDhV45lYHU</t>
  </si>
  <si>
    <t>UCxgbOBVSfM</t>
  </si>
  <si>
    <t>l482T0yNkeo</t>
  </si>
  <si>
    <t>zcsE9ObDPxA</t>
  </si>
  <si>
    <t>6Whgn_iE5uc</t>
  </si>
  <si>
    <t>40JmEj0_aVM</t>
  </si>
  <si>
    <t>1k8craCGpgs</t>
  </si>
  <si>
    <t>gj0Rz-uP4Mk</t>
  </si>
  <si>
    <t>rY0WxgSXdEE</t>
  </si>
  <si>
    <t>fgT9zGkiLig</t>
  </si>
  <si>
    <t>cbyswHABG3Q?t=41s</t>
  </si>
  <si>
    <t>a3JSbOt7CLo</t>
  </si>
  <si>
    <t>CD-E-LDc384</t>
  </si>
  <si>
    <t>4c8O2n1Gfto</t>
  </si>
  <si>
    <t>TAqZb52sgpU</t>
  </si>
  <si>
    <t>SSbBvKaM6sk</t>
  </si>
  <si>
    <t>vabnZ9-ex7o</t>
  </si>
  <si>
    <t>EUFGJvYlPFk</t>
  </si>
  <si>
    <t>p9nfVrusSMg</t>
  </si>
  <si>
    <t>eF551z9KlA8</t>
  </si>
  <si>
    <t>eBG7P-K-r1Y</t>
  </si>
  <si>
    <t>w8KQmps-Sog</t>
  </si>
  <si>
    <t>wTP2RUD_cL0</t>
  </si>
  <si>
    <t>LvB2MnIIdMw</t>
  </si>
  <si>
    <t>1w7OgIMMRc4</t>
  </si>
  <si>
    <t>6GxWmSVv-cY</t>
  </si>
  <si>
    <t>OT2bxfGC4UA</t>
  </si>
  <si>
    <t>Y-IUB62zDlA</t>
  </si>
  <si>
    <t>OMOGaugKpzs</t>
  </si>
  <si>
    <t>1VQ_3sBZEm0</t>
  </si>
  <si>
    <t>-0kcet4aPpQ</t>
  </si>
  <si>
    <t>djV11Xbc914</t>
  </si>
  <si>
    <t>mzJj5-lubeM</t>
  </si>
  <si>
    <t>etAIpkdhU9Q</t>
  </si>
  <si>
    <t>0sB3Fjw3Uvc</t>
  </si>
  <si>
    <t>5y_x8UbU2h8?t=19s</t>
  </si>
  <si>
    <t>Dy4HA3vUv2c</t>
  </si>
  <si>
    <t>A-4K4SX0m70?t=36s</t>
  </si>
  <si>
    <t>K5jvUXij7nU</t>
  </si>
  <si>
    <t>JxPj3GAYYZ0</t>
  </si>
  <si>
    <t>9jK-NcRmVcw</t>
  </si>
  <si>
    <t>QtTR-_Klcq8</t>
  </si>
  <si>
    <t>Pretty Fly (For A White Guy)</t>
  </si>
  <si>
    <t>8LhCd1W2V0Q</t>
  </si>
  <si>
    <t>ssXAkg0bV6o</t>
  </si>
  <si>
    <t>L6-uJLteKek</t>
  </si>
  <si>
    <t>tH2w6Oxx0kQ</t>
  </si>
  <si>
    <t>0JRgHol94Xc?t=1m12s</t>
  </si>
  <si>
    <t>sZfZ8uWaOFI</t>
  </si>
  <si>
    <t>4oWhkjQWE24</t>
  </si>
  <si>
    <t>_PVjcIO4MT4</t>
  </si>
  <si>
    <t>dbB-mICjkQM</t>
  </si>
  <si>
    <t>Xsp3_a-PMTw</t>
  </si>
  <si>
    <t>I47floRRAFs</t>
  </si>
  <si>
    <t>_7PUPNxsRQ0</t>
  </si>
  <si>
    <t>Anastasia</t>
  </si>
  <si>
    <t>ZCOSPtyZAPA</t>
  </si>
  <si>
    <t>XEjLoHdbVeE</t>
  </si>
  <si>
    <t>lwlogyj7nFE</t>
  </si>
  <si>
    <t>YlUKcNNmywk</t>
  </si>
  <si>
    <t>bWXazVhlyxQ</t>
  </si>
  <si>
    <t>PD-MdiUm1_Y</t>
  </si>
  <si>
    <t>SRvCvsRp5ho</t>
  </si>
  <si>
    <t>EqPtz5qN7HM</t>
  </si>
  <si>
    <t>3dm_5qWWDV8</t>
  </si>
  <si>
    <t>Reapers</t>
  </si>
  <si>
    <t>gcNEC9NaJuE</t>
  </si>
  <si>
    <t>hTWKbfoikeg</t>
  </si>
  <si>
    <t>o1tj2zJ2Wvg</t>
  </si>
  <si>
    <t>Mr_uHJPUlO8</t>
  </si>
  <si>
    <t>CxKWTzr-k6s</t>
  </si>
  <si>
    <t>qM0zINtulhM</t>
  </si>
  <si>
    <t>FVovq9TGBw0</t>
  </si>
  <si>
    <t>5s7_WbiR79E</t>
  </si>
  <si>
    <t>v2AC41dglnM</t>
  </si>
  <si>
    <t>MbXWrmQW-OE</t>
  </si>
  <si>
    <t>D9ioyEvdggk</t>
  </si>
  <si>
    <t>jSKJQ18ZoIA</t>
  </si>
  <si>
    <t>2X_2IdybTV0</t>
  </si>
  <si>
    <t>hx27NL_iqEM</t>
  </si>
  <si>
    <t>RVMvART9kb8</t>
  </si>
  <si>
    <t>tAGnKpE4NCI</t>
  </si>
  <si>
    <t>B0jMPI_pUec</t>
  </si>
  <si>
    <t>X_hMZYDMps4</t>
  </si>
  <si>
    <t>LdpMpfp-J_I</t>
  </si>
  <si>
    <t>j5AUm_xaE9A</t>
  </si>
  <si>
    <t>-y3h9p_c5-M</t>
  </si>
  <si>
    <t>QadSVWXF_ks</t>
  </si>
  <si>
    <t>ZFo8-JqzSCM</t>
  </si>
  <si>
    <t>n0H3RlaQVrM</t>
  </si>
  <si>
    <t>CFXvfBL4WkU</t>
  </si>
  <si>
    <t>X4bgXH3sJ2Q</t>
  </si>
  <si>
    <t>mbj1RFaoyLk</t>
  </si>
  <si>
    <t>yuFI5KSPAt4</t>
  </si>
  <si>
    <t>by8oyJztzwo</t>
  </si>
  <si>
    <t>vSaBveD7zvA</t>
  </si>
  <si>
    <t>HIRNdveLnJI</t>
  </si>
  <si>
    <t>gXN9acC9edU</t>
  </si>
  <si>
    <t>bpOSxM0rNPM</t>
  </si>
  <si>
    <t>3aQELo7tXyI</t>
  </si>
  <si>
    <t>3HoqPMC4uRg</t>
  </si>
  <si>
    <t>xQ04WbgI9rg</t>
  </si>
  <si>
    <t>C6jElKMMOWM</t>
  </si>
  <si>
    <t>Sb5aq5HcS1A</t>
  </si>
  <si>
    <t>b-VAxGJdJeQ</t>
  </si>
  <si>
    <t>gH8iGKWB1JI</t>
  </si>
  <si>
    <t>yYvkICbTZIQ</t>
  </si>
  <si>
    <t>jGB2jY223JI</t>
  </si>
  <si>
    <t>c6yYxyxx4aE</t>
  </si>
  <si>
    <t>Cn8APTMyKsg</t>
  </si>
  <si>
    <t>Jx7jDPDFvuE</t>
  </si>
  <si>
    <t>YR5ApYxkU-U</t>
  </si>
  <si>
    <t>1g_r_j_i_6U</t>
  </si>
  <si>
    <t>82cJgPXU-ik</t>
  </si>
  <si>
    <t>8Whh_lXiEDs</t>
  </si>
  <si>
    <t>C6MOKXm8x50</t>
  </si>
  <si>
    <t>AUChk0lxF44</t>
  </si>
  <si>
    <t>OblL026SvD4</t>
  </si>
  <si>
    <t>A1OqtIqzScI</t>
  </si>
  <si>
    <t>b6jtGjiDwIQ</t>
  </si>
  <si>
    <t>Ee_uujKuJMI</t>
  </si>
  <si>
    <t>RfKqtXhF_eM</t>
  </si>
  <si>
    <t>EM4vblG6BVQ</t>
  </si>
  <si>
    <t>iZq3i94mSsQ</t>
  </si>
  <si>
    <t>MS91knuzoOA</t>
  </si>
  <si>
    <t>xwtdhWltSIg</t>
  </si>
  <si>
    <t>mRJ9_yHiNmg</t>
  </si>
  <si>
    <t>e8X3ACToii0</t>
  </si>
  <si>
    <t>_RYBDTnS7dg</t>
  </si>
  <si>
    <t>bSdtvfBQd6c</t>
  </si>
  <si>
    <t>0968f0VWvd8</t>
  </si>
  <si>
    <t>eUGOXnzn8bI</t>
  </si>
  <si>
    <t>nPLV7lGbmT4</t>
  </si>
  <si>
    <t>HSH--SJKVQQ</t>
  </si>
  <si>
    <t>s88r_q7oufE</t>
  </si>
  <si>
    <t>W3q8Od5qJio</t>
  </si>
  <si>
    <t>pRU-6vaKaf4</t>
  </si>
  <si>
    <t>4qlCC1GOwFw</t>
  </si>
  <si>
    <t>LYU-8IFcDPw</t>
  </si>
  <si>
    <t>KDMvN45sjo4</t>
  </si>
  <si>
    <t>yKNxeF4KMsY</t>
  </si>
  <si>
    <t>gnIZ7RMuLpU</t>
  </si>
  <si>
    <t>k4V3Mo61fJM</t>
  </si>
  <si>
    <t>XPpTgCho5ZA</t>
  </si>
  <si>
    <t>6g6g2mvItp4</t>
  </si>
  <si>
    <t>hs8y3kneqrs</t>
  </si>
  <si>
    <t>6tlSx0jkuLM</t>
  </si>
  <si>
    <t>Gh7VKu0rOK8</t>
  </si>
  <si>
    <t>UqLRqzTp6Rk</t>
  </si>
  <si>
    <t>VQH8ZTgna3Q</t>
  </si>
  <si>
    <t>rh2SVX7nBe0</t>
  </si>
  <si>
    <t>Rbm6GXllBiw</t>
  </si>
  <si>
    <t>TLV4_xaYynY</t>
  </si>
  <si>
    <t>IZBlqcbpmxY</t>
  </si>
  <si>
    <t>SBjQ9tuuTJQ</t>
  </si>
  <si>
    <t>BfOdWSiyWoc</t>
  </si>
  <si>
    <t>mT1gmKUoqbY</t>
  </si>
  <si>
    <t>KGRuKdowkcM</t>
  </si>
  <si>
    <t>gozCnbfY-xM</t>
  </si>
  <si>
    <t>riwxbh_n_WM</t>
  </si>
  <si>
    <t>YiVPC8QHsQM</t>
  </si>
  <si>
    <t>NRE3Bv1goyI</t>
  </si>
  <si>
    <t>pDIQ7Otf1mw</t>
  </si>
  <si>
    <t>TK2BtdablXw</t>
  </si>
  <si>
    <t>aCyGvGEtOwc</t>
  </si>
  <si>
    <t>09LTT0xwdfw</t>
  </si>
  <si>
    <t>CfJbGD9t5qY</t>
  </si>
  <si>
    <t>98W9QuMq-2k</t>
  </si>
  <si>
    <t>4C2K889u_90</t>
  </si>
  <si>
    <t>pGIIMQJaNmk</t>
  </si>
  <si>
    <t>tmvlczO7gSA</t>
  </si>
  <si>
    <t>HQmmM_qwG4k</t>
  </si>
  <si>
    <t>oHDaKtx6bGY</t>
  </si>
  <si>
    <t>fHiGbolFFGw</t>
  </si>
  <si>
    <t>QtXby3twMmI</t>
  </si>
  <si>
    <t>d020hcWA_Wg</t>
  </si>
  <si>
    <t>NPaAlAL8Z50</t>
  </si>
  <si>
    <t>kK4hj_GUSnE</t>
  </si>
  <si>
    <t>kZNMvztBUwM</t>
  </si>
  <si>
    <t>kzkXGIRaxcI</t>
  </si>
  <si>
    <t>fuKDBPw8wQA</t>
  </si>
  <si>
    <t>5Tq-UsaRchI</t>
  </si>
  <si>
    <t>DLS-cnOlRpg</t>
  </si>
  <si>
    <t>3moLkjvhEu0</t>
  </si>
  <si>
    <t>aWxBrI0g1kE</t>
  </si>
  <si>
    <t>gGdGFtwCNBE</t>
  </si>
  <si>
    <t>i5sqJNFFwqc</t>
  </si>
  <si>
    <t>WPTfIPHLUcw</t>
  </si>
  <si>
    <t>5abamRO41fE</t>
  </si>
  <si>
    <t>-If2r9ENQfA</t>
  </si>
  <si>
    <t>CSvFpBOe8eY</t>
  </si>
  <si>
    <t>cJRP3LRcUFg</t>
  </si>
  <si>
    <t>Standard (EADGBE)</t>
  </si>
  <si>
    <t>Drop D (DADGBE)</t>
  </si>
  <si>
    <t>Tab Link</t>
  </si>
  <si>
    <t>TabL</t>
  </si>
  <si>
    <t>YT</t>
  </si>
  <si>
    <t>Gcol</t>
  </si>
  <si>
    <t>Tune</t>
  </si>
  <si>
    <t>Tab Source</t>
  </si>
  <si>
    <t>UltimateGuitar.com</t>
  </si>
  <si>
    <t>TabSrc</t>
  </si>
  <si>
    <t>Half Step Down (D#G#C#F#A#D#)</t>
  </si>
  <si>
    <t>Half Step Down</t>
  </si>
  <si>
    <t>Em</t>
  </si>
  <si>
    <t>F#m</t>
  </si>
  <si>
    <t>C#m</t>
  </si>
  <si>
    <t>Open A</t>
  </si>
  <si>
    <t>Open A (EAC#EAE)</t>
  </si>
  <si>
    <t>Fm</t>
  </si>
  <si>
    <t>Whole Step Down</t>
  </si>
  <si>
    <t>Whole Step Down (DGCFAD)</t>
  </si>
  <si>
    <t>D</t>
  </si>
  <si>
    <t>GuitarTabsExplorer.com</t>
  </si>
  <si>
    <t>Drop DG</t>
  </si>
  <si>
    <t>Drop DG (DGDGBE)</t>
  </si>
  <si>
    <t>Bob Dylan</t>
  </si>
  <si>
    <t>DADGAD</t>
  </si>
  <si>
    <t>(DADGAD)</t>
  </si>
  <si>
    <t>Eb</t>
  </si>
  <si>
    <t>Open D</t>
  </si>
  <si>
    <t>Open D (DADF#AD)</t>
  </si>
  <si>
    <t>Abm</t>
  </si>
  <si>
    <t>Gm</t>
  </si>
  <si>
    <t>https://www.songsterr.com/a/wsa/opeth-bleak-tab-s15099t0</t>
  </si>
  <si>
    <t>SongSterr.com</t>
  </si>
  <si>
    <t>http://tabs.ultimate-guitar.com/tab/eric_clapton/layla_tabs_162968</t>
  </si>
  <si>
    <t>http://tabs.ultimate-guitar.com/tab/deep_purple/smoke_on_the_water_tabs_57672</t>
  </si>
  <si>
    <t>http://tabs.ultimate-guitar.com/tab/7857</t>
  </si>
  <si>
    <t>http://tabs.ultimate-guitar.com/tab/46278</t>
  </si>
  <si>
    <t>http://tabs.ultimate-guitar.com/tab/acdc/you_shook_me_all_night_long_tabs_799392</t>
  </si>
  <si>
    <t>http://tabs.ultimate-guitar.com/tab/zz_top/la_grange_tabs_172497</t>
  </si>
  <si>
    <t>http://tabs.ultimate-guitar.com/tab/free/all_right_now_tabs_271789</t>
  </si>
  <si>
    <t>http://tabs.ultimate-guitar.com/tab/toto/hold_the_line_tabs_377115</t>
  </si>
  <si>
    <t>http://tabs.ultimate-guitar.com/tab/the_rolling_stones/i_cant_get_no_satisfaction_tabs_157608</t>
  </si>
  <si>
    <t>http://tabs.ultimate-guitar.com/tab/michael_jackson/beat_it_tabs_35178</t>
  </si>
  <si>
    <t>http://tabs.ultimate-guitar.com/tab/acdc/back_in_black_tabs_18902</t>
  </si>
  <si>
    <t>http://tabs.ultimate-guitar.com/tab/steppenwolf/born_to_be_wild_tabs_198034</t>
  </si>
  <si>
    <t>http://tabs.ultimate-guitar.com/tab/the_beatles/day_tripper_tabs_21611</t>
  </si>
  <si>
    <t>http://tabs.ultimate-guitar.com/tab/van_halen/jump_tabs_124525</t>
  </si>
  <si>
    <t>http://tabs.ultimate-guitar.com/tab/survivor/eye_of_the_tiger_tabs_50888</t>
  </si>
  <si>
    <t>http://tabs.ultimate-guitar.com/tab/eric_clapton/wonderful_tonight_tabs_664886</t>
  </si>
  <si>
    <t>http://tabs.ultimate-guitar.com/tab/black_sabbath/paranoid_tabs_21813</t>
  </si>
  <si>
    <t>http://tabs.ultimate-guitar.com/tab/r_e_m_/one_i_love_tabs_545867</t>
  </si>
  <si>
    <t>http://tabs.ultimate-guitar.com/tab/michael_jackson/billie_jean_tabs_1481746</t>
  </si>
  <si>
    <t>http://tabs.ultimate-guitar.com/tab/eurythmics/sweet_dreams_are_made_of_this_tabs_1012978</t>
  </si>
  <si>
    <t>http://tabs.ultimate-guitar.com/tab/the_white_stripes/seven_nation_army_tabs_55331</t>
  </si>
  <si>
    <t>http://tabs.ultimate-guitar.com/tab/eric_clapton/cocaine_tabs_213446</t>
  </si>
  <si>
    <t>http://tabs.ultimate-guitar.com/tab/scorpions/rock_you_like_a_hurricane_tabs_1706879</t>
  </si>
  <si>
    <t>http://tabs.ultimate-guitar.com/tab/acdc/highway_to_hell_tabs_196860</t>
  </si>
  <si>
    <t>http://tabs.ultimate-guitar.com/tab/dio/rainbow_in_the_dark_tabs_162743</t>
  </si>
  <si>
    <t>http://tabs.ultimate-guitar.com/tab/santana/smooth_tabs_2111</t>
  </si>
  <si>
    <t>http://tabs.ultimate-guitar.com/tab/journey/dont_stop_believin_chords_275297</t>
  </si>
  <si>
    <t>http://tabs.ultimate-guitar.com/tab/elvis_presley/jailhouse_rock_tabs_41821</t>
  </si>
  <si>
    <t>http://tabs.ultimate-guitar.com/tab/queen/another_one_bites_the_dust_tabs_80603</t>
  </si>
  <si>
    <t>http://tabs.ultimate-guitar.com/tab/incubus/drive_tabs_20820</t>
  </si>
  <si>
    <t>http://tabs.ultimate-guitar.com/tab/joan_jett/i_love_rock_n_roll_tabs_666050</t>
  </si>
  <si>
    <t>http://tabs.ultimate-guitar.com/tab/slayer/raining_blood_tabs_29266</t>
  </si>
  <si>
    <t>http://tabs.ultimate-guitar.com/tab/pantera/mouth_for_war_tabs_915741</t>
  </si>
  <si>
    <t>http://tabs.ultimate-guitar.com/tab/metallica/enter_sandman_tabs_29727</t>
  </si>
  <si>
    <t>http://tabs.ultimate-guitar.com/tab/aerosmith/walk_this_way_tabs_18826</t>
  </si>
  <si>
    <t>http://tabs.ultimate-guitar.com/tab/alice_in_chains/man_in_the_box_tabs_55850</t>
  </si>
  <si>
    <t>http://tabs.ultimate-guitar.com/tab/blur/song_2_tabs_99059</t>
  </si>
  <si>
    <t>http://tabs.ultimate-guitar.com/tab/nirvana/come_as_you_are_tabs_47319</t>
  </si>
  <si>
    <t>http://tabs.ultimate-guitar.com/tab/led_zeppelin/heartbreaker_tabs_116354</t>
  </si>
  <si>
    <t>http://tabs.ultimate-guitar.com/tab/rainbow/man_on_the_silver_mountain_tabs_733999</t>
  </si>
  <si>
    <t>http://tabs.ultimate-guitar.com/tab/david_bowie/rebel_rebel_tabs_97952</t>
  </si>
  <si>
    <t>http://tabs.ultimate-guitar.com/tab/foo_fighters/everlong_tabs_100106</t>
  </si>
  <si>
    <t>http://tabs.ultimate-guitar.com/tab/muse/uprising_tabs_876472</t>
  </si>
  <si>
    <t>http://tabs.ultimate-guitar.com/tab/dire_straits/money_for_nothing_tabs_205208</t>
  </si>
  <si>
    <t>http://tabs.ultimate-guitar.com/tab/queen/tie_your_mother_down_tabs_4718</t>
  </si>
  <si>
    <t>http://tabs.ultimate-guitar.com/tab/guns_n_roses/sweet_child_o_mine_tabs_12657</t>
  </si>
  <si>
    <t>http://tabs.ultimate-guitar.com/tab/lynyrd_skynyrd/sweet_home_alabama_tabs_1071268</t>
  </si>
  <si>
    <t>http://tabs.ultimate-guitar.com/tab/scorpions/still_loving_you_tabs_160055</t>
  </si>
  <si>
    <t>http://tabs.ultimate-guitar.com/tab/van_halen/aint_talkin_bout_love_tabs_23613</t>
  </si>
  <si>
    <t>http://tabs.ultimate-guitar.com/tab/the_police/every_breath_you_take_tabs_43141</t>
  </si>
  <si>
    <t>http://tabs.ultimate-guitar.com/tab/foo_fighters/learn_to_fly_tabs_45213</t>
  </si>
  <si>
    <t>http://tabs.ultimate-guitar.com/tab/pink_floyd/money_tabs_533189</t>
  </si>
  <si>
    <t>http://tabs.ultimate-guitar.com/tab/a-ha/take_on_me_tabs_2402355</t>
  </si>
  <si>
    <t>http://tabs.ultimate-guitar.com/tab/red_hot_chili_peppers/scar_tissue_tabs_20691</t>
  </si>
  <si>
    <t>http://tabs.ultimate-guitar.com/tab/acdc/hells_bells_tabs_52908</t>
  </si>
  <si>
    <t>http://tabs.ultimate-guitar.com/tab/the_animals/house_of_the_rising_sun_tabs_45131</t>
  </si>
  <si>
    <t>http://tabs.ultimate-guitar.com/tab/metallica/seek_and_destroy_tabs_24413</t>
  </si>
  <si>
    <t>http://tabs.ultimate-guitar.com/tab/jimi_hendrix/purple_haze_tabs_11715</t>
  </si>
  <si>
    <t>http://tabs.ultimate-guitar.com/tab/metallica/fade_to_black_tabs_23218</t>
  </si>
  <si>
    <t>http://tabs.ultimate-guitar.com/tab/megadeth/symphony_of_destruction_tabs_45204</t>
  </si>
  <si>
    <t>http://tabs.ultimate-guitar.com/tab/eric_clapton/tears_in_heaven_tabs_16131</t>
  </si>
  <si>
    <t>http://tabs.ultimate-guitar.com/tab/europe/the_final_countdown_tabs_67384</t>
  </si>
  <si>
    <t>http://tabs.ultimate-guitar.com/tab/the_offspring/pretty_fly_for_a_white_guy_tabs_42776</t>
  </si>
  <si>
    <t>http://tabs.ultimate-guitar.com/tab/bob_dylan/knockin_on_heavens_door_chords_66587</t>
  </si>
  <si>
    <t>http://tabs.ultimate-guitar.com/tab/lenny_kravitz/are_you_gonna_go_my_way_tabs_10141</t>
  </si>
  <si>
    <t>http://tabs.ultimate-guitar.com/tab/roy_orbison/oh_pretty_woman_chords_810517</t>
  </si>
  <si>
    <t>http://tabs.ultimate-guitar.com/tab/mr_big/to_be_with_you_chords_38105</t>
  </si>
  <si>
    <t>http://tabs.ultimate-guitar.com/tab/kansas/dust_in_the_wind_tabs_72957</t>
  </si>
  <si>
    <t>http://tabs.ultimate-guitar.com/tab/stevie_ray_vaughan_double_trouble/pride_and_joy_tabs_30829</t>
  </si>
  <si>
    <t>http://tabs.ultimate-guitar.com/tab/pat_benatar/hit_me_with_your_best_shot_tabs_614563</t>
  </si>
  <si>
    <t>http://tabs.ultimate-guitar.com/tab/aerosmith/dream_on_tabs_111083</t>
  </si>
  <si>
    <t>http://tabs.ultimate-guitar.com/tab/eagles/life_in_the_fast_lane_tabs_354867</t>
  </si>
  <si>
    <t>http://tabs.ultimate-guitar.com/tab/jimi_hendrix/foxy_lady_tabs_28416</t>
  </si>
  <si>
    <t>http://tabs.ultimate-guitar.com/tab/muse/plug_in_baby_tabs_23691</t>
  </si>
  <si>
    <t>http://tabs.ultimate-guitar.com/tab/muse/supermassive_black_hole_tabs_388216</t>
  </si>
  <si>
    <t>http://tabs.ultimate-guitar.com/tab/ted_nugent/cat_scratch_fever_tabs_86221</t>
  </si>
  <si>
    <t>http://tabs.ultimate-guitar.com/tab/david_bowie/ziggy_stardust_tabs_61266</t>
  </si>
  <si>
    <t>http://tabs.ultimate-guitar.com/tab/creedence_clearwater_revival/run_through_the_jungle_tabs_122534</t>
  </si>
  <si>
    <t>http://tabs.ultimate-guitar.com/tab/the_cult/she_sells_sanctuary_tabs_787268</t>
  </si>
  <si>
    <t>http://tabs.ultimate-guitar.com/tab/abba/gimme_gimme_gimme_tabs_102695</t>
  </si>
  <si>
    <t>http://tabs.ultimate-guitar.com/tab/red_hot_chili_peppers/under_the_bridge_tabs_3832</t>
  </si>
  <si>
    <t>http://tabs.ultimate-guitar.com/tab/red_hot_chili_peppers/californication_tabs_202766</t>
  </si>
  <si>
    <t>http://www.guitartabsexplorer.com/rage-against-the-machine-Tabs/killing-in-the-name-tab.php</t>
  </si>
  <si>
    <t>http://tabs.ultimate-guitar.com/tab/led_zeppelin/kashmir_tabs_104407</t>
  </si>
  <si>
    <t>http://tabs.ultimate-guitar.com/tab/bon_jovi/wanted_dead_or_alive_tabs_24420</t>
  </si>
  <si>
    <t>http://tabs.ultimate-guitar.com/tab/eagles/hotel_california_tabs_14288</t>
  </si>
  <si>
    <t>http://tabs.ultimate-guitar.com/tab/muse/hysteria_tabs_102487</t>
  </si>
  <si>
    <t>http://tabs.ultimate-guitar.com/tab/nirvana/smells_like_teen_spirit_tabs_202727</t>
  </si>
  <si>
    <t>http://tabs.ultimate-guitar.com/tab/guns_n_roses/welcome_to_the_jungle_tabs_577140</t>
  </si>
  <si>
    <t>http://tabs.ultimate-guitar.com/tab/red_hot_chili_peppers/give_it_away_tabs_321969</t>
  </si>
  <si>
    <t>http://tabs.ultimate-guitar.com/tab/pearl_jam/even_flow_tabs_546491</t>
  </si>
  <si>
    <t>http://tabs.ultimate-guitar.com/tab/pearl_jam/alive_tabs_24161</t>
  </si>
  <si>
    <t>http://tabs.ultimate-guitar.com/tab/rush/tom_sawyer_tabs_55095</t>
  </si>
  <si>
    <t>http://tabs.ultimate-guitar.com/tab/ozzy_osbourne/crazy_train_tabs_38622</t>
  </si>
  <si>
    <t>http://tabs.ultimate-guitar.com/tab/black_sabbath/iron_man_tabs_21301</t>
  </si>
  <si>
    <t>http://tabs.ultimate-guitar.com/tab/acdc/thunderstruck_tabs_47698</t>
  </si>
  <si>
    <t>Sweet Child O' Mine</t>
  </si>
  <si>
    <t>cJpB_AEZf6U</t>
  </si>
  <si>
    <t>pKwQlm-wldA</t>
  </si>
  <si>
    <t>#F1D764</t>
  </si>
  <si>
    <t>#B2DB4B</t>
  </si>
  <si>
    <t>#66E586</t>
  </si>
  <si>
    <t>#22AAD6</t>
  </si>
  <si>
    <t>#FFDD21</t>
  </si>
  <si>
    <t>#B3F141</t>
  </si>
  <si>
    <t>#FFE000</t>
  </si>
  <si>
    <t>#E8AD1D</t>
  </si>
  <si>
    <t>#8AF1AA</t>
  </si>
  <si>
    <t>#FFE129</t>
  </si>
  <si>
    <t>#45F0E2</t>
  </si>
  <si>
    <t>#FFDF66</t>
  </si>
  <si>
    <t>#F5943C</t>
  </si>
  <si>
    <t>#C2C2A1</t>
  </si>
  <si>
    <t>https://tabs.ultimate-guitar.com/tab/the_police/message_in_a_bottle_tabs_79537</t>
  </si>
  <si>
    <t>https://tabs.ultimate-guitar.com/tab/led_zeppelin/stairway_to_heaven_tabs_9488</t>
  </si>
  <si>
    <t>https://tabs.ultimate-guitar.com/tab/ritchie_valens/la_bamba_tabs_442995</t>
  </si>
  <si>
    <t>https://tabs.ultimate-guitar.com/tab/kansas/carry_on_wayward_son_tabs_441987</t>
  </si>
  <si>
    <t>https://tabs.ultimate-guitar.com/tab/metallica/master_of_puppets_tabs_47673</t>
  </si>
  <si>
    <t>https://tabs.ultimate-guitar.com/tab/pantera/cemetery_gates_tabs_156251</t>
  </si>
  <si>
    <t>https://tabs.ultimate-guitar.com/tab/metallica/nothing_else_matters_tabs_8519</t>
  </si>
  <si>
    <t>https://tabs.ultimate-guitar.com/tab/jethro_tull/aqualung_tabs_193316</t>
  </si>
  <si>
    <t>https://www.youtube.com/watch?v=p32b5nNq1zw</t>
  </si>
  <si>
    <t>https://tabs.ultimate-guitar.com/tab/rush/yyz_tabs_55096</t>
  </si>
  <si>
    <t>https://tabs.ultimate-guitar.com/tab/santana/samba_pa_ti_tabs_2121</t>
  </si>
  <si>
    <t>https://tabs.ultimate-guitar.com/tab/dick_dale/misirlou_tabs_93843</t>
  </si>
  <si>
    <t>https://tabs.ultimate-guitar.com/tab/neil_zaza/im_alright_tabs_351613</t>
  </si>
  <si>
    <t>https://tabs.ultimate-guitar.com/tab/chuck_berry/johnny_b_goode_chords_319116</t>
  </si>
  <si>
    <t>https://tabs.ultimate-guitar.com/tab/coheed_and_cambria/welcome_home_tabs_197788</t>
  </si>
  <si>
    <t>https://tabs.ultimate-guitar.com/tab/john_petrucci/glasgow_kiss_tabs_58422</t>
  </si>
  <si>
    <t>https://tabs.ultimate-guitar.com/tab/iron_maiden/the_trooper_tabs_71439</t>
  </si>
  <si>
    <t>https://www.songsterr.com/a/wsa/doors-light-my-fire-tab-g-s5400</t>
  </si>
  <si>
    <t>G#m</t>
  </si>
  <si>
    <t>https://tabs.ultimate-guitar.com/tab/red_hot_chili_peppers/snow_hey_oh_tabs_360889</t>
  </si>
  <si>
    <t>https://tabs.ultimate-guitar.com/tab/jerryc/canon_rock_tabs_319905</t>
  </si>
  <si>
    <t>https://tabs.ultimate-guitar.com/tab/avenged_sevenfold/unholy_confessions_tabs_132915</t>
  </si>
  <si>
    <t>https://tabs.ultimate-guitar.com/tab/avenged_sevenfold/afterlife_tabs_599991</t>
  </si>
  <si>
    <t>https://tabs.ultimate-guitar.com/tab/muse/stockholm_syndrome_tabs_56025</t>
  </si>
  <si>
    <t>https://tabs.ultimate-guitar.com/tab/arctic_monkeys/do_i_wanna_know_tabs_1251886</t>
  </si>
  <si>
    <t>C#</t>
  </si>
  <si>
    <t>https://tabs.ultimate-guitar.com/tab/arctic_monkeys/dancing_shoes_tabs_326771</t>
  </si>
  <si>
    <t>https://tabs.ultimate-guitar.com/tab/jimi_hendrix/who_knows_tabs_11765</t>
  </si>
  <si>
    <t>https://tabs.ultimate-guitar.com/tab/foo_fighters/all_my_life_tabs_35848</t>
  </si>
  <si>
    <t>https://tabs.ultimate-guitar.com/tab/red_hot_chili_peppers/suck_my_kiss_tabs_41468</t>
  </si>
  <si>
    <t>https://tabs.ultimate-guitar.com/tab/red_hot_chili_peppers/dani_california_tabs_356587</t>
  </si>
  <si>
    <t>https://tabs.ultimate-guitar.com/tab/the_beatles/twist_and_shout_chords_489173</t>
  </si>
  <si>
    <t>#F75269</t>
  </si>
  <si>
    <t>#FF4F53</t>
  </si>
  <si>
    <t>#C476D4</t>
  </si>
  <si>
    <t>Like A Stone</t>
  </si>
  <si>
    <t>https://www.songsterr.com/a/wsa/the-beatles-what-youre-doing-tab-s2585t4</t>
  </si>
  <si>
    <t>https://www.songsterr.com/a/wsa/the-beatles-paperback-writer-tab-s2551t3</t>
  </si>
  <si>
    <t>https://tabs.ultimate-guitar.com/tab/the_beatles/dizzy_miss_lizzy_tabs_740234</t>
  </si>
  <si>
    <t>https://tabs.ultimate-guitar.com/tab/the_beatles/come_together_tabs_30081</t>
  </si>
  <si>
    <t>https://tabs.ultimate-guitar.com/tab/van_halen/unchained_tabs_259276</t>
  </si>
  <si>
    <t>Db</t>
  </si>
  <si>
    <t>https://tabs.ultimate-guitar.com/tab/black_sabbath/electric_funeral_tabs_24456</t>
  </si>
  <si>
    <t>https://tabs.ultimate-guitar.com/tab/pink_floyd/another_brick_in_the_wall_part_2_tabs_79176</t>
  </si>
  <si>
    <t>Another Brick In The Wall</t>
  </si>
  <si>
    <t>https://tabs.ultimate-guitar.com/tab/aerosmith/same_old_song_and_dance_tabs_18812</t>
  </si>
  <si>
    <t>https://tabs.ultimate-guitar.com/tab/aerosmith/sweet_emotion_tabs_135215</t>
  </si>
  <si>
    <t>https://tabs.ultimate-guitar.com/tab/fall_out_boy/thriller_tabs_465430</t>
  </si>
  <si>
    <t>https://tabs.ultimate-guitar.com/tab/fall_out_boy/dance_dance_tabs_268744</t>
  </si>
  <si>
    <t>https://tabs.ultimate-guitar.com/tab/panic_at_the_disco/victorious_tabs_1770610</t>
  </si>
  <si>
    <t>https://tabs.ultimate-guitar.com/tab/paramore/still_into_you_tabs_1230568</t>
  </si>
  <si>
    <t>https://tabs.ultimate-guitar.com/tab/green_day/holiday_tabs_135992</t>
  </si>
  <si>
    <t>https://tabs.ultimate-guitar.com/tab/green_day/hitchin_a_ride_tabs_56394</t>
  </si>
  <si>
    <t>https://tabs.ultimate-guitar.com/tab/green_day/american_idiot_tabs_130391</t>
  </si>
  <si>
    <t>GqHSrJ2mLo0?t=2m26s</t>
  </si>
  <si>
    <t>https://tabs.ultimate-guitar.com/tab/dream_theater/home_tabs_65826</t>
  </si>
  <si>
    <t>https://tabs.ultimate-guitar.com/tab/u2/until_the_end_of_the_world_tabs_340474</t>
  </si>
  <si>
    <t>https://tabs.ultimate-guitar.com/tab/u2/sunday_bloody_sunday_tabs_126411</t>
  </si>
  <si>
    <t>https://tabs.ultimate-guitar.com/tab/kiss/detroit_rock_city_tabs_10281</t>
  </si>
  <si>
    <t>https://tabs.ultimate-guitar.com/tab/pearl_jam/jeremy_tabs_144638</t>
  </si>
  <si>
    <t>https://tabs.ultimate-guitar.com/tab/r_e_m_/losing_my_religion_tabs_338351</t>
  </si>
  <si>
    <t>https://tabs.ultimate-guitar.com/tab/led_zeppelin/moby_dick_tabs_54524</t>
  </si>
  <si>
    <t>https://tabs.ultimate-guitar.com/tab/rise_against/savior_tabs_746060</t>
  </si>
  <si>
    <t>https://tabs.ultimate-guitar.com/tab/rise_against/re-education_through_labor_tabs_747558</t>
  </si>
  <si>
    <t>https://tabs.ultimate-guitar.com/tab/royal_blood/out_of_the_black_tabs_1664526</t>
  </si>
  <si>
    <t>https://tabs.ultimate-guitar.com/tab/cream/sunshine_of_your_love_tabs_30878</t>
  </si>
  <si>
    <t>https://www.songsterr.com/a/wsa/zz-top-my-heads-in-mississippi-tab-s58828t0</t>
  </si>
  <si>
    <t>https://tabs.ultimate-guitar.com/tab/santana/maria_maria_tabs_2137</t>
  </si>
  <si>
    <t>https://tabs.ultimate-guitar.com/tab/nirvana/the_man_who_sold_the_world_tabs_841950</t>
  </si>
  <si>
    <t>https://tabs.ultimate-guitar.com/tab/queens_of_the_stone_age/no_one_knows_tabs_37580</t>
  </si>
  <si>
    <t>https://tabs.ultimate-guitar.com/tab/rammstein/du_hast_tabs_199202</t>
  </si>
  <si>
    <t>https://tabs.ultimate-guitar.com/tab/radiohead/my_iron_lung_tabs_1214341</t>
  </si>
  <si>
    <t>https://tabs.ultimate-guitar.com/tab/linkin_park/one_step_closer_tabs_863523</t>
  </si>
  <si>
    <t>Half Step Down + Drop D</t>
  </si>
  <si>
    <t>https://tabs.ultimate-guitar.com/tab/linkin_park/faint_tabs_55914</t>
  </si>
  <si>
    <t>https://tabs.ultimate-guitar.com/tab/linkin_park/papercut_tabs_9250</t>
  </si>
  <si>
    <t>https://www.songsterr.com/a/wsa/audioslave-cochise-tab-s2026t4</t>
  </si>
  <si>
    <t>https://tabs.ultimate-guitar.com/tab/coldplay/yellow_tabs_55915</t>
  </si>
  <si>
    <t>(EABGBD#)</t>
  </si>
  <si>
    <t>https://tabs.ultimate-guitar.com/tab/coldplay/in_my_place_tabs_1103201</t>
  </si>
  <si>
    <t>https://tabs.ultimate-guitar.com/tab/coldplay/fix_you_tabs_202593</t>
  </si>
  <si>
    <t>https://tabs.ultimate-guitar.com/tab/maroon_5/this_love_tabs_114399</t>
  </si>
  <si>
    <t>https://tabs.ultimate-guitar.com/tab/maroon_5/misery_tabs_971376</t>
  </si>
  <si>
    <t>https://tabs.ultimate-guitar.com/tab/pearl_jam/yellow_ledbetter_tabs_47807</t>
  </si>
  <si>
    <t>https://tabs.ultimate-guitar.com/tab/led_zeppelin/black_dog_tabs_51744</t>
  </si>
  <si>
    <t>https://tabs.ultimate-guitar.com/tab/royal_blood/loose_change_bass_1665929</t>
  </si>
  <si>
    <t>https://tabs.ultimate-guitar.com/tab/muse/psycho_tabs_1719700</t>
  </si>
  <si>
    <t>https://tabs.ultimate-guitar.com/tab/arctic_monkeys/i_bet_you_look_good_on_the_dancefloor_tabs_329943</t>
  </si>
  <si>
    <t>https://tabs.ultimate-guitar.com/tab/arctic_monkeys/r_u_mine_tabs_1134108</t>
  </si>
  <si>
    <t>Bbm</t>
  </si>
  <si>
    <t>Bastille Day</t>
  </si>
  <si>
    <t>Ebm</t>
  </si>
  <si>
    <t>This Charming Man</t>
  </si>
  <si>
    <t>7QU1nvuxaMA</t>
  </si>
  <si>
    <t>https://tabs.ultimate-guitar.com/tab/the_smiths/this_charming_man_tabs_24268</t>
  </si>
  <si>
    <t>https://tabs.ultimate-guitar.com/tab/guns_n_roses/you_could_be_mine_tabs_327372</t>
  </si>
  <si>
    <t>https://tabs.ultimate-guitar.com/tab/guns_n_roses/paradise_city_tabs_102464</t>
  </si>
  <si>
    <t>https://tabs.ultimate-guitar.com/tab/guns_n_roses/nightrain_tabs_160277</t>
  </si>
  <si>
    <t>https://tabs.ultimate-guitar.com/tab/jimi_hendrix/all_along_the_watchtower_tabs_273100</t>
  </si>
  <si>
    <t>https://tabs.ultimate-guitar.com/tab/jimi_hendrix/voodoo_child_slight_return_tabs_326654</t>
  </si>
  <si>
    <t>https://tabs.ultimate-guitar.com/tab/foo_fighters/the_pretender_tabs_558883</t>
  </si>
  <si>
    <t>https://tabs.ultimate-guitar.com/tab/red_hot_chili_peppers/cant_stop_tabs_33385</t>
  </si>
  <si>
    <t>https://tabs.ultimate-guitar.com/tab/rush/bastille_day_tabs_81557</t>
  </si>
  <si>
    <t>https://tabs.ultimate-guitar.com/tab/black_sabbath/lord_of_this_world_tabs_191066</t>
  </si>
  <si>
    <t>A National Acrobat</t>
  </si>
  <si>
    <t>https://tabs.ultimate-guitar.com/tab/black_sabbath/a_national_acrobat_tabs_108520</t>
  </si>
  <si>
    <t>https://tabs.ultimate-guitar.com/tab/black_sabbath/heaven_and_hell_tabs_33212</t>
  </si>
  <si>
    <t>https://tabs.ultimate-guitar.com/tab/pink_floyd/young_lust_tabs_162254</t>
  </si>
  <si>
    <t>https://tabs.ultimate-guitar.com/tab/the_allman_brothers_band/jessica_tabs_59573</t>
  </si>
  <si>
    <t>https://tabs.ultimate-guitar.com/tab/the_allman_brothers_band/soulshine_tabs_160318</t>
  </si>
  <si>
    <t>Say It Ain't So</t>
  </si>
  <si>
    <t>Weezer</t>
  </si>
  <si>
    <t>https://tabs.ultimate-guitar.com/tab/coldplay/adventure_of_a_lifetime_tabs_1779976</t>
  </si>
  <si>
    <t>https://tabs.ultimate-guitar.com/tab/coldplay/clocks_tabs_494845</t>
  </si>
  <si>
    <t>https://tabs.ultimate-guitar.com/tab/slash/promise_tabs_940801</t>
  </si>
  <si>
    <t>Promise (feat. Chris Cornell)</t>
  </si>
  <si>
    <t>Gotten (feat. Adam Levine)</t>
  </si>
  <si>
    <t>https://tabs.ultimate-guitar.com/tab/slash/anastasia_tabs_1157766</t>
  </si>
  <si>
    <t>https://tabs.ultimate-guitar.com/tab/guns_n_roses/mr_brownstone_tabs_170529</t>
  </si>
  <si>
    <t>https://tabs.ultimate-guitar.com/tab/slash/gotten_tabs_942357</t>
  </si>
  <si>
    <t>https://tabs.ultimate-guitar.com/tab/van_halen/im_the_one_tabs_87730</t>
  </si>
  <si>
    <t>https://tabs.ultimate-guitar.com/tab/van_halen/panama_tabs_170836</t>
  </si>
  <si>
    <t>https://tabs.ultimate-guitar.com/tab/disturbed/just_stop_tabs_955444</t>
  </si>
  <si>
    <t>https://tabs.ultimate-guitar.com/tab/rush/the_spirit_of_radio_tabs_55094</t>
  </si>
  <si>
    <t>https://tabs.ultimate-guitar.com/tab/van_halen/hot_for_teacher_tabs_189680</t>
  </si>
  <si>
    <t>D|-------------------------------|------------------------------|
A|-------------------------------|------------------------------|
F|-------------------------------|------------------------------|
C|----10/7-----------------------|---10/7-----------------------|
G|--0-8/-5--8/7--2/3--3-5--3-6-0-|---8/-5--8/7--2/3--3-5--3-3-0-|
C|--0-------8/7--2/3--3-5--3-6-0-|---------8/7--2/3--3-5--3-3-0-|
D|------------------------------|-----------------------------------|
A|------------------------------|-----------------------------------|
F|------------------------------|-----------------9-9-9-9-10-10-9---|
C|---10/7---------------------3-|---3-3-3-5-5-3-x-7-7-7-7-7--7--7---|
G|---8/-5--8/7--2/3--3-5--3-6-3-|---3-3-3-3-3-3-x-7-7-7-7-7--7--7-0-|
C|---------8/7--2/3--3-5--3-6-3-|---3-3-3-3-3-3-x-7-7-7-7-7--7--7-0-|</t>
  </si>
  <si>
    <t>https://tabs.ultimate-guitar.com/tab/disturbed/stricken_tabs_212004</t>
  </si>
  <si>
    <t>Whole Step Down + Drop C</t>
  </si>
  <si>
    <t>CGCFAD</t>
  </si>
  <si>
    <t>https://tabs.ultimate-guitar.com/tab/disturbed/indestructible_tabs_762269</t>
  </si>
  <si>
    <t>https://tabs.ultimate-guitar.com/tab/the_killers/mr_brightside_tabs_202653</t>
  </si>
  <si>
    <t>https://tabs.ultimate-guitar.com/tab/stevie_ray_vaughan_double_trouble/lenny_tabs_604</t>
  </si>
  <si>
    <t>https://tabs.ultimate-guitar.com/tab/zz_top/heard_it_on_the_x_tabs_705184</t>
  </si>
  <si>
    <t>https://tabs.ultimate-guitar.com/tab/slipknot/psychosocial_tabs_697774</t>
  </si>
  <si>
    <t>Dropped A</t>
  </si>
  <si>
    <t>Dropped A (AEADF#B)</t>
  </si>
  <si>
    <t>https://tabs.ultimate-guitar.com/tab/system_of_a_down/vicinity_of_obscenity_tabs_273616</t>
  </si>
  <si>
    <t>https://tabs.ultimate-guitar.com/tab/system_of_a_down/chop_suey_tabs_2926</t>
  </si>
  <si>
    <t>https://tabs.ultimate-guitar.com/tab/dream_theater/constant_motion_tabs_522612</t>
  </si>
  <si>
    <t>https://tabs.ultimate-guitar.com/tab/dragonforce/through_the_fire_and_flames_tabs_358347</t>
  </si>
  <si>
    <t>https://tabs.ultimate-guitar.com/tab/muse/reapers_tabs_1741342</t>
  </si>
  <si>
    <t>https://www.songsterr.com/a/wsa/audioslave-like-a-stone-tab-s1859t0</t>
  </si>
  <si>
    <t>ENXvZ9YRjbo</t>
  </si>
  <si>
    <t>https://tabs.ultimate-guitar.com/tab/weezer/say_it_aint_so_tabs_58945</t>
  </si>
  <si>
    <t>9d4ui9q7eDM</t>
  </si>
  <si>
    <t>https://tabs.ultimate-guitar.com/tab/megadeth/holy_wars_the_punishment_due_tabs_711368</t>
  </si>
  <si>
    <t>https://tabs.ultimate-guitar.com/tab/the_chainsmokers/something_just_like_this_chords_1953009</t>
  </si>
  <si>
    <t>https://tabs.ultimate-guitar.com/tab/the_smiths/girl_afraid_tabs_1817648</t>
  </si>
  <si>
    <t>https://tabs.ultimate-guitar.com/tab/paramore/misery_business_tabs_604324</t>
  </si>
  <si>
    <t>https://www.songsterr.com/a/wsa/disturbed-down-with-the-sickness-tab-s6643t0</t>
  </si>
  <si>
    <t>https://tabs.ultimate-guitar.com/tab/disturbed/guarded_tabs_193415</t>
  </si>
  <si>
    <t>https://tabs.ultimate-guitar.com/tab/u2/vertigo_tabs_875201</t>
  </si>
  <si>
    <t>https://tabs.ultimate-guitar.com/tab/deep_purple/stormbringer_tabs_54288</t>
  </si>
  <si>
    <t>https://tabs.ultimate-guitar.com/tab/deep_purple/speed_king_tabs_15185</t>
  </si>
  <si>
    <t>https://tabs.ultimate-guitar.com/tab/kiss/deuce_tabs_204326</t>
  </si>
  <si>
    <t>https://tabs.ultimate-guitar.com/tab/led_zeppelin/whole_lotta_love_tabs_134091</t>
  </si>
  <si>
    <t>Corazon Espinado (feat. Mana)</t>
  </si>
  <si>
    <t>https://tabs.ultimate-guitar.com/tab/santana/corazon_espinado_tabs_719581</t>
  </si>
  <si>
    <t>C Standard</t>
  </si>
  <si>
    <t>C Standard (CFA#D#GC)</t>
  </si>
  <si>
    <t>https://tabs.ultimate-guitar.com/tab/queens_of_the_stone_age/sick_sick_sick_tabs_508980</t>
  </si>
  <si>
    <t>https://tabs.ultimate-guitar.com/tab/radiohead/paranoid_android_tabs_113681</t>
  </si>
  <si>
    <t>F#C#AEBF#</t>
  </si>
  <si>
    <t>NoofSongs</t>
  </si>
  <si>
    <t>Free</t>
  </si>
  <si>
    <t>Balance</t>
  </si>
  <si>
    <t>Target</t>
  </si>
  <si>
    <t>Paid</t>
  </si>
  <si>
    <t>Total</t>
  </si>
  <si>
    <t>Free/Total</t>
  </si>
  <si>
    <t>Free/Paid</t>
  </si>
  <si>
    <t>Beg Total</t>
  </si>
  <si>
    <t>Ratios</t>
  </si>
  <si>
    <t>Int Total</t>
  </si>
  <si>
    <t>Adv Total</t>
  </si>
  <si>
    <t>BegFree / Beg Total</t>
  </si>
  <si>
    <t>IntFree / IntTotal</t>
  </si>
  <si>
    <t>AdvFree / AdvTotal</t>
  </si>
  <si>
    <t>Should be around 0.45, since 45% of it is free content.</t>
  </si>
  <si>
    <t>Holy Wars The Punishment Due</t>
  </si>
  <si>
    <t>C#G#C#F#A#D#</t>
  </si>
  <si>
    <t>https://tabs.ultimate-guitar.com/tab/rammstein/engel_tabs_26284</t>
  </si>
  <si>
    <t>FM7MFYoylVs?t=3m14s</t>
  </si>
  <si>
    <t>wMsazR6Tnf8</t>
  </si>
  <si>
    <t>fTVCtiwPpQk</t>
  </si>
  <si>
    <t>d398sJaNVOQ</t>
  </si>
  <si>
    <t>e|-----------------------|-------------------|
B|-----------------------|-------------------|
G|-------------7h10p7----|-7-----------------|
D|--------7h10--------10-|-------------------|
A|-----------------------|-------------------|
E|-----------------------|-------------------|
e|---------------------10h13p10----|-10------13b15==(13)-(13)-13---12-|-(12)------10-(10)-------10h13p10----|
B|---------------10h13----------13-|----------------------------------|------13-----------10h13----------13-|
G|-(7)-----------------------------|----------------------------------|-------------------------------------|
D|---------------------------------|----------------------------------|-------------------------------------|
A|---------------------------------|----------------------------------|-------------------------------------|
E|---------------------------------|----------------------------------|-------------------------------------|</t>
  </si>
  <si>
    <t>e|-----------------|---------------|----------------|------------------|
B|-----------------|---------------|----------------|------------------|
G|--0---3---5----0-|---3---6-5-----|-0---3---5----3-|---0----(0)-------|
D|--0---3---5----0-|---3---6-5-----|-0---3---5----3-|---0----(0)-------|
A|-----------------|---------------|----------------|------------------|
E|-----------------|---------------|----------------|------------------|</t>
  </si>
  <si>
    <t>e|------------------------------|------------------------|
B|-(3)---1---1-------1-------3--|-3---3---3---3---3---3--|
G|-(0)---0---0---0---0---0---2--|-0---0---2---0---2---0--|
D|-(0)---2---2---0---2---0---0--|-0---0---0---0---0---0--|
A|-(x)---3---3---x---3---x------|-x---x-------x-------x--|
E|-(3)-----------3-------3------|-3---3-------3-------3--|</t>
  </si>
  <si>
    <t>e|------------------------------------|
B|------------------------------------|
G|-2-2--2--2--2--2---------5-----5b---|
D|-2-2--2--2--2--2----5----2-----2----|
A|------------------0---0-----0-------|
E|------------------------------------|</t>
  </si>
  <si>
    <t>e|----------------------------------|
B|-2--2-3-2---2-3-3-3-3-3-3-3-3-2---|
G|-2--2-2-2---2-2-2-2-2-2-2-2-2-2---|
D|-2--2-4-2---2-5-5-5-5-4-4-4-4-2---|
A|-0--0-0-0---0-0-0-0-0-0-0-0-0-0---|
E|----------------------------------|</t>
  </si>
  <si>
    <t>e|-----------------------|-------------|
B|-----------------------|-------------|
G|-----------------------|-------------|
D|-11/------6--7-7--9/---|--2----------|
A|--9/------4--5-5--7/---|----4-3-2----|
E|-----------------------|-------------|</t>
  </si>
  <si>
    <t>e|-------------------------------------|-------------------------------------|
B|-------------------------------------|-------------------------------------|
G|-------------------------------------|-------------------------------------|
D|-------------------------------------|-------------------------------------|
A|--2--2-----2--4---5--5-5p4---4(p2)---|--2--2----2--4--5---5--5p4----4(p2)--|
E|-------------------------------------|-------------------------------------|</t>
  </si>
  <si>
    <t>[Main Riff/Intro]
eb|-----|-----------------|-----------------|-----------------|-------------|
Bb|-----|-----------------|-----------------|-----------------|-------------|
Gb|-----|-----------------|-----------------|-----------------|-------------|
Db|-----|--------5-2----4-|---2-0---0-------|--------5-2----4-|---2-0-------|
Ab|-----|------2----------|-----------------|------2----------|-------------|
Eb|---0-|(0)-3------------|---------------0-|(0)-3------------|-------------|
[Verse Riff]
eb|------------------|-------------|------------------|-------------|
Bb|------------------|-------------|------------------|-------------|
Gb|--x-9-9---9---x-7-|-7---7-------|--x-9-9---9---x-7-|-7---7-------|
Db|--x-9-9---9---x-7-|-7---7-------|--x-9-9---9---x-7-|-7---7-------|
Ab|--x-7-7---7---x-5-|-5---5-------|--x-7-7---7---x-5-|-5---5-------|
Eb|------------------|-------------|------------------|-------------|
eb|-----------------|-------------|-----------------|-------------|
Bb|-----------------|-------------|-----------------|-------------|
Gb|-x-5-5---5---x-7-|-7---7-------|-x-9-9---9---x-7-|-7---7-------|
Db|-x-5-5---5---x-7-|-7---7-------|-x-9-9---9---x-7-|-7---7-------|
Ab|-x-3-3---3---x-5-|-5---5-------|-x-7-7---7---x-5-|-5---5-------|
Eb|-----------------|-------------|-----------------|-------------|</t>
  </si>
  <si>
    <t>e|--------------------|-------3-0-----------|
B|--------------------|-----------3-0-------|
G|------7-7-7---------|--------------2bp0---|
D|--2---7-7-7--7-7-7--|-X-X-X---------------|
A|--2---5-5-5--7-7-7--|-X-X-X---------------|
E|--0----------5-5-5--|-X-X-X---------------|
e|--------------------|---------------------|
B|--------------------|---------------------|
G|------7-7-7---------|---------------------|
D|--2---7-7-7--7-7-7--|---------------------|
A|--2---5-5-5--7-7-7--|--2---2---2---2------|
E|--0----------5-5-5--|----4---5---6---7/---|</t>
  </si>
  <si>
    <t>e|---------------|-------------------|---------------|--------------------|
B|--------9----9-|---9---------------|---------------|--------------------|
G|-9----9-9----9-|---9---9-----------|-9--x-9-9------|---9----------------|
D|-9----9-9----9-|---9---9-11p9-12p9-|-9--x-9-9----9-|---9---9-11p9-12p9--|
A|-7----7-7----7-|---7---7--7----7---|-7----7-7----7-|---7---7--7----7----|
E|-0-------------|---------------0---|-0------0------|--------------------|
e|---------------|-------------------|---------------|-----0------------|
B|-9------9------|-------------------|-9------9------|-----0------------|
G|-9----9-9--x-9-|---9---------------|-9----9-9------|------------------|
D|-9----9-9--x-9-|---9---9-11p9-12p9-|-9----9-9----9-|---9---9-11p9-12--|
A|-7----7-7----7-|---7---7--7----7---|-7----7-7----7-|---7---7--7----7--|
E|-0--0---0------|-----0----0--------|-0------0--0---|-0----------------|</t>
  </si>
  <si>
    <t>e|-----------------------------|
B|-----------------------------|
G|-----------------------------|
D|-------------2-0---4----0-2--|
A|----------2------2----2------|
E|--0--3-4---------------------|</t>
  </si>
  <si>
    <t>e|-------------------|---------------------|
B|-----15-----17-----|-13-----13---15---15-|
G|-----16-----17-----|-14-----14---16---16-|
D|-----17-----17-----|-15-----15---17---17-|
A|-------------------|---------------------|
E|-------------------|---------------------|
e|----------------------|------------------|
B|-(15)--17-----13---10-|-(10)--8---8--(8)-|
G|-(16)--17-----14---10-|-(10)--9---7--(7)-|
D|-(17)--17-----15---10-|-(10)-10--10-(10)-|
A|----------------------|------------------|
E|----------------------|------------------|</t>
  </si>
  <si>
    <t>e|---------------------------------------------------------------------------|
B|---------------------------------------------------------------------------|
G|---------------------------------------------------------------------------|
D|---------------------------------------------------------------------------|
A|---------------------------------------------------------------------------|
E|-8--8--8--8--8--8--8--8--8--8--8--8--8--8--8--8--8--8--8--8--8--8--8--8--8-|
e|---------------------------------------------------------------------------|
B|---------------------------------------------------------------------------|
G|---------------------------------------------------------------------------|
D|--10-----10--8---10-----10--8---10-----10--5---6---------------------------|
A|--10-----10--8---10-----10--8---10-----10--5---6---------------------------|
E|--8------8---6---8------8---6---8------8---3---4---------------------------|</t>
  </si>
  <si>
    <t>e|-----------------------------------------------------------------------------------------------|
B|----------10b-8-10-------10b-8--------10b-8-10---------10b-8-10---10b-8----10b-8-10-12-13-17-15|
G|-------------------------------9----------------------------------------9----------------------|
D|-----------------------------------------------------------------------------------------------|
A|-----------------------------------------------------------------------------------------------|
E|-----------------------------------------------------------------------------------------------|</t>
  </si>
  <si>
    <t>e|------------------------------------------------------------------------------|
B|------------------------------------------------------------------------------|
G|------------------------------------------------------------------------------|
D|------------------------12h14-----12----------------------------12h14-----12--|
A|-12h14-12h14-12h14-12h14-----12h14--14---12h14-12h14-12h14-12h14-----12h14--14|
E|-12----12----12--------------------------12----12----12-----------------------|
e|------------------------------------------------------------------------------|
B|------------------------------------------------------------------------------|
G|------------------------------------------------------------------------------|
D|------------------------12h14-----12----------------------------12h14-----12--|
A|-12h14-12h14-12h14-12h14-----12h14--14---12h14-12h14-12h14-12h14-----12h14--14|
E|-12----12----12--------------------------12----12----12-----------------------|
e|-----------------------------------------------------------------------------|
B|-----------------------------------------------------------------------------|
G|-----------------------------------------------------------------------------|
D|-----------------------------------------------------------------------------|
A|-14-14-14-14-14-14-14-14-14-14-14-14-144-14-14-14-12-12-12-12-12-12-12-12-12-|
E|-12-12-12-12-12-12-12-12-12-12-12-12-122-12-12-12-10-10-10-10-10-10-10-10-10-|
e|-------------------|
B|--------------12---|
G|--------------12---|
D|-12-----------12---|
A|-10--12--14--------|
E|-----10--12--------|</t>
  </si>
  <si>
    <t>e|-------------------0---------0-----------0------0----0---0-----|
B|-----------------------3/5------0------------3-----0---0-------|
G|---------------------------------------------------------------|
D|-------------0-------------------------------------------------|
A|---------0-----------------------------------------------------|
E|-0-0-2/3----------------------------0--------------------------|</t>
  </si>
  <si>
    <t>e|------------------------------------|
B|------------------------------------|
G|------------------------------------|
D|--4---2-4-2---------4---2-4-2-------|
A|----4-------4-2-4-----4-------4-2-4-|
E|------------------------------------|</t>
  </si>
  <si>
    <t>e|--------------------------------------------------------------------------|
B|----------------4---------------------------------------------------------|
G|---------5-------------5--------------------------------------------------|
D|------------------------------------6---------------- 5-------------------|
A|--3--3-----3-------3-----3-------(6)--------------(5)---------------------|
E|----------------------------4--4------(4)---3--3----------(3)-------------|</t>
  </si>
  <si>
    <t>e |--------------------------------------|
C#|--------------------------------------|
A |--------------------------------------|
E |--------------------------------------|
A |---7----7----10----7------------------|
E |------------------------10---8----7---|</t>
  </si>
  <si>
    <t>e|------------|----------|------|---------------|
B|-9-9-7-9--7-|----------|------|---------------|
G|-9-9-7-9--7-|----------|------|---------------|
D|-9-9-7-9--7-|--------0-|-0p2--|-0-----0-------|
A|-7-7-5-7--5-|-0h2p0--0-|------|---0h2---0-----|
E|------------|----------|------|-----------3-0-|</t>
  </si>
  <si>
    <t>e|----------------------------|
B|----------------------------|
G|-9-9-9--------------5--7-7--|
D|-9-9-9---5-5---7-7--5--7-7--|
A|-7-7-7---5-5---7-7--3--5-5--|
E|---------3-3---5-5----------|</t>
  </si>
  <si>
    <t>e|----------------------------------------------|
B|------------3-3-3----3-3-3----3-3-3----3------|
G|---2-2-2----2-2-0----2-2-0----2-2-0----2--2-2-|
D|---2-2-2----0-0-0----0-0-0----0-0-0----0--2-2-|
A|---0-0-0----------------------------------0-0-|
E|--------------2-3------2-3------2-3-----------|</t>
  </si>
  <si>
    <t>e|-------------------------|----3--------------------||
B|-------------------------|----3--------------------||
G|-------------------------|-------------------------||
D|---7---------3--------5--|-------------------------||
A|---7---------3--------5--|------------3--2--0------||
E|---5------0--1--0--1--3--|---------3-----------0---||</t>
  </si>
  <si>
    <t>e|-----------------------------|---------------------------------------------|
B|-----------------------------|-------------12-12b13r12----12-13------------|
G|-------12----12h14-----------|-------13-14-------------14-------14-(14)----|
D|-12h14----14-----------------|---------------------------------------------|
A|-----------------------------|---------------------------------------------|
E|-----------------------------|---------------------------------------------|</t>
  </si>
  <si>
    <t>e|--------3--------1-----------------------|-------------|
B|---------------------------5----------3--|-------------|
G|--2/4-------1/2--------------------------|-------------|
D|----------------------3/5-------3/5------|---3---0-----|
A|-----------------------------------------|-------------|
E|-----------------------------------------|-------------|</t>
  </si>
  <si>
    <t>e|-------------------------------------------|
B|-------------------------------------------|
G|-------------------------------------------|
D|-------------------------------------------|
A|-------------2-----4-6-4----6-7-0---6-7----|
E|--0------2-4----------------------------0--|</t>
  </si>
  <si>
    <t>D#|-------|-------|-------|-------|
A#|-------|-------|-------|-------|
F#|-8~-9~-|-8~-9~-|-8~-9~-|-8~-9~-|
C#|-8~-9~-|-8~-9~-|-8~-9~-|-8~-9~-|
G#|-6~-7~-|-6~-7~-|-6~-7~-|-6~-7~-|
D#|-------|-------|-------|-------|</t>
  </si>
  <si>
    <t xml:space="preserve">e|------------------|---------------|
B|------------------|---------------|
G|------------------|---------------|
D|------------------|------5--7-----|
A|7---7---7------7--|--7-7---7------|
E|------------------|---------------| </t>
  </si>
  <si>
    <t>e|-----0-0----------------------------|
b|-----8-8-x---7-7-----5-5-x---3-3-3--|
g|-----0-0-x---7-7-----4-4-x---0-0-0--|
d|-----9-9-x---5-5---5-5-5-x---5-5-5--|
a|---7-7-7---7-7-7-3---3-3-----0-0-0--|
e|-0-------------------------5-5-5-5--|</t>
  </si>
  <si>
    <t>e|-------------------------------------------|
B|-------------------------------------------|
G|------------------------2-2-----4-4--------|
D|--2-2-----2-2-----------2-2-----4-4--------|
A|--2-2-----2-2-----------0-0-----2-2--------|
E|--0-0-----0-0-0h3b-------------------0h3b--|</t>
  </si>
  <si>
    <t>eb|-----------------------------------------------------------------|
Bb|-----------------------------------------------------------------|
Gb|-----------------------------------------------------------------|
Db|---------8-9-8-----8-7-----7-6-------------8-9-8-----8-7-----7-6-|
Ab|-------7---------9-------8---------------7---------9-------8-----|
Eb|-0-0-0-----------------------------0-0-0-------------------------|
eb|-----------------------------------------------------------------|
Bb|-----------------------------------------------------------------|
Gb|---------8-9-8-----8-7-----7-6-------------8-9-8-----8-7-----7-6-|
Db|-------7-8-9-8---9-8-7-----7-6-----------7-8-9-8---9-8-7---8-7-6-|
Ab|-------7---------9-------8---------------7---------9-------8-----|
Eb|-0-0-0-----------------------------0-0-0-------------------------|</t>
  </si>
  <si>
    <t>e|-------------------|------------------|
B|-------------------|------------------|
G|----------4--------|--------4---4---4-|
D|----------4--------|--------4---4---4-|
A|-0-1-2-2-2-2-2-2-2-|0-1-2-2-2-2-2-2-2-|
E|-------------------|------------------|</t>
  </si>
  <si>
    <t>e|---------------------|------------------|---------------|
B|---------------------|------------------|---------------|
G|---------------------|------------------|---------------|
D|-------5-------------|----5-------------|----5----------|
A|----7-----------7----|-7-----------7----|-7-----------7-|
E|-0--------6--5-----0-|-------6--5-----0-|-------6--5----|</t>
  </si>
  <si>
    <t>e|----------------------|-----------------------------|
B|----------------------|-----------------------------|
G|----------------------|-----------------------------|
D|--------2--------2----|---------2--------2---2------|
A|--0-1-2----0-1-2------|---0-1-2----0-1-2------------|
E|-------------------0--|--------------------3--------|
e|----------------------|-----------------------------|
B|----------------------|-----------------------------|
G|----------------------|----------------------2------|
D|--------2--------2----|---------2--------2---2------|
A|--0-1-2----0-1-2------|---0-1-2----0-1-2-----0------|
E|-------------------0--|-----------------------------|</t>
  </si>
  <si>
    <t>d#|---------------------------------|---------------------------------|
A#|---------------------------------|---------------------------------|
F#|---------------------------------|---------------------------------|
C#|--------------------------X--X---|---------------------------------|
G#|--------------------------X--X---|--5----X-5-----------5-----------|
D#|--------------------------X--X---|--0----X-0-----------0--------0--|
d#|---------------------------------|---------------------------------|
A#|---------------------------------|---------------------------------|
F#|---------------------------------|----------7----------7h9---------|
C#|---------------------------------|--9------------------------------|
G#|--5----X-5--------------------5--|---------------------------------|
D#|--0----X-0-----------0----5h7----|---------------------------------|
d#|---------------------------------|---------------------------------|
A#|---------------------------------|---------------------------------|
F#|---------------------------------|---------------------------------|
C#|--7-------7h9-----------5--------|--5h7-------5b-------------------|
G#|---------------------------------|-------------------------7-------|
D#|---------------------------------|---------------------------------|</t>
  </si>
  <si>
    <t>(clean guitar)
E|-------------------------------------------|
B|-------------------------------------------|
G|---10-10---88-8-8--13-13-15-17---17-17-17--|
D|---10-10---88-8-8--13-13-15-17---17-17-17--|
A|---8--8----66-6-6--11-11-13-15---15-15-15--|
D|-------------------------------------------|
(with heavy distortion)
E|-------------------------------------|
B|-------------------------------------|
G|-------------------------------------|
D|-3-3-3-3-1-1-1-1-6-6-8-10--10-10-10--|
A|-3-3-3-3-1-1-1-1-6-6-8-10--10-10-10--|
D|-3-3-3-3-1-1-1-1-6-6-8-10--10-10-10--|</t>
  </si>
  <si>
    <t>D|-----------------------------------------|
A|-----------------------------------------|
F|-----------------------------------------|
C|-----------------------------------------|
G|------------0---0---------2-------2------|
D|--0-0-1-2-----2---2-2-1-0---0-0-----0-1--|</t>
  </si>
  <si>
    <t>e|-------|-----------------------|-----------------------------------|
B|-------|-----------------------|-----------------------------------|
G|-------|-----------------------|-----------------------------------| (x2)
D|-------|-----------0--1-2------|---------------0--1-2--------------|
A|-------|---0--3~---------------|---0-0-0-0-3~----------------------|
E|--3b---|------------------3b---|-----------------------3b----------|
e|--------------------|----------------------------------------------|
B|--------------------|----------------------------------------------|
G|--------------------|----------------------------------------------|
D|--------2--3-4------|-------------2--3-4---------------------------|
A|--2--5--------------|--2-2-2-2-5-----------------------------------|
E|----------------5b--|---------------------5b-----------------------|
e|-------|-----------------------|-----------------------------------|
B|-------|-----------------------|-----------------------------------|
G|-------|-----------------------|-----------------------------------|
D|-------|-----------0--1-2------|---------------0--1-2--------------|
A|-------|---0--3~---------------|---0-0-0-0-3~----------------------|
E|--3b---|------------------3b---|-----------------------3b----------|</t>
  </si>
  <si>
    <t>e|------------------------------------------|
B|------------------------------------------|
G|-------------3--------------------5---3---|
D|-----5-3-5---3---3--5----5--3--5--5---3---|
A|-----5-3-5-------3--5----5--3--5----------|
E|--3---------------------------------------|
e|------------------------------------------|
B|------------------------------------------|
G|-------------3----------------------------|
D|-----5-3-5---3---3--5----5-3-1------------|
A|-----5-3-5-------3--5----5-3-1------------|
E|--3---------------------------------------|</t>
  </si>
  <si>
    <t>e|----0------------|-------------------|
B|----5---3---2-0.-|0-----0-2p0--------|
G|-------(2)--2-1.-|1-----------1------|
D|--------------2.-|2-------------2-0--|
A|-----------------|hold---------------|
E|-----------------|-------------------|</t>
  </si>
  <si>
    <t>E|------------------------|------------------------|------------------------|------------------------|
B|------------------------|------------------------|------------------------|------------------------|
G|------------------------|------------------------|------------------------|------------------------|
D|-------11----11-11----11|-------11----11-11-11---|-------11----11-11----11|-------11----11-11-11---|
A|-------9-----9--9-----9-|-------9-----9--9--9----|-------9-----9--9-----9-|-------9-----9--9--9--0-|
D|-0--0-----0--------0----|-0--0-----0-----------0-|-9--9-----9--------9----|-9--9-----9-----------0-|
E|------------------------|------------------------|------------------------|------------------------|
B|------------------------|------------------------|------------------------|------------------------|
G|------------------------|------------------------|------------------------|------------------------|
D|-------7-----------7----|-------11----------11---|-------11----------11---|-------11----11-11----11|
A|-------5-----------5----|-------9-----------9----|-------9-----------9----|-------9-----9--9-----9-|
D|-5--5-----5--5--5-----5-|-9--9-----9--9--9-----9-|-9--9-----9--9--9-----9-|-0--0-----0--------0----|</t>
  </si>
  <si>
    <t>e|-----------------|-----------------|-----------------|-----------------|
B|-----------------|-----------------|-----------------|-----------------|
G|-----------------|-----------------|-----------------|-----------------|
D|-----------------|-----------------|-----------------|-----------------|
G|---7---7---7---7-|---7---7---7---7-|---7---7---7---7-|---7---7---7---7-|
D|-0---0---0---0---|-0---0---0---0---|-0---0---0---0---|-0---0---0---0---|
e|-----------------|-----------------|-----------------|-----------------|
B|-----------------|-----------------|-----------------|-----------------|
G|-----------------|-----------------|-----------------|-----------------|
D|-----------------|-----------------|---5---5---5---5-|---3---3---3---3-|
G|---7---7---7---7-|---7---7---7---7-|-----------------|-----------------|
D|-0---0---0---0---|-0---0---0---0---|-5---5---5---5---|-3---3---3---3---|
e|-----------------|-----------------|-----------------|-----------------|
B|-----------------|-----------------|-----------------|-----------------|
G|-----------------|-----------------|-----------------|---------15--15--|
D|---7---7---7---7-|---7---7---7---7-|---5---5---5---5-|---3---3---------|
G|-----------------|-----------------|-----------------|--------17B--17B-|
D|-7---7---7---7---|-7---7---7---7---|-5---5---5---5---|-3---3-----------|</t>
  </si>
  <si>
    <t>e|---------------|------------------|-----------------|------------------|
B|-------------6-|-(6)--------------|-----------------|------------------|
G|-7--7--7-5-7-5-|-(5)--7-5-5-3---0-|----0--(0)-3---0-|-----------5--3-0-|
D|-5--5--5-5-5---|--5---5-5-5-3-x-0-|-x--0--(0)-3-0-0-|-3--(3)/5--3--3-0-|
A|---------------|------------------|-----------------|-1--(1)/3---------|
E|---------------|------------------|-----------------|------------------|
e|--------------------|---------------------|------------------------|----------------|
B|--------------------|-----8-----------0---|--------------------0---|----------------|
G|-------7--(7)-5-7-7-|-(7)---5-7-5-3-0---0-|-----------0--(0)-3-0---|----------------|
D|-(5)---5---5--5-5-5-|--5----5-5-5-3-0---0-|-----(4)---0---0------0-|-3--(3)/5--5~---|
A|--------------------|---------------------|---x--------------------|-3--(3)/5--5~---|
E|--------------------|---------------------|-x----------------------|----------------|</t>
  </si>
  <si>
    <t>e|-------------|------|-3-----2-------------|
B|-------------|------|-3-----3-----1-------|
G|(2)--2-----2-|------|-0-----2-----0-----0-| 
D|-2--(2)---(2)|-(5x)-|-0-----0-----2-----0-|
A|-0-----3p0(0)|------|-------------3-----2-|
E|-------------|------|---------------------|</t>
  </si>
  <si>
    <t>eb|--------------15----14-----|--------------15----14-----|
Bb|-----15--------------------|-----15--------------------|
Gb|--------14-12----14----14--|--------14-12----14----14--|
Db|--12-----------------------|--12-----------------------|
Ab|---------------------------|---------------------------|
Eb|---------------------------|---------------------------|
eb|--------------15----14-----|--------------15----14-----|
Bb|-----15--------------------|-----15--------------------|
Gb|--------14-12----------14--|--------14-12----------14--|
Db|--14-----------------------|--14-----------------------|
Ab|---------------------------|---------------------------|
Eb|---------------------------|---------------------------| 
eb|--------------15----14-----|--------------15----14-----|
Bb|-----15--------------------|-----15--------------------|
Gb|--12----14-12----14----14--|--12----14-12----14----14--|
Db|---------------------------|---------------------------|
Ab|---------------------------|---------------------------|
Eb|---------------------------|---------------------------|
eb|--------------15----14-----|--------------15----14-----|
Bb|-----15--------------------|-----15--------------------|
Gb|--------14-12----14----14--|--------14-12----14----14--|
Db|--12-----------------------|--12-----------------------|
Ab|---------------------------|---------------------------|
Eb|---------------------------|---------------------------|</t>
  </si>
  <si>
    <t>e|------------------------------------------|
B|----3----------3--------------------------|
G|------2-0--------0-------0----------------|
D|0-0----------------0------------0h2p0-----|
A|------------3-3-------------0h2--------3--|
E|---------------------3-3------------------|
e|----------------------------------------------|
B|----3---------3-------------------------------|
G|------2-0-------0-------0---0-2p0-0-4p0-0-5b--|
D|0-0---------------0---------------------------|
A|----------3-3---------------------------------|
E|--------------------3-3-----------------------|</t>
  </si>
  <si>
    <t>e|---7--------7---------7------10/9-7--------7------------6-------------|
b|-----9--------9---------9-----------9---9----9-------8-----8----------|
g|-------8--------8---------8-------------8------8-----6-------6--------|
d|----------------------------------------9--------9---8---------8------|
a|-6---------9--------7-------------------7------------6----------------|
E|----------------------------------------------------------------------|
e|---7--------7---------7------10/9-7--------7------------6-------------|
b|-----9--------9---------9-----------9---9----9-------8-----8----------|
g|-------8--------8---------8-------------8------8-----6-------6--------|
d|----------------------------------------9--------9---8----------------|
a|-6---------9--------7-------------------7------------6----------------|
E|----------------------------------------------------------------------|</t>
  </si>
  <si>
    <t>e|----------0-1-----3----------------|
B|------1-------1-----3--------------|
G|--------2-------2------------------|
D|----2------------------------------|
A|--0---------------------3-----2-3--|
E|----------------------3------------|</t>
  </si>
  <si>
    <t>eb|-----------------|-----------------|-----------------|-----------------|
Bb|-----------------|-----------------|-----------------|-----------------|
Gb|---------6-------|---------6-------|---------2-------|---------2-------|
Db|-----9-----9---9-|-----9-----9---9-|-----6-----6---6-|-----6-----6---6-|
Ab|---7---7-----7---|---7---7-----7---|---4---4-----4---|---4---4-----4---|
Eb|-5---------------|-5---------------|-2---------------|-2---------------|
eb|-----------------|------------------|-----------------|-----------------|
Bb|-----------------|------------------|-----------------|-----------------|
Gb|-----9---7-------|-----11---9-------|---------6-------|---------6-------|
Db|---7---7---7---7-|---9----9---9---9-|-----9-----9---9-|-----9-----9---9-|
Ab|-5-----------5---|-7------------7---|---7---7-----7---|---7---7-----7---|
Eb|-----------------|------------------|-5---------------|-5---------------|</t>
  </si>
  <si>
    <t>e|---------------------------------------------------------------------------|
B|---------------------------------------------------------------------------|
G|------4--4-4---4-4-4--4/6-6-6--6b-6-6/4--4-4--4-4-4-(4)--4-4-4--4----------|
D|------x--x-x---x-x-x--x-x-x-x--x--x-x-x--x-x--x-x-x-(x)--x-x-x--x--0-------|
A|------2--2-2---2-2-2--2/4-4-4--4b-4-4/2--2-2--2-2-2-(2)--2-2-2--2--0-------|
E|-15/-----------------------------------------------------------------------|</t>
  </si>
  <si>
    <t>e|-----------------------------------------------------|
B|-----------------------------------------------------|
G|-----4-----------------------4-----------------------|
D|--------4-----------------------4--------------------|
A|--2--------2--------2--5--2--------2--------2--0--5--|
E|--------------2--5--------------------2--5-----------|</t>
  </si>
  <si>
    <t>e|---2--2---------------0------0---0---4--4--5--7----5--5--5--0-----2---2---2---0--0---2--0--|
B|---------3--0----0---------------------------------------------3---------------------------|
G|-------------------------------------------------------------------------------------------|
D|-------------------------------------------------------------------------------------------| (x2)
A|-------------------------------------------------------------------------------------------|
E|-------------------------------------------------------------------------------------------|</t>
  </si>
  <si>
    <t>e|--------------------------------|-----------------------------|
B|---10---10-10-5-5/6-6-6-6-6-6/5-|---10---10-10-5-5/6--8p6h8p6-|
G|--------------------------------|-----------------------------|
D|--------------------------------|-----------------------------|
A|-8----8-------3-3/4---------4/3-|-8----8-------3-3/4----------|
E|--------------------------------|-----------------------------|</t>
  </si>
  <si>
    <t>e|---------------------------------------------------------|
B|---------------------------------------------------------|
G|---9---7------5-----7-------9---7------5-------7---------|
D|-----7----7-----5-----7-------7----7------5--------5-5---|
A|-0----------0-----0-----0-0----------0------0------3-2-0-|
E|---------------------------------------------------------|</t>
  </si>
  <si>
    <t>e|--------------0------------------------0-----------|
B|----------1-------1----------------1-------1-------|
G|--------2-------------0----------0-------------0---|
D|------2------------------------2-------------------|
A|--0------------------------3-----------------------|
E|---------------------------------------------------|
e|----------2---2--------------------1---1-----------|
B|--------3---------3--------------1---------1-------|
G|------2---------------0--------2---------------0---|
D|--0------------------------3-----------------------|
A|---------------------------------------------------|
E|---------------------------------------------------|</t>
  </si>
  <si>
    <t xml:space="preserve">e|---------------------------|--------------------------|
B|---------------------------|--------------------------|
G|--------7b8--7-------------|---------------------5----|
D|--------------------7b8--7-|-(7)-----------5--------7-|
A|-0---0-----------0---------|------0--8--7-----7-------|
E|---------------------------|--------------------------| </t>
  </si>
  <si>
    <t>e|-------------------------|----------------------------|-------------------------|------------------------|
B|-------------------------|----------------------------|----------8b~------------|------------------------|
G|-------------------------|----------------------------|-------7-----------------|------------------------|
D|-------8-----------8-----|---------8------------8-----|---/9--------7~-------(7)|--5---------------------|
A|-------------------------|----------------------------|-------------------------|-----5-----5/7~---------|
E|-6-----------6-----------|--6------------6------------|-------------------------|--------0---------------|
e|-------------------------|---------------------------|-------------------------|-------------------------|
B|--------------8b~--------|---------------------------|-------------------------|-------------------------|
G|----------7--------------|---------------------------|-------------------------|-------------------------|
D|----/9------------7------|-(7)/5---------------------|--------5---7---7b---5~--|-------5-----------------|
A|-------------------------|----------5-------5/7~-----|--5/7--------------------|-----------0-----3~----0-|
E|-------------------------|--------------0------------|-------------------------|--------------0----------|
e|-------------------------|----------------------------|-------------------------|------------------------|
B|-------------------------|----------------------------|-------------------------|------------------------|
G|-------------------------|------------------7---7--9~-|-------0-----------------|------------------------|
D|--------5--7b----5h7-(7)~|-----5-------/9-------------|-------------------------|------------------------|
A|---5/7-------------------|---------5------------------|-------------------------|------------------------|
E|-------------------------|----------------------------|-------------15/---------|------------------------|</t>
  </si>
  <si>
    <t>e|------------------------------------|------------------------------------|
B|------------------------------------|------------------------------------|
G|------------------------------------|------------------------------------|
D|---------------------9-----8-----7--|---------------------9-----8-----7--|
A|---------------------7-----7-----7--|---------------------7-----7-----7--|
E|--0--0---0--0--0--0-----0-----0-----|--0--0---0--0--0--0-----0-----0-----|
e|------------------------------------|------------------------------------|
B|------------------------------------|------------------------------------|
G|------------------------------------|------------------------------------|
D|---------------------9-----8-----7--|---------------------9-----8-----7--|
A|---------------------7-----7-----7--|---------------------7-----7-----7--|
E|--0--0---0--0--0--0-----0-----0-----|--0--0---0--0--0--0-----0-----0-----|</t>
  </si>
  <si>
    <t>e|------------------------------------|
B|------------------------------------|
G|------2-0--------0--------0-------0-|
D|----2----------0--------0-------0---|
A|--0----------2--------3-------2-----|
E|-----------3--------1-------3-------|</t>
  </si>
  <si>
    <t>e|------------------------|------------------------|
B|------------------------|------------------------|
G|-------0----------------|-------0----------------|
D|----4-----4-----4-----4-|----4-----4-----4-----4-|
A|-2-----------2-----5----|-0-----------0-----5----|
E|------------------------|------------------------|
e|------------------------|------------------------|
B|------------------------|------------------------|
G|-------0----------------|-------2----------------|
D|----4-----4-----4-----4-|----2-----2-----2-----2-|
A|-2-----------2-----5----|-4-----------4-----0----|
E|------------------------|------------------------|</t>
  </si>
  <si>
    <t>e|------------------|------------------|-------------------------------|
B|------------------|------------------|-------------------------------|
G|------------------|------------------|-------------------------------|
D|--------3-2--2----|-3-2--2-----------|-3-2--2------------------------|
A|--------3-2--2----|-3-2--2-----------|-3-2--2------------------------|
e|-1-3-1--1-0--0----|-1-0--0-----1-3-1-|-1-0--0------------------------|</t>
  </si>
  <si>
    <t>e|-----------------------|-----------------------------|
B|-----------------------|--------2h3p2----5-----5--2--|
G|-----------------------|-----2--------2--4-----4--2--|
D|-----------------------|-----------------------------|
A|-----------------------|--0--------------------------|
E|-------------------0h2-|-----------------4--4-----2--|
e|-------------------------|-------------------------|
B|-------2-----2-----2-----|--3-----3-----3-----3--2-|
G|-------2-----2-----2-----|--2-----2-----2-----1--2-|
D|-------------------------|-------------------------|
A|-------------------------|-----------------------0-|
E|----2-----2--0--0-----0--|--2--2-----2--0--0--0----|</t>
  </si>
  <si>
    <t>e|-9-7-9----10-9-10-9-7--10-9-10---------------------------|
B|-------7-----------------------7--12-10-12-10-9-12-10----|
G|---------------------------------------------------------|(x4)
D|---------------------------------------------------------|
A|---------------------------------------------------------|
E|---------------------------------------------------------|
e|----------------9-------------10-9--9-10--9-7-9----|
B|-9-10-12--10-12---12-10-9--------------------------|
G|--------------------------11-----------------------|
D|---------------------------------------------------|
A|---------------------------------------------------|
E|---------------------------------------------------|</t>
  </si>
  <si>
    <t>e|-----------------------|----------------------|
B|-----------------------|----------------------|
G|-----------------------|------------9----7----|
D|---9------9--4----7----|--9------9--9----7----| (x3)
A|---9------9--4----7----|--9------9--7----5----|
E|---7------7--2----5----|--7------7------------|
e|----------------------|-------------------|------7------7------|
B|----------------------|-------------------|------7------7------|
G|----------------------|-------------------|--------------------|
D|--9------9--4----7----|--9----------------|--------------------|
A|--9------9--4----7----|--9----------------|--------------------|
E|--7------7--2----5----|--7----------------|--------------------|</t>
  </si>
  <si>
    <t>e|----------------2--0-0-0-0-0-0-----------------2-0-0-0-0-0-0-----------|
B|--------------3----1-1-1-1-1-1---------------3---1-1-1-1-1-1-----------|
G|--------0---2------0-0-0-0-0-0---------0---2-----2-2-2-2-2-2-----------|
D|------0---0--------2-2-2-2-2-2-------0---0-------2-2-2-2-2-2-----------|
A|----2--------------3-3-3-3-3-3-----2-------------0-0-0-0-0-0-----------|
E|--3------------------------------3-------------------------------------|</t>
  </si>
  <si>
    <t>e|-------------------------------------------3----|
B|-------------------------------------------3----|
G|-2-b4-b2-p0-------------2-b4-b2-p0--------------|
D|------------2---0-2----------------2---0-2------|
A|------------------------------------------------|
E|--------------0-------0--------------0----------|</t>
  </si>
  <si>
    <t>e|-----------------------|
B|-----------------------|
G|-----------------------|
D|-----------0-----------| 2x
A|---------2-------------|
E|-0--0--4---------------|
e|-------------------------|
B|-------------------------|
G|-------------------------|
D|-------------0--4--2--0--| 4x
A|----------2--------------|
E|-0--0--4-----------------|</t>
  </si>
  <si>
    <t>e|---------------------|-------------------|
B|---------5-----------|-------------------|
G|-1--2/4-----6----4---|-4----4------------|
D|-2--4/6-----7----7---|-4----4h6p4h6------|
A|---------------------|-------------------|
E|---------------------|-------------------|
e|----------------4----|-2h4p2p0----0--0---|
B|---------5------5----|---------0--0--0---|
G|-1--2/4-----6--------|-------------------|
D|-2--4/6-----7--------|-------------------|
A|---------------------|-------------------|
E|---------------------|-----------------0-|</t>
  </si>
  <si>
    <t>e|-----------------|-----------------|-----------------|-----------------|
B|-1---------1-----|-0---------0-----|-3---------0-----|-1---------1-----|
G|-------0-------0-|-------0-------0-|-------0-------0-|-------0-------0-|
D|-----2-------2---|-----2-------2---|-----2-------2---|-----2-------2---|
A|-3-------3-------|-3-------3-------|-3-------3-------|-3-------3-------|
E|-----------------|-----------------|-----------------|-----------------|
e|-----------------|-----------------|-----------------|-----------------|
B|-0---------0-----|-3---------3-----|-1---------1-----|-0---------0-----|
G|-------2-------2-|-------2-------2-|-------2-------2-|-------2-------2-|
D|-----2-------2---|-----2-------2---|-----2-------2---|-----2-------2---|
A|-0-------0-------|-0-------0-------|-0-------0-------|-0-------0-------|
E|-----------------|-----------------|-----------------|-----------------|
e|-----------------|-----------------|-----------------|-----------------|
B|-3---------3-----|-1---------1-----|-0---------0-----|-3---------3-----|
G|-------0-------0-|-------0-------0-|-------0-------0-|-------0-------0-|
D|-----2-------2---|-----2-------2---|-----2-------2---|-----2-------2---|
A|-3-------3-------|-3-------3-------|-3-------3-------|-3-------3-------|
E|-----------------|-----------------|-----------------|-----------------|
e|-----------------|-----------------|-----------------|-----------------|
B|-1---------1-----|-0---------0-----|-3---------3-----|-1---------------|
G|-------2-------2-|-------2-------2-|-------2-------2-|-------2---------|
D|-----2-------2---|-----2-------2---|-----2-------2---|-----2-----------|
A|-0-------0-------|-0-------0-------|-0-------0-------|-0-------0---2---|
E|-----------------|-----------------|-----------------|-----------------|</t>
  </si>
  <si>
    <t>eb|-------0-0-0-0-0-|---7-7-7-7-7-7-7--|------0-0-0-0-0-0-0-0-|--------------|
Bb|--3su5-5-5-5-5-5-|---8-8-8-8-8-8-8--|-3su5-5-5-5-5-5-5-5-5-|--------------|
Gb|-----------------|------------------|----------------------|--0-b2--0-----|
Db|-----------------|------------------|----------------------|----------2---|
Ab|-----------------|------------------|----------------------|--------------|
Eb|-----------------|------------------|----------------------|--------------|
eb|----0----0-----0-----0-|-----0-----0-----0-2-0-|-0-0----0----0-----0------|
Bb|----0----0-----0-----0-|-----0-----0-----0-2-0-|-0-0----0----0-----0------|
Gb|----1----1-------------|-----------------1-2-1-|-1-1----------------------|
Db|-----------------------|--2--------------------|--------------------------|
Ab|------------2-----4----|--------------2--------|----------2-----4---------|
Eb|-0-----3---------------|--------3--------------|------3-------------------|
eb|-----0-----0---0-2-0--|-----0-----0-----0-----0-|---0----0------0--2--0---|
Bb|-----0-----0---0-2-0--|-----2-----2-----2-----2-|---2----2------0--2--0---|
Gb|---------------1-2-1--|-----2-----2-----2-----2-|-2-2----2---------2------|
Db|--2-------------------|--------------2-----4----|-------------2-----------|
Ab|-------------2--------|--0-----4----------------|------4------------------|
Eb|--------3-------------|-------------------------|-------------------------|
eb|----0------0-------0-----0-|---0-----0-----0---------|-----------------------|
Bb|----0------0-------0-----0-|---0-----0-----0-------3-|------3-----3----------|
Gb|---------------------------|------------------2su4---|-2su4---2su4--2p0------|
Db|---------------------------|-2-----------------------|------------------2----|
Ab|---------------2------4----|------------2------------|-------------------0h2-|
Eb|-0-----3-------------------|------3------------------|-----------------------|
eb|---|------------------------------|----0----------------------------------|
Bb|---|------------------------------|----0--2su3-3-3-3-3-3------------------|
Gb|---|------------------------------|----1--3su4-4-4-4-4-4-2p0--------------|
Db|---|-0-1-2----------------------2-|--------------------------2------------|
Ab|-2-|--------0-2-1--0h1p0---0------|---------------------------------------|
Eb|---|---------------------3----3---|-0-------------------------------------|</t>
  </si>
  <si>
    <t>e|-----------------|-----------------|-----------------|-----------------|
B|-----------------|-----------------|-----------------|-----------------|
G|-9-----2-2-----6-|-6---4-4---------|-9-----2-2-----6-|-6-4-4-2-2-4-4---|
D|-9-----2-2-----6-|-6---4-4---------|-9-----2-2-----6-|-6-4-4-2-2-4-4---|
A|-7-----0-0-----4-|-4---2-2---------|-7-----0-0-----4-|-4-2-2-0-0-2-2---|
E|-----------------|-----------------|-----------------|-----------------|</t>
  </si>
  <si>
    <t>e|-4-----4---|-3-----3---|-4-----4---|-3-----3---|
B|-6-----6---|-4-----4---|-3-----3---|-2--1--2--1|
G|----5-----5|----5-----5|----5-----5|-----------|
D|-----------|-----------|-----------|-----------|
A|-----------|-----------|-----------|-----------|
E|-----------|-----------|-----------|-----------|
e|-4-----4---|-6-----6---|--8-----8---|--8--------|
B|-6-----6---|-8-----8---|--9-----9---|--9--------|
G|----5-----5|----5-----5|------------|--10-------|
D|-----------|-----------|----10----10|--10-------|
A|-----------|-----------|------------|-----------|
E|-----------|-----------|------------|-----------|</t>
  </si>
  <si>
    <t>e|---------------------------|--------------------------|
B|---------------------------|--------------------------|
G|---------------------------|--------------------------|
D|-----7---5-----------------|-----7---5----------------|
A|-5h7---7-----7p5-----------|-5h7---7----7p5-----------|
E|-----------------7-5/3---0-|----------------7-5/3b----|
e|-----------------------------------------------------|
B|-----------------------------------------------------|
G|-----------------------------------------------------|
D|-----7---5--------------------7---5------------------|
A|-5h7---7---7p5------------5h7---7---7p5--------------|
E|----------------7-5/3-0------------------7-5/3-5-6-7-|
e|----------------|---------------------|
B|----------------|---------------------|
G|----------------|---------------------|
D|---5p2-0h2-2~~~-|---5p2-0h2-2p0-------|
A|----------------|--------------2------|
E|----------------|-----------------3p0-|</t>
  </si>
  <si>
    <t>e|-----------------------------------------------------|
B|-----------------------------------------------------|
G|-----------------------------------------------------|
D|----------9-10-9----9---------9-10-9---------6-------|
A|-----------------12---12--11---------8-7-8-----------|
E|-12/--0----------------------------------------------|
e|-----------------------------------------------------|
B|-----------------------------------------------------|
G|-----------------------------------------------------|
D|-------9-10-9----9---------9-10-9---------6--7-------|
A|--------------12---12--11---------8-7-8--------------|
E|---0-------------------------------------------------|
e|-----------------------------------------------------|
B|-----------------------------------------------------|
G|-----------------------------------------------------|
D|-------9-10-9----9---------9-10-9---------6----------|
A|--------------12---12--11---------8-7-8--------------|
E|---0-------------------------------------------------|
e|-----------------------------------------------------|
B|-----------------------------------------------------|
G|-----------------------------------------------------|
D|-------9-10-9----9---------9-10-9---------6----------|
A|--------------12---12--11---------8-7-8--------------|
E|---0-----------------------------------------7-------|</t>
  </si>
  <si>
    <t>e|----5------5------5-5------------|
B|----5------5------5-5------------|
G|---------------------------------|
D|-------4-4-----------------------|
A|--------------------------2-3-4--|
E|2-2-----------2-2-----5----------|</t>
  </si>
  <si>
    <t>e|----------------------|--------------------------|---------------------------|
B|----------------------|--------------------------|-----------7h8p7-----------|
G|--w/ad lib. feedback--|--------6--------6--7-----|--6--7--9---------9--7--6--|
D|----------------------|--8--9-----8--9--------9--|---------------------------|
A|----------------------|--------------------------|---------------------------|
E|----------------------|--------------------------|---------------------------|
e|--------------------------|-----------------------------|--------------------------|
B|--------------------------|--------7--7h8p7------7------|--7-----------------7--9--|
G|-----6--7-----6--7--9--6--|--7--9------------10-----10--|-----7-----------7--------|
D|--9--------9--------------|-----------------------------|--------7-----7-----------|
A|--------------------------|-----------------------------|-----------9--------------|
E|--------------------------|-----------------------------|--------------------------|
e|---------------------------|--------------------------|---------------------------|
B|--9br--7------7------------|--------------------------|-----------7h8p7-----------|
G|----------10-----7--6--7---|--------6--------6--7-----|--6--7--9---------9--7--6--|
D|---------------------------|--8--9-----8--9--------9--|---------------------------|
A|---------------------------|--------------------------|---------------------------|
E|---------------------------|--------------------------|---------------------------|</t>
  </si>
  <si>
    <t>e|----------------------------|
B|----------------------------|
G|----------------------------|
D|----------------------------| x3
A|----10b----------10b--------|
E|-0------0--0-0-0-----0--0-0-|
e|--------------------------------------|
B|--------------------------------------|
G|------------------------2(3)2-0h2p0---|
D|------------------------------------2-|
A|----10b----------10b------------------|
E|-0------0--0-0-0-----0----------------|</t>
  </si>
  <si>
    <t>e|------|---------------------------------------------|-------|
B|--2---|---------------------------------------------|-------|
G|--4br-|-2---4---5-5---2-4-5---2---4---5-5---5-4---2-|-------|
D|------|-2---4---5-5---2-4-5---2---4---5-5---5-4---2-|-------|
A|------|---0---0-----------------0---0-----------0---|-------|
E|------|---------------------------------------------|-0-3-4-|</t>
  </si>
  <si>
    <t>e|--3-----2--3--2--3--2--------------------------------------------------|
B|--3-----3--3--3--3--3--3--------3-----3--------3-----3--------3-----3--|
G|--0-----2-----------2--2--------0--0--0--------0--0--0--------0-----0--|
D|--0-----0-----------0--0-----2-----2--2-----0-----2--2-----0-----0-----|
A|--x--------------------------3--------------2--------------0-----0-----|
E|--3--------------------------------------------------------------------|</t>
  </si>
  <si>
    <t>e|----------|--------------|-----------|---1---------|----------|--------------|
B|----1---3-|--------------|-----1---3-|-3-1-3---1-3-|----1---3-|--------------|
G|------2---|-1-0----------|-------2---|-2---2-2-----|------2---|-1-0----------|
D|----------|-----3-0----0-|-----------|-------------|----------|-----3-0------|
A|----------|--------0-3---|-----------|-------------|----------|---------0-3--|
D|-0--------|--------------|-0---------|-------------|-0--------|--------------|
e|---|----------|-1----------------|----------|---------------|---------------|
B|---|----1-3-3-|-1--3--3-----1--3-|----1---3-|---------------|---1---3-------|
G|---|----2-2-2-|-2--2--2--2-------|------2---|-1-0-----------|-----2---------|
D|-0-|-0--------|------------------|----------|-----3-0-----0-|---------------|
A|---|----------|------------------|----------|---------0-3---|---------------|
D|---|----------|------------------|-0--------|---------------|-0-------------|</t>
  </si>
  <si>
    <t>e|----------|----------------------------|--------------------|
B|----------|----------------------------|--------------------|
G|----------|---14---12---11---7---5h7-5h|-7-5---7---2----(2)-|
D|----------|-0----0----0----0---0-------|-----0---0----------|
A|----------|----------------------------|--------------------|
E|----------|----------------------------|--------------------|
e|--------------------------------|-------------------------|
B|--------------------------------|--------------15----(15)-|
G|---14---12---16---14---12h14-12h|-14-12---14--------------|
D|-0----0----0----0----0----------|-------0----0------------|
A|--------------------------------|-------------------------|
E|--------------------------------|-------------------------|</t>
  </si>
  <si>
    <t>e|-----------------------------------------------------------------------|
B|----------3---------------3----------------3----------------3----------|
G|------2-------2-------3-------3--------0-------0--------2-------2------|
D|--0-------------------------------------------------0------------------| (4x)
A|-------------------1---------------3-----------------------------------|
E|-----------------------------------------------------------------------|
e|------------10--10-----------------------10--10-------------------------|
B|---------10--------10-----------------10--------10----------------10----|
G|------10--------------10-----------10--------------10-----9-10-12-------|
D|---12--------------------12-----12---------------------12---------------|
A|------------------------------------------------------------------------|
E|------------------------------------------------------------------------|
e|-----------13--13/12--------------------12--10-------------------------|
B|--------13-----------13--------------13--------10----------------------|
G|-----14-----------------14--------14--------------10-------------------|
D|--15---------------------------14--------------------12----------------|
A|-----------------------------------------------------------------------|
E|-----------------------------------------------------------------------|</t>
  </si>
  <si>
    <t>e|---------------------------|---------------------------|
B|-3----------3--------------|-2-------------------------|
G|-------2-------2-----------|------------3--------------|
D|----4-----4----------------|-------4-------4---4-2-----|
A|-5-----------------4-2-----|----4-----4------------5-2-|
E|-----------------------5-4-|-2-------------------------|
e|-----------------------------|---------------------------|
B|-3-----------3h5p3-----------|---------------------------|
G|---------2---------2---------|------------3--------------|
D|-----4-----4-----------4/6-6-|-------4-------4---4-2-----|
A|-4/5---5---------------5/7-7-|----4-----4------------5-2-|
E|-----------------------------|-2-------------------------|
e|-----------------------------|---------------------------|
B|-3------------3--------------|-2-------------------------|
G|---------2-------2-----------|------------3--------------|
D|-----4------4----------------|-------4-------4---4-2-----|
A|-4/5---5-------------4-2-----|----4-----4------------5-2-|
E|-------------------------5-4-|-2-------------------------|
e|------------------------------|----------------------------|
B|-3------------3h5p3-----------|----------------------------|
G|---------2----------2---------|------------3-------3-------|
D|-----4------4-----------4/6-6-|-------4-------4------4-----|
A|-4/5---5----------------5/7-7-|----4-----4------4------4/7-|
E|------------------------------|-2--------------------------|</t>
  </si>
  <si>
    <t>e|--------------------------------------|
B|--------0--1--------------------------|
G|--------2-------------------0-2-------|
D|-----2------- 2-0-2HP------------3--0-|
A|--0--------------------3---3----------|
E|-------------------------1------------|(x4)</t>
  </si>
  <si>
    <t>E|-------------------------|
B|-------------------------|
G|-------------------------|
D|-----------3h4-----------|
A|-0-3h5-x-x-----5-0-2h3-2-|
D|-0---------------0-2h3-2-|</t>
  </si>
  <si>
    <t>D|----------------------------------------------------------------------------|
A|----------------------------------------------------------------------------|
G|--2---2---2------2---2---2-------3---3---3------3---3---3-------------------|
D|--0---0---0------0---0---0-------0---0---0------0---0---0-------------------|
A|--5---5---5------5---5---5-------5---5---5------5---5---5-------------------|
D|-----------------------------0------------------------------0---------------|
D|---------------------------------------------------------------------------|
A|---------------------------------------------------------------------------|
G|--4---4---4------4---4---4-------5---5---5------5---5---5------------------|
D|--0---0---0------0---0---0-------0---0---0------0---0---0------------------|
A|--5---5---5------5---5---5-------5---5---5------5---5---5------------------|
D|-----------------------------0------------------------------0--------------|
D|----------------------------------------------------------------------------|
A|----------------------------------------------------------------------------|
G|--7---7---7------2---2---2-------3---3---3------3---3---3-------------------|
D|--0---0---0------0---0---0-------0---0---0------0---0---0-------------------|
A|--5---5---5------5---5---5-------5---5---5------5---5---5-------------------|
D|-----------------------------0------------------------------0---------------|
D|---------------------------------------------------------------------------|
A|---------------------------------------------------------------------------|
G|--4---4---4------4---4---4-------5---5---5------5---5---5------------------|
D|--0---0---0------0---0---0-------0---0---0------0---0---0------------------|
A|--5---5---5------5---5---5-------5---5---5------5---5---5------------------|
D|-----------------------------0------------------------------0--------------|</t>
  </si>
  <si>
    <t>e|---------13-------------------12------------------10-------|
B|-----------------------------------------------------------|
G|----14-------14---------12-------12--------10---------10---|
D|--0-------------------0-----------------0------------------|
A|-----------------------------------------------------------|
E|-----------------------------------------------------------|
e|---------8----------------5-----------------------3------------3/1---|
B|---------------------------------------------------------------------|
G|----9------9--------5--------5------------4----------4---------4/2---|
D|-0-------------0--------------------0--------------------------------|
A|---------------------------------------------------------------------|
E|---------------------------------------------------------------------|</t>
  </si>
  <si>
    <t>e|--------------------7--10--12--|------9----------9----------|
B|--7-----7-----7----------------|--11-----11-------------11--|
G|--7--7-----------7-----7---9---|--11---------11-----11------|
D|--9--------9-------------------|--8-------------------------|
A|--9----------------------------|----------------------------|
E|--7----------------------------|----------------------------|
e|--5-----5---7---5-------5-7-------|------7---7-------7-------|
B|------5---------------5-------5-7-|--7---------7---7---------|
G|----------------------------------|--7-----7-----7-----------|
D|--7---------------7---------------|--------------------------|
A|--------------------------7-------|--------------------------|
e|----------------------------------|--------------------------|
e|-----7-----7--------7-------------10--|
B|--8-----------8--------8--10h12-------|
G|--7-----7--------7--------------------|
D|--9-----------------------------------|
A|--------------------------------------|
E|--------------------------------------|
e|------10----------10----------10----------10------|
B|--10------------------------------10----------11--|
G|----------11--11------11--11----------------------|
D|--------------------------------------12----------|
A|--------------------------------------------------|
E|--------------------------------------------------|
e|-----7-----7--------7--7---------|------9------9----------9--|
B|--------------8--8--------8------|----------------11---------|
G|--9-----9--------------------9---|--11-----11---------11-----|
D|---------------------------------|---------------------------|
A|-----------------------------10--|--9------------------------|
E|---------------------------------|---------------------------|</t>
  </si>
  <si>
    <t>e|-----------------------------------|-----------------------------------|
B|-----------------------x-12b---10~-|-----------------------x-12b---10~-|
G|--14--14-14-14--14-14--x-----------|--13--13-13-13--13-13--x-----------|
D|--x---x--x--x---x--x---x-----------|--x---x--x--x---x--x---x-----------|
A|--12--12-12-12--12-12--------------|--11--11-11-11--11-11--------------|
E|-----------------------------------|-----------------------------------|
e|-----------------------------------|-------------------------------|
B|-----------------------x-12b---10~-|-----------------x-12b-12b-12b-|
G|--10--10-10-10--10-10--x-----------|--9--9-9-9--9-9--x-------------|
D|--x---x--x--x---x--x---x-----------|--x--x-x-x--x-x--x-------------|
A|--8---8--8--8---8--8---------------|--7--7-7-7--7-7----------------|
E|-----------------------------------|-------------------------------|</t>
  </si>
  <si>
    <t>e|----------------------|----------------------|----------------------|----------------------|
B|----------------------|----------------------|----------------------|----------------------|
G|----------------3-3-0-|----------------6-6-6-|----------------3-3-0-|----------------6-6-6-|
D|-3--3-3-x-x-x-x-3-3-0-|-6--6-6-x-x-x-x-6-6-6-|-3--3-3-x-x-x-x-3-3-0-|-6--6-6-x-x-x-x-6-6-6-|
A|-3--3-3-x-x-x-x-1-1-0-|-6--6-6-x-x-x-x-4-4-4-|-3--3-3-x-x-x-x-1-1-0-|-6--6-6-x-x-x-x-4-4-4-|
E|-1--1-1-x-x-x-x-------|-4--4-4-x-x-x-x-------|-1--1-1-x-x-x-x-------|-4--4-4-x-x-x-x-------|</t>
  </si>
  <si>
    <t>eb|-------------------------------|----------------------------------|
Bb|-------------------------------|----------------------------------|
Gb|-------------------------------|----------------------------------|
Db|-------------------------------|----------------------------------|
Ab|-7--7--5----x--7---7--5--4-----|-7--7----5----x--7---7---5--4-----|
Eb|-5--5--3----x--5---5--3--2--0--|-5--5----3----x--5---5---3--2--0--|
eb|----------------------------------|---------------------------------|
Bb|----------------------------------|---------------------------------|
Gb|----------------------------------|--7p5---7p5----------------------|
Db|----------------------------------|------7-----7-5------------------|
Ab|-7--7----5----x--7---7---5--4-----|----------------7-6-5/3-5-3------|
Eb|-5--5----3----x--5---5---3--2--0--|----------------------------5-3--|</t>
  </si>
  <si>
    <t>[Intro]
e|----------8--------|-11------11----11-----11-----11-----11------|
B|---------b7--------|--------------------------------------------|
G|-------------------|---12p11--12p11--12p11--12p11--12p11--12p11-|
D|-7---7-7-----------|--------------------------------------------|
A|-0---0-0-----------|--------------------------------------------|
E|-------------------|--------------------------------------------|
e|----------8--------|-17-17-17-17------17---17---17--17--|
B|---------b7--------|------------------------------------|
G|-------------------|-14-14-14-14------14---14---14--14--|
D|-7---7-7-----------|------------------------------------|
A|-0---0-0-----------|------------------------------------|
E|-------------------|------------------------------------|
[Verse]
e|--------------------|--------------------|--------------------|--------------------|
B|--------------------|--------------------|--------------------|--------------------|
G|----7---6---5-------|--------7---8---9---|----7---6---5-------|-----------8--7-----|
D|-7-------------5--5-|-7------------------|-7-------------5--5-|-7------7--------5--|
A|--------------------|--------------------|--------------------|--------------------|
E|--------------------|--------------------|--------------------|--------------------|</t>
  </si>
  <si>
    <t>D |-----|-------------------------------|------------------------------|-------|
A |-----|-------------------------------|------------------------------|-------|
F#|-----|-------------------------------|------------------------------|-------|
D |-----|-------------------------------|------------------------------|-------|
A |-----|-------3p0-0-5-----------------|-------3--0-5-----------------|-------|
D |-15/-|-/7--7-------0----0-0--6-5-3-0-|-/7--7------0----0-0--6-5-3-0-|-------|
D |-------------------------------|-------------------|------------------------|
A |-------------------------------|-------------------|------------------------|
F#|-------------------------------|-------------------|------------------------|
D |-------------------------------|-------------------|------------------------|
A |-------3p0-0-5-----------------|-5-3---------------|------------------------|
D |-/7--7-------0----0-0--6-5-3-0-|-----6-5-3-0-3-5-0-|------------------------|</t>
  </si>
  <si>
    <t>e|---------|---------------------------|--------------------------|
B|---------|---------------------------|--------------------------|
G|-------0-|-2-------------------2-2-2-|-2----------------------0-|
D|-----0---|-2----0h7h9---7------2-2-2-|-2----0h7h9--7-9b10r9-7-0-|
A|-10/-----|-0-/7----------------0-0-0-|-0-/7---------------------|
E|---------|---------------------------|--------------------------|
e|---------------------------|--------------------------|
B|---------------------------|--------------------------|
G|-2-------------------0-0-0-|-2----------------------0-|
D|-2----0h7h9---7------0-0-0-|-2----0h7h9--7-9b10r9-7-0-|
A|-0-/7----------------0-0-0-|-0-/7---------------------|
E|---------------------------|--------------------------|</t>
  </si>
  <si>
    <t>e|-----------------|-----------------|---------0-------|-----------------|
B|---------9-------|-----------------|---------5-------|-----------------|
G|o--------9-------|-----------------|---------7-------|-----------------|
D|o--------9-------|-----------------|---------7-------|-----------------|
A|---------7-------|-----------------|-----------------|-----------------|
E|-0-0---0---------|-----------------|-0-0---0---------|-----------------|
e|---------3-------|-----------------|---------0-------|-----------------|
B|---------3-------|-----------------|---------3-------|-----------------|
D|---------2-------|-----------------|---------5-------|----------------o|
G|---------2-------|-----------------|---------5-------|----------------o|
A|---------0-------|-----------------|-----------------|-----------------|
E|-0-0---0---------|-----------------|-0-0---0---------|-----------------|
e|-----------------|-----------------|
B|-3-----3-----3---|---3-----3---3---|
G|-0-----0-----2---|---0-----0---2---|
D|-x-----x-----x---|---x-----x---2---|
A|-3-----2-----0---|---3-----2---0---|
E|-----------------|-----------------|</t>
  </si>
  <si>
    <t>e|------------------------------------------------------------------|
B|------------------------------------------------------------------|
G|------------------------------------------------------------------| (x3)
D|------------------------------------------------------------------|
A|-----------4-------5-------4-------2--------------2---------------|
E|-----2-2-------2-------2-------2-------5---4---5-----5---4---0----| 
e|------------------------------------------------------------|
B|------------------------------------------------------------|
G|------------------------------------------------------------|
D|-----------------------------------7-------9----------------|
A|-----------4-------5-------4-------5-------7------(12/)-----|
E|-----2-2-------2-------2-------2------------------(12/)-----|</t>
  </si>
  <si>
    <t>e|---------------------------------|--------------------------------------|
B|---------------------------------|--------------------------------------|
G|---------------------------------|--------------------------------------|
D|---------7-------7--/9---9-------|-12/11-12/11-12-/-7---7--/9---9-------|
A|-9-------5-------5--/7---7-------|-10/9--10/9--10-/-5---5--/7---7-------|
E|-7-------------------------------|--------------------------------------|</t>
  </si>
  <si>
    <t>e|------------------------------------|--------------------------------|
B|--0h4p0h7p0h4p0h7p0h4p0h7p0h4p0h7p0h|4p0h7p0h4p0h7p0h4p0h7p0h4p0h7p0h|
G|------------------------------------|--------------------------------|
D|------------------------------------|--------------------------------|
A|------------------------------------|--------------------------------|
E|------------------------------------|--------------------------------|
e|----------------------------------|--------------------------------|
B|--5p0h8p0h5p0h8p0h5p0h8p0h5p0h8p0h|5p0h8p0h5p0h8p0h5p0h8p0h5p0h8p0h|
G|----------------------------------|--------------------------------|
D|----------------------------------|--------------------------------|
A|----------------------------------|--------------------------------|
E|----------------------------------|--------------------------------|
e|-------------------------------------|--------------------------------|
B|--12p0h10p0h9p0h10p0h9p0h7p0h9p0h5p0h|7p0h4p0h5p0h4p0h5p0h4p0h5p0h4p0h|
G|-------------------------------------|--------------------------------|
D|-------------------------------------|--------------------------------|
A|-------------------------------------|--------------------------------|
E|-------------------------------------|--------------------------------|
e|-------------------------------------|--------------------------------|
B|--12p0h10p0h9p0h10p0h9p0h7p0h9p0h5p0h|7p0h4p0h5p0h4p0h5p0h4p0h5p0h4p0h|
G|-------------------------------------|--------------------------------|
D|-------------------------------------|--------------------------------|
A|-------------------------------------|--------------------------------|
E|-------------------------------------|--------------------------------|</t>
  </si>
  <si>
    <t>e|------------------------------------|
B|------------------------------------|
G|-------8-------4-------6------------|
D|----6-------2-------4----------6-7--|
A|-4-------0-------2----------4-------|
E|-------------------------2----------|</t>
  </si>
  <si>
    <t>e|-------5-7-----7-|-8-----8-2-----2-|-0---------0-----|-----------------|
B|-----5-----5-----|---5-------3-----|---1---1-----1---|-0-1-1-----------|
G|---5---------5---|-----5-------2---|-----2---------2-|-0-2-2-----------|
D|-7-------6-------|-5-------4-------|-3---------------|-----------------|
A|-----------------|-----------------|-----------------|-2-0-0---0--/8-7-|
E|-----------------|-----------------|-----------------|-----------------|
e|---------7-----7-|-8-----8-2-----2-|-0---------0-----|-----------------|
B|-------5---5-----|---5-------3-----|---1---1-----1---|-0-1-1-----------|
G|-----5-------5---|-----5-------2---|-----2---------2-|-0-2-2-----------|
D|---7-----6-------|-5-------4-------|-3---------------|-----------------|
A|-0---------------|-----------------|-----------------|-2-0-0-------0-2-|
E|-----------------|-----------------|-----------------|-----------------|
e|-------0-2-----2-|-0-----0----------|---------3-----3-|-3^2-2-2---------|
B|-----------3-----|---1-----0h1------|-1-----1---0-----|-----3-3---------|
G|-----0-------2---|-----2-------2----|---0---------0---|-----------------|
D|---2-----0-------|-3----------------|-----2-----------|-0---0-0---------|
A|-3---------------|---------0----0-2-|-3---------------|-------------0-2-|
E|-----------------|------------------|---------3-------|-----------------|
e|---------2-----2-|-0-----0----------|---------------2-|-0-0-0-----------|
B|-------1---3-----|---1-----0-1------|-------1-----3---|-1-1-1-----------|
G|-----0-------2---|-----2-------2----|-----0-----2-----|-2-2-2-----------|
D|---2-----0-------|-3----------------|---2-----0-------|-3-3-3-----------|
A|-3---------------|---------0----0-2-|-3---------------|-----------------|
E|-----------------|------------------|-----------------|-----------------|</t>
  </si>
  <si>
    <t>e|-------|-------------|-------------------|
B|-------|-------------|-------------------|
G|-------|-------0---2-|-0-------3-3-2-0---|
D|-------|-----2---3---|-------0-----------|
A|---0-2-|---3---------|-----2-------------|
E|-3-----|-------------|---3---------------|</t>
  </si>
  <si>
    <t>e|-----------------------------------------|
B|-----------------------------------------|
G|-----------------------------------------|
D|-----------------------5-----------------|x2
A|---------3-------5-5-/7---7p5-3--5---5---|
E|---5-3-5----5-3-5-----------------3---2--|
e|-----------------------------------------------------|
B|--------12-12--------------------14-12---------------|
G|--------12-12--------------------14-12---------------|
D|--------12-12--------5-----------14-12--------5------|x2
A|---2-2-------------5---5h7--2-2-------------5---5h7--|
E|---0-0---------5h7----------0-0---------5h7----------|
[Solo]
e|--------------------------------------------------------------------|
B|--------------------------------------------------------------------|
G|-5~-7b(half)--5--------------2-5p2p0-5p2p0-5p2p0-5p2p0--------------|
D|-5~------------7p5--------------------------------------------------|
A|-------------------7p6p5/3-5v---------------------------------------|
E|--------------------------------------------------------------------|
e|--------------------------17------17------20p17---17----------------|
B|-----------------------17---20p17---20p17------20---20p17-----------|
G|-5p2p0-5p2p0-5-/17v-19b-----------------------------------19-17-17--|
D|--------------------------------------------------------------------|
A|--------------------------------------------------------------------|
E|--------------------------------------------------------------------|
e|-------------------------------|--22b-22b-|-22b-22b--|5---5-7-5-7-8--|
B|-----10p8--10p8--8-------------|----------|----------|5-5-5-8-5-8-10-|
G|--/9-----9-----9---9-7-5h7-5v--|----------|----------|--5------------|
D|-------------------------------|----------|----------|---------------|
A|-------------------------------|----------|----------|---------------|
E|-------------------------------|----------|----------|---------------|</t>
  </si>
  <si>
    <t>e|--------------------------------|
B|--------------------------------|
G|--------------------------------|
D|-2-------12--11--10-------------|
A|-2-------12--11--10-------------|
E|-0-------10---9---8-------------|
e|--------------------------------------------------------------------|
B|--------------------------------------------------------------------|
G|--------------------------------------------------------------------|
D|-------------------12--11--10---------------------------------------|
A|-------------------12--11--10---------------------------------------|
E|-0-0-12-0-0-11-0-0-10---9---8-------0-0-7-0-0-6-0-0-5-0-4-0-3-0-2-1-|(x4)
e|-----------------------------------------------------------------|
B|-----------------------------------------------------------------|
G|-----------------------------------------------------------------|
D|-----------------------------------------------------------------|
A|-----2-----3-----4-----3-----2-2-----2-----3-----5/4---5/4---5/4-|
E|-0-1---0-1---0-1---0-1---0-1-----0-1---0-1---1-0-3/2-0-3/2-0-3/2-|(x2)
e|-----------------------------------------------------------------|
B|-----------------------------------------------------------------|
G|-------------------------------------------------------------4---|
D|-------------------------------------------------------------4---|
A|-----2-----3-----4-----3-----2-2-----2-----3-----4-----3-----2---|
E|-0-1---0-1---0-1---0-1---0-1-----0-1---0-1---0-1---0-1---0-1-----|
e|-----------------------------------------------------------------|
B|-----------------------------------------------------------------|
G|-----------------------------------------------------------------|
D|-----------------------------------------------------------------|
A|-----2-----3-----4-----3-----2-2-----2-----3-----5/4---5/4---5/4-|
E|-0-1---0-1---0-1---0-1---0-1-----0-1---0-1---1-0-3/2-0-3/2-0-3/2-|</t>
  </si>
  <si>
    <t>e|----------------------------------|-------------------------------------------|
B|----------------------------------|-------------------------------------------|
G|----------------------------------|-------------------------------------------|
D|--2--2-2-2-2---------------9------|--2--2-2-2-2-------------------------------|(x3)
A|--0--0-0-0-0--7-6-7--8-7-8---7-8--|--0--0-0-0-0--7-6-7--8-6-7---6-------------|
E|----------------------------------|---------------------------8---7~~---------|
e|----------------------------------|-------------------------------------------|
B|----------------------------------|-------------------------------------------|
G|----------------------------------|-------------------------------------------|
D|--2--2-2-2-2---------------9------|--2--2-2-2-2-----------------2--3----------|
A|--0--0-0-0-0--7-6-7--8-7-8---7-8--|--0--0-0-0-0--7-6-7--8-6-7---0--1----------|
E|----------------------------------|-------------------------------------------|
e|-------------------------------------------|
B|-------------------------------------------|
G|-------------------------------------------|
D|---------2-2-2--4-4-4--5-------------------|
A|--4-4-4--0-0-0--2-2-2--3--2--3-------------|
E|--2-2-2-------------------0--1-------------|</t>
  </si>
  <si>
    <t>e|-------0-----|-------0-----|-------0-----|-------0---7-|
B|-----0---0---|-----0---0---|-----0---0---|-----0---0---|
G|---0-------0-|---0-------0-|---0-------0-|---0---------|
D|-------------|-------------|-------------|-------------|
A|-------------|-------------|-------------|-------------|
E|-0-----------|-0-----------|-0-----------|-0-----------|
e|-7-----------7p0---------|---------7---8---7h8/5---7-5-/0------|
B|-----0-----------0-------|---------0---0-----------0-------5---|
G|---------0-----------0---|-----0-------------------------------|
D|-------------------------|-------------------------------------|
A|-------------------------|-------------------------------------|
E|-0-----------------------|-0-----------------------------------|
e|-------------2p0---------|-------------0---0---0---|
B|-5-------5-------5-------|---------5-------5---5---|
G|-----5---------------5---|-----5-----------5---5---|
D|-------------------------|-------------------------|
A|-0-----------------------|-0---------------0---2---|
E|-------------------------|-------------------------|
e|-0-----------3p0-----0---|-0----------0h5p0---------|
B|-5-------5-------5---5---|-7---7-5-7--------7p0-0h5-|
G|-5-----5---5-------5-5---|-7------------------------|
D|-------------------------|--------------------------|
A|-3---3---------------3---|-5------------------------|
E|-------------------------|--------------------------|
e|-------12----|-------0-----|-------0-----|-------0-----|
B|-----12--0---|-----0---0---|-----0---0---|-----0---0---|
G|---12------0-|---0-------0-|---0-------0-|---0-------0-|
D|-------------|-------------|-------------|-------------|
A|-------------|-------------|-------------|-------------|
E|-0-----------|-0-----------|-0-----------|-0-----------|</t>
  </si>
  <si>
    <t>e|------------------------|
B|------------------------|
G|------------------------|
D|------------------------|
A|--5--------3--4~----3---|
E|-----3--6---------------|
e|----------------------------------------------------------------------------------------------------|
B|----------------------------------------------------------------------------------------------------|
G|----------------------------------------------------------------------------------------------------|
D|--------------------------6-----6--6/-----------8--8----8-------10----10-10-------------------------|
A|--5--------3--4~----3-----4-----4--4/-----------6--6----6-------8-----8--8-----6--8--6--8--9--------|
E|-----3--6--------------------------------------------------------------------------------------9~---|
e|----------------------------------------|
B|----------------------------------------|
G|----------------------------------------|
D|----------------------------------------|
A|--6--6--6--6-----9-----9--7-(7)----5~---|
E|--------------9-(9)----------7----------|</t>
  </si>
  <si>
    <t>e|-----------------------------------|---------------------------------------|
B|-----------------------------------|-----------------5-5---------5---------|
G|-7-------7-7-9-9-10-10-9-9-7-7-9-9-|-5-------5-5-7-7-----7-7-5-5---5-------| x2
D|-----7-7---------------------------|-----5-5-------------------------------|
A|-----------------------------------|---------------------------------------|
E|-----------------------------------|---------------------------------------|
e|-----------------------------------|---------------------------------------|
B|-----------------------------------|---------------------------------------|
G|-----------------------------------|-----------------4-4---------4---------|
D|-7-7-----7-7-9-9-10-10-9-9-7-7-9-9-|-5-5-----5-5-7-7-----7-7-5-5---5-------|
A|-----7-7---------------------------|-----5-5-------------------------------|
E|-----------------------------------|---------------------------------------|
e|-----------------------------------|---------------------------------------|
B|-----------------------------------|---------------------------------------|
G|-----------------------------------|-----------------2-2---------2---------|
D|-7-7-----7-7-9-9-10-10-9-9-7-7-9-9-|-3-3-----3-3-5-5-----5-5-3-3---3-------|
A|-----7-7---------------------------|-----3-3-------------------------------|
E|-----------------------------------|---------------------------------------|</t>
  </si>
  <si>
    <t>e|---------------------------------|---------------------------------|
B|---------------------------------|---------------------------------|
G|o2-2---2-------------------------|-2-2---2-------------------------|
D|o----4---4-3-2-------------------|-----4---4-2---------------------|
A|-----------------4---------------|-------------4---2-----4---------|
E|---------------------------------|-----------------------------2---|
e|---------------------------------|---------------------------------|
B|---------------------------------|---------------------------------|
G|-2-2---2-------------------------|-2-2---2-------------------------|
D|-----4---4-3-2-------------------|-----4---4-2---------------------|
A|-----------------4---------------|-------------4-3-2-----4---------|
E|---------------------------------|-----------------------------2---|
e|---------------------------------|---------------------------------|
B|---------------------------------|---------------------------------|
G|-5-5---5-------------------------|-5-5---5-------------------------|
D|-----7---7-6-5-------------------|-----7---7-5---------------------|
A|-----------------7---------------|-------------7-6-5-----7---------|
E|---------------------------------|-----------------------------5---|
e|---------------------------------|---------------------------------|
B|---------------------------------|---------------------------------|
G|-5-5---5-------------------------|-5-5---5------------------------o|
D|-----7---7-6-5-------------------|-----7---7-5-----5-5---5---5----o|
A|-----------------7---------------|-------------7-------7-------7\--|
E|---------------------------------|---------------------------------|</t>
  </si>
  <si>
    <t>e|-----------------||-------------|---------------|----------------|
B|---------------8-||-------------|-6/7---7h8p7---|----------------|
G|---------7-8h9---||-5h7-----4h7-|---------------|----------------|
D|--7-9-10---------||--------5----|-------------9-|----------------|
A|-----------------||-------------|---------------|----------------|
E|-----------------||-------------|---------------|----------------|
e|------------------|-------------|---------------|----------------|
B|----------------8-|-------------|-6/7-7--7h8p7--|----------------|
G|----------7-8h9---|-5h7-----4h7-|---------------|----------------|
D|---7-9-10---------|--------5----|-------------9-|----------------|
A|------------------|-------------|---------------|----------------|
E|------------------|-------------|---------------|----------------|
e|--5h7-5h7p5---------5----|-----7------|--5h7p5h7p5---------------|
B|------------8-(8)p5-8b10-|-----10b12--|------------8----(8)p5----|
G|-------------------------|------------|--------------------------|
D|-------------------------|------------|--------------------------|
A|-------------------------|------------|--------------------------|
E|-------------------------|------------|--------------------------|
e|-----------------|----------------------|---------|-----------------|
B|-8b10r8p5-5h7p5--|---------5---------5--|---------|------4/5h7------|
G|---------------7-|-(7)------7-5/4/5h7---|---------|-4--7-------4--7-|
D|-----------------|--------------------7-|-(7)-----|-----------------|
A|-----------------|----------------------|---------|-----------------|
E|-----------------|----------------------|---------|-----------------|
e|-5h7-5h7p5-5---------5----|-(5)----|-----------------|--------------|
B|-------------8-8p5-8-8b10-|-(8b10)-|---------------8-|--------------|
G|--------------------------|--------|---------7-8h9---|-5h7------4-7-|
D|--------------------------|--------|--7-9-10---------|--------------|
A|--------------------------|--------|-----------------|--------------|
E|--------------------------|--------|-----------------|--------------|</t>
  </si>
  <si>
    <t>e|------------------------------------------------|
B|------------------------------------------------|
G|------------------------------------------------|
D|------------------------------------------------|
A|------------------------------------------------|
E|-12/1-0-0-0-0-0-0-0-0-0-0-0-0-0-0-0-0-0-0-0-0-0-|
e|-----------------------------------------------------|
B|-----------------------------------------------------|
G|-----------------------------------------------------|
D|-----------------------------------------------------|
A|-----------------------------------------------------|
E|-1-1-1-4-4-4-5-5-5-7-7-7-7-7-7/11-8-7-7-7-7-7-7-7/1--|
e|--------------------------------------------------------|
B|--------------------------------------------------------|
G|--------------------------------------------------------|
D|--------------------------------------------------------|
A|--------------------------------------------------------|
E|-0-0-0-0-0-0-0-0-0-0-1-1-1-4-4-4-5-5-5-7-7-7-7-7-7/11-8-|
e|-------------------------------------------------------------------|
B|-------------------------------------------------------------------|
G|-------------------------------------------------------------------|
D|-------------------------------------------------------------------|
A|-------------------------------------------------------------------|
E|-7-7-7-7-7-7-7-7-7-7-7-7-8-7-8-7/5-7-5-7-5-4-1-4-4-4-4-4-4-4-4-4-4-|
e|------------------------------------------------|
B|------------------------------------------------|
G|------------------------------------------------|
D|------------------------------------------------|
A|------------------------------------------------|
E|-7-5-7-5-4-5-4-5-4-1-0-0-0~~~~~~~~~~~~~~~~~~~~~-|</t>
  </si>
  <si>
    <t>e|-------------------|-------------------|----------------------11--12--|
B|-------------------|-------------------|--------9---------12----------|
G|-------------------|-------------------|--------------11--------------|
D|-------------------|-------------------|-----9-----9------------------|
A|-------------------|-------------------|--7---------------------------|
E|-------------------|-------------------|------------------------------|
e|--------------19--17--16h-17p-16---------|----------------------------------|
B|----------17---------------------19--17--|----------12----------14--16--17--|
G|-----------------------------------------|----------------------------------|
D|------18---------------------------------|------14----------14--------------|
A|--16-------------------------------------|--11----------12------------------|
E|-----------------------------------------|----------------------------------|
e|---------------------------------|--------------------------16--17--|
B|----------17--16b----------------|----------21----------19----------|
G|---------------------16----------|----------------------------------|
D|------18-----------------16------|------21----------21--------------|
A|--16-------------------------14--|--19----------18------------------|
E|---------------------------------|----------------------------------|
e|----------------------------------|----------------------------------|
B|----------17--16------------------|----------12----------14--16--17--|
G|------------------16--------------|----------------------------------|
D|------18--------------16--14--13--|------14----------14--------------|
A|--16------------------------------|--11----------12------------------|
E|----------------------------------|----------------------------------|
e|-----------------------------19~----|----------------------11--12--|
B|----------17-------------19---------|--------9---------12----------|
G|------------------------------------|--------------11--------------|
D|------18-------------21-------------|-----9-----9------------------|
A|--16----------16S-18----------------|--7---------------------------|
E|------------------------------------|------------------------------|</t>
  </si>
  <si>
    <t>e|----------5/6-6-6-5/6-6-6-6-6-6------------------------------------|
B|-------6--5/6-6-6-5/6-6-6-6-6-6-9-8-6-6----------------------------|
G|---6h7--------------------------------6h7--------------------------|
D|-8----------------------------------------8-6--8-8-8-8-8-8-8-8-----|
A|-----------------------------------------------8-8-8-8-8-8-8-8-----|
E|-------------------------------------------------------------------|
e|--------------------------------6----------------------------------|
B|-6-----6----------------6-------6-------6-------6-------6----------|
G|-6-7-8-6h7----8b9--8b10---8b10----8b10----8b10-----8b10------------|
D|------------8------------------------------------------------------|
A|-------------------------------------------------------------------|
E|-------------------------------------------------------------------|
e|-------------------------------------------6---9-8-6------------------------|
B|------6-------6------6------6------6---------6-------9-8-6-6---8---6--------|
G|-8b10---8b10----8b10---8b10---8b10---8b10------------------6h7-8---6h7-7----|
D|-----------------------------------------------------------------8-----8----|
A|----------------------------------------------------------------------------|
E|----------------------------------------------------------------------------|
e|------------------------------------|
B|---6---8-6--------------------------|
G|---6h7-8-6h7-7/---------------------|
D|-8-----------8/---10-10-10-10-10----|
A|------------------8--8--8--8--8-----|
E|------------------------------------|</t>
  </si>
  <si>
    <t>e|---------------------------------------------------------------------||
B|---------------------------------------------------------------------||
G|--------------7----------------------------------7-------------------||
D|---------9-10--10-9-7--7-10-9-7-------------9-10---10-9--------------||
A|-------7------------------------10-9------7-------------9--12-10-9---||
E|---0-0--------------------------------0-0---------------10-14-12-10--||
e|-------------------------------------------------------------------||
B|-------------------------------------------------------------------||
G|--------------7----------------------------------7-----------------||
D|---------9-10--10-9-7--7-10-9-7-------------9-10---10-9------------||
A|-------7------------------------10-9------7-------------9--12-10/--||
E|---0-0--------------------------------0-0---------------10-14-12/--||
e|--------------------------------------------------------------||
B|--------------------------------------------------------------||
G|--------7*-------------------------------7*-------------------||
D|---9-10-----10-9-7--7-10-9-7--------9-10----10-9--------------||
A|-----------------------------10-9----------------9--12-10-----||
E|-------------------------------------------------10-14-12-10*-||</t>
  </si>
  <si>
    <t>e|---------------------------------------|
B|-----------7--------10--7--9--7--------|
G|--------9-----9------------------9-----|
D|-----9-----------9------------------9--|
A|--7------------------------------------|
E|---------------------------------------|
e|--------------------------------------|---------------------------------------|
B|-----------7--------------------------|-----------7--------10--7--9--7--------|
G|--------9-----9-----7--6-----------6--|--------9-----9------------------9-----|
D|-----9-----------9--------9--7--9-----|--9--------------9------------------9--|
A|--7-----------------------------------|-----7---------------------------------|
E|--------------------------------------|---------------------------------------|
e|--10--7--9--7-9-7-------------------------|
B|-------------------10--7--10----10----10--|
G|------------------------------9-----7-----|
D|------------------------------------------|
A|------------------------------------------|
E|------------------------------------------|
e|---------------------------------------|--------------------------------------|
B|-----------7--------10--7--9--7--------|-----------7--------------------------|
G|--------9-----9------------------9-----|--------9-----9-----7--6-----------6--|
D|-----9-----------9------------------9--|-----9-----------9--------9--7--9-----|
A|--7------------------------------------|--7-----------------------------------|
E|---------------------------------------|--------------------------------------|
e|---------------------------------------|
B|-----------7--------10--7--9--7--------|
G|--------9-----9------------------9-----|
D|--9--------------9------------------9--|
A|-----7---------------------------------|
E|---------------------------------------|
e|--------------------7--10--7--12--9------|
B|-----------------8-------------------10--|
G|-----------4/-7--------------------------|
D|--------5--------------------------------|
A|-----5-----------------------------------|
E|--3--------------------------------------|</t>
  </si>
  <si>
    <t>e|---------------------------------------------------------|
B|---------------------------------------------------------|
G|---------------------------------------------------------|
D|------------------------------------------------5--------| (x4) 
A|--(7)--7--7-5-----5--5--5-3-----3--3--3-1-----5---5--7---|
E|--------------7-------------5-------------3--------------|
e|------------------7----------------------------------------|
B|--8--7h8p7h8p7h8-----8--7h8p7h8p7h8--8-----------8---------|
G|----------------------------------------9--9~--7---7--9~---|
D|-----------------------------------------------------------|
A|-----------------------------------------------------------|
E|-----------------------------------------------------------|</t>
  </si>
  <si>
    <t>e|---------------------------------------------13--10----------------|
B|-12--------12--15-13-12--------10--------10---------13-11-10-11-10-|
G|-----12h14--------------14-12------10h12---------------------------|
D|-------------------------------------------------------------------|
A|-------------------------------------------------------------------|
E|-------------------------------------------------------------------|
e|----------------------------------------|
B|-10--------10--13-p11p10-------------10-|
G|-----10h12---------------12p10----10----|
D|-------------------------------12-------|
A|----------------------------------------|
E|----------------------------------------|</t>
  </si>
  <si>
    <t>e|----------------------------------|------------------------------------|
B|----------------------------------|------------------------------------|
G|----4---4h6h4---4-----4---4h6h4---|------------------------6---6h8h6---|x4
D|--6---6-------6-----6---6-------6-|----4---4h6h4---4-----8---8-------8-|
A|6-----------------7---------------|--6---6-------6---6/9---------------|
E|----------------------------------|7-----------------------------------|</t>
  </si>
  <si>
    <t>e|--21-17-------17-12----------------------|--17~----14--15--17~----14--15--|
B|--------17----------14-------------------|--------------------------------|
G|-----------18----------14----------------|--------------------------------|
D|--------------------------14-------------|--------------------------------|
A|-----------------------------12~---------|--------------------------------|
E|-----------------------------------------|--------------------------------|
e|--17----------------------14--15--|--14~------------14~------------|
B|--------------14--15--17----------|---------15--17-----------------|
G|------14--16----------------------|--------------------------------|
D|----------------------------------|------------------------16--17--|
A|----------------------------------|--------------------------------|
E|----------------------------------|--------------------------------|
e|----------------------------------|--------------------------------|
B|----------------------15--14--15--|--------------------------------|
G|--14--16--14------14--------------|---------16--14-----------------|
D|--------------17------------------|--17~------------17~----16--14--|
A|----------------------------------|--------------------------------|
E|----------------------------------|--------------------------------|
e|----------------------------------|--------------------------------|
B|----------------------------------|------------------------14--15--|
G|--------------------------14--16--|---------16--14--16~------------|
D|--16--14------14--16--17----------|--17~---------------------------|
A|----------17----------------------|--------------------------------|
E|----------------------------------|--------------------------------|
e|----------------------14--15--17--|--14~------------14~------------|
B|----------14--15--17--------------|---------15--17---------17--15--|
G|--14--16--------------------------|--------------------------------|
D|----------------------------------|--------------------------------|
A|----------------------------------|--------------------------------|
E|----------------------------------|--------------------------------|
e|---------------------------------|--------------------------------|
B|--17--14--15--17--17b----15--14--|--15~--------14--15~------------|
G|---------------------------------|---------16---------------------|
D|---------------------------------|------------------------16--17--|
A|---------------------------------|--------------------------------|
E|---------------------------------|--------------------------------|
e|----------------------------------|--------------------------------|
B|----------------------15--14--15--|---------15--14-----------------|
G|--14--16--14------14--------------|--16~------------16~----14------|
D|--------------17------------------|----------------------------17--|
A|----------------------------------|--------------------------------|
E|----------------------------------|--------------------------------|
e|----------------------------------|--------------------------------|
B|--------------------------14--15--|---------15--14--15~----14------|
G|--14--------------14--16----------|--16~-----------------------16--|
D|------17--16--17------------------|--------------------------------|
A|----------------------------------|--------------------------------|
E|----------------------------------|--------------------------------|
e|----------------------------------|-------------------------|
B|--14--15--17--15--14--15------14--|--15~--------8--7--------|
G|--------------------------16------|-------------------------|
D|----------------------------------|-------------------------|
A|----------------------------------|-------------------5--5--|
E|----------------------------------|-------------------------|
e|-------------------------|-------------------------|-------------------------|
B|-------------5--7--------|-------------2-----3-----|-------------------------|
G|-------------------------|--4----------------------|-------------------------|
D|--7----------------------|--4----------------------|--4----------2-----4-----|
A|--7----------------0--0--|--2----2--2-----2-----2--|--4----------2-----4-----|
E|--5----5--5--------------|-------------------------|--2----2--2--0--0--2--2--|
e|-------------------------|-------------------------|---------------------------|
B|-------------------------|-------------8--7--5-----|---------------------------|
G|----------------4/----6--|--7-------------------7--|-------------4/--6h--7--6--|
D|--5-------------5/----7--|--7----------------------|--5------------------------|
A|--5----------------------|--5----5--5--------------|--5------------------------|
E|--3----3--3--3-----------|-------------------------|--3----3--3----------------|
e|--------------------------------------------------|----------------------|
B|--------------------------------------14--15--17--|--17b~----------------|
G|--------------14--16--18--14--16--18--------------|----------------------|
D|--14--16--17--------------------------------------|----------------------|
A|--------------------------------------------------|----------------------|
E|--------------------------------------------------|----------------------|</t>
  </si>
  <si>
    <t>E|------------------------------------------------------------------------------------------------------|
B|------------------------------------------------------------------------------------------------------|
G|------------------------------------------------------------------------------------------------------|
D|------------------------------------------------------------------------------------------------------|
A|-00-5-0-7-0-8-0-10-0-8-0-7h8p7-----88-10-0-8-0-7~--77-7-0-8-0------00-5-0-7-0-8-0-10-0-8-0-7h8p7------|
D|-00----------------------------10--88--------------77---------10~--00----------------------------10---|
E|-----------------------|
B|-----------------------|
G|-----------------------|
D|-----------------------|
A|-88x--77x--------------|
D|-88x--77x--------------|</t>
  </si>
  <si>
    <t>E|-----------------------------------------------------17b-----17b-18b-----|
B|--8-10//17----10p8h10-8-10//18b----10-8-10//20b---18-----20--------------|
G|-------------------------------------------------------------------------|
D|-------------------------------------------------------------------------|
A|-------------------------------------------------------------------------|
D|-------------------------------------------------------------------------|
E|----15-17-15-13------15-17-15-13------15-17-15-13---|
B|----------------15---------------15-----------------|
G|----------------------------------------------------|
D|----------------------------------------------------|
A|----------------------------------------------------|
D|----------------------------------------------------|
E|----15-17-15-13------15-17-15-13------15-17-15-13---|
B|----------------15---------------15-----------------|
G|----------------------------------------------------|
D|----------------------------------------------------|
A|----------------------------------------------------|
D|----------------------------------------------------|
E|----20-22-20-18------20-22-20-18------20-22-20-18---|
B|----------------20---------------20-----------------|
G|----------------------------------------------------|
D|----------------------------------------------------|
A|----------------------------------------------------|
D|----------------------------------------------------|
E|----20-22-20-18------20-22-20-18------21b22---------|
B|----------------20---------------20-----------------|
G|----------------------------------------------------|
D|----------------------------------------------------|
A|----------------------------------------------------|
D|----------------------------------------------------|</t>
  </si>
  <si>
    <t>E|----------------------|-----------------------|-----------------------|-----------------------|
B|----------------------|-----------------------|-----------------------|-----------------------|
G|----------------------|-----------------------|-----------------------|-----------------------|
D|----------------------|-----------------------|-----------------------|-----------------------|
A|----------------------|-----------------------|-----------------------|-----------------------|
D|12-0-13-0-12-0-10h12--|-0-0-13-0-12-0-10h12---|-0-0-13-0-12-0-10h12---|-0-0-13-0-16h17p16-0---|
E|----------------------|-----------------------|---------------------------|-----------------------|
B|----------------------|-----------------------|---------------------------|-----------------------|
G|----------------------|-----------------------|---------------------------|-----------------------|
D|----------------------|-----------------------|---------------------------|-----------------------|
A|----------------------|-----------------------|---------------------------|-----------------------|
D|12-0-13-0-12-0-10h12--|-0-0-13-0-12-0-10h12---|--0-0-[10-10-10-10-10]--0--|-[10-10-10]0[10-10-10]-| --[allharmonics]
E|----------------------|-----------------------|-----------------------|-----------------------|
B|----------------------|-----------------------|-----------------------|-----------------------|
G|----------------------|-----------------------|-----------------------|-----------------------|
D|----------------------|-----------------------|-----------------------|-----------------------| (x4)
A|----------------------|-----------------------|-----------------------|-----------------------|
D|12-0-13-0-12-0-10h12--|-0-0-13-0-12-0-10h12---|-0-0-13-0-12-0-10h12---|-0-0-13-0-16h17p16-0---|</t>
  </si>
  <si>
    <t>e|-----------------------------------------------------------------|
B|-----------------------------------------------------------------|
G|-----------------------------------------------------------------|
D|----------------------1/3--1---------------0---------------------| 
A|-------1------------1---------3/5-3---1-3----3----1-3-3h5-3h5----|
E|---1-3---3------1-3--------------------------------------------3-|</t>
  </si>
  <si>
    <t>e|--------------------------------------------------|
B|--------------------------------------------------|
G|--------------------------------------------------|
D|-----4-----------4--------------------2-2-2--4-2--| x4
A|-------6-2---------6-2---4-4-4--6-4---------------|
E|-4-4---------4-4----------------------------------|</t>
  </si>
  <si>
    <t>D#|--------------------------------------|
A#|--------------------------------------|
F#|---------------------------------10---|
C#|-12-12-12-10-12-10--------------------|
G#|-------------------12-11-10-(10)------|
D#|--------------------------------------|</t>
  </si>
  <si>
    <t>e|------------------|----------------|
B|------------------|----------------|
G|------------------|----------------|
D|------------------|----------------|
A|-555-55--55-557-7-|55-55--55-558-8-|
E|-333033-033-335-5-|33033-033-336-6-|</t>
  </si>
  <si>
    <t>e|-----------------------------------------|
B|-----------------------------------------|
G|------0-----x-x------0-----x-x-----0-----|
D|------0-----x-x------0-----x-x-----0-----|
A|------1-----x-x------1-----x-x-----1-----|
E|--1-3---1-3-x-x--1-3---1-3-x-x-1-3---1-3-|
e|-----------------------------------------|
B|-----------------------------------------|
G|-------------------------------7/9-9-9-9-|
D|------------3-3-3-3--5/7-7-7-7-----------|
A|----3/5-5-5------------------------------|
E|-----------------------------------------|</t>
  </si>
  <si>
    <t>e|---------5------------3-------------------------5-------|
B|---------5------------3------------6------------5-------|
G|---------5------------4------------7------------5-------|
D|---------7------------5------------7------------7-------|
A|----------------------------5--5---5--------------------|
E|--5--5---------3--3----------------------5--5-----------|</t>
  </si>
  <si>
    <t>e|------------------------------------------|
B|------------------------------------------|
G|------------------------------------------|
D|-----------0---0--------------------------|
A|--0--2--4-----------------0---0--0--0--0--|
E|-------------------3--3-------------------|</t>
  </si>
  <si>
    <t>e|-------------------------------|-------------------------------|
B|-------------------------------|-------------------------------|
G|----------------4---2----------|-------------------------------|
D|0----------4------------4---2--|--------2---0---2---4-------0--|
A|-------------------------------|-------------------------------|
E|-------------------------------|-------------------------------|</t>
  </si>
  <si>
    <t>e|-------------------------------|-------------------------------|
B|-------------------------------|-------------------------------|
G|-------------------------------|-------------------------------|
D|----------------5--------------|-----------------------3-------|
A|-------3---5-------------3-----|------3------3s5---------------|
E|---3-----------------3---------|---3------3--------------------|</t>
  </si>
  <si>
    <t>e|----------------------------------------|
b|-13b14-14-14-14r13-11-13b14-11----------|
g|----------------------------------------|
d|----------------------------------------|
a|----------------------------------------|
E|----------------------------------------|
e|----------------------------------------|
b|-13b14-14-14-14r13-11-13b14-12----------|
g|----------------------------------------|
d|----------------------------------------|
a|----------------------------------------|
E|----------------------------------------|</t>
  </si>
  <si>
    <t>e|-----------------------------|
B|-----------------------------|
G|-----------------------------|
D|----------------------10~----|
A|----------10-h12------12~----|
E|-10--10----------------------|</t>
  </si>
  <si>
    <t>eb|---|-------------------|-------------------|------------------|
Bb|-7-|-(7)-8-----------3-|-(3)-4p3---5-6p5---|-7--8---------10--|
Gb|-7-|-(7)-7-----------3-|-(3)-3-----5-------|-7--7---------10--|
Db|-7-|-(7)-7-----------3-|-(3)-3-----5-------|-7--7---------10--|
Ab|-5-|-(5)-5-------------|-------------------|-5--5----------8--|
Eb|---|-------0-0-0-0-0---|---------0-------0-|------0-0-0-0-----|
eb|-------------------------|----------------|-------------------|
Bb|-(10)-11-10----10--8-----|-7--8---------3-|-(3)-4p3---5-6p5---|
Gb|-(10)-10-10----10--9-----|-7--7---------3-|-(3)-3-----5-5-----|
Db|-(10)-------10----10-----|-7--7---------3-|-(3)-3-----5-5-----|
Ab|--(8)--------------------|-5--5-----------|-------------------|
Eb|---------------------0-0-|------0-0-0-0---|---------0-------0-|
eb|-----------------|-------------------------|-------------------|
Bb|-7--8---------10-|-(10)-11-10----10--8---7-|-------------------|
Gb|-7--7---------10-|-(10)----10----10--9---7-|-------------------|
Db|-7--7---------10-|-(10)-------10----10---7-|-------------------|
Ab|-5--5----------8-|--(8)------------------5-|-------------------|
Eb|------0-0-0-0----|-------------------------|-------------------|</t>
  </si>
  <si>
    <t>e|------------------------------------|--------------------------|
B|------------------------------------|--------------------------|
G|------------------------------------|--------------------------|
D|------------------------------------|--------------------------|
A|----------2h3--2~~~-----------------|-------2~~~--1~~~--0------|
E|----0--0-------------0--2h3--2~~~---|----0-----------------3---|</t>
  </si>
  <si>
    <t>e|------------------------------5------5--5----x----5--5----5--5------|
B|------------------------------5h6----6--6----x----6--6----6--6------|
G|------------------------------5-7----7--7----x----7--7----7--7------| x2
D|--0--2--3--2----0--2--3--2----5-7----7--7----x----7--7----7--7------|
A|------------------------------5------5--5----x----5--5----5--5------|
E|------------------------------5------5--5----x----5--5----5--5------|</t>
  </si>
  <si>
    <t>e|----------------------------|-------------------|
B|----------------------------|-------------------|
G|----------------------------|--------------9-9--|
D|--------------0--0------0---|--------------9-9--|
A|-----------2---------2-----2|--------------7-7--|
E|-0--0--4--------------------|--3--0-----0-------|</t>
  </si>
  <si>
    <t>e|-------------------------|-------------------------|--------------------------|
B|-------------------------|-------------------------|--------------------------|
G|-------------------------|-------------------------|-2p0----------------------|
D|-------------------------|-------------------------|-----2--------------1-1-2-|
A|-5p3---------------------|-5p3---------------------|-5p3---2-4----5-5-5-------|
E|-----5-0-2-2-3-3-3-4-4-5-|-----5-0-2-2-3-3-3-4-4-5-|-----5-0-2--2-3-3-3-4-4-5-|
e|-----------------------|
B|-----------------------|
G|-2p0-------------------|
D|-----2---------1-(1)-2-|
A|-5p3---2-4--5--------0-|
E|-----5-0-2--3--4-(4)---|</t>
  </si>
  <si>
    <t>E|----0------------0-------|-----0------------0-------|
B|-10---10-10---10---10-10-|--10---10-10---10---10-10-|
G|7--7-----7---7--7----7---|-6--6----6----6--6----6---|
D|-------------------------|--------------------------|
A|-------------------------|--------------------------|
D|-------------------------|--------------------------|
E|----0------------0-------|-----0------------0-------|
B|-10---10-10---10---10-10-|--10---10-10---10---10-10-|
G|0--0----0----0--0----0---|--------------------------|
D|-------------------------|-7--7----7----7--7----7---|
A|-------------------------|--------------------------|
D|-------------------------|--------------------------|
E|----0------------0-------|-----0------------0-------|
B|-10---10-10---10---10-10-|--10---10-10---10---10-10-|
G|7--7-----7---7--7----7---|-6--6----6----6--6----6---|
D|-------------------------|--------------------------|
A|-------------------------|--------------------------|
D|-------------------------|--------------------------|
E|----0------------0-------|-----0------------0-------|
B|-10---10-10---10---10-10-|--10---10-10---10---10-10-|
G|0--0----0----0--0----0---|--------------------------|
D|-------------------------|-7--7----7----7--7----7---|
A|-------------------------|--------------------------|
D|-------------------------|--------------------------|
E|--------------------------|---------------------------------|
B|--------------------------|---------------------------------|
G|-7-7-7-7--4/14-14-14-11-9-|-7-7-7-7--12-12-12-11--11-11-9-9-|
D|--------------------------|---------------------------------|x2
A|-5-5-5-5--2/12-12-12--9-7-|-5-5-5-5--10-10-10--9---9--9-7-7-|
D|--------------------------|---------------------------------|</t>
  </si>
  <si>
    <t>E|---------------------------------|---------------------------------|
B|---------------------------------|---------------------------------|
G|---------------------------------|---------------------------------|
D|11-9--11-9--12--11-9--11-9--12---|11-9--11-9--12--11-9--11-9--12---|
A|-----9-----9---9-----9-----9---9-|-----9-----9---9-----9-----9---9-|
D|---------------------------------|---------------------------------|</t>
  </si>
  <si>
    <t>E|-------------------------------------------------------------------------------|
B|-------------------------------------------------------------------------------|
G|-------------------------------------------------------------------------------|
D|6-8--6-8--6-8--6-8----6-8--6-8--6-8--8-6----6-8--6-8--6-8--6-8----6-8--6-8--6-8|
A|6-8--6-8--6-8--6-8----6-8--6-8--6-8--6-4----6-8--6-8--6-8--6-8----6-8--6-8--6-8|
D|6-8--6-8--6-8--6-8----6-8--6-8--6-8---------6-8--6-8--6-8--6-8----6-8--6-8--6-8|</t>
  </si>
  <si>
    <t>E|------------------------------------------------|
B|------------------------------------------------|
G|------------------------------------------------|
D|-3-------2-3-------2----3--------2-3-------2----|
A|-3---0-3---3---0-3---3--3----0-3---3---0-3---3--|
D|-3-3-------3-3----------3--3-------3-3----------|</t>
  </si>
  <si>
    <t>e|------------------------------------|
B|---9-------6-------13-------8-------|
G|--10-------6-------13-------8-------|
D|--10-(x2)--6-(x2)--13-(x2)--8-(x2)--|
A|---8-------4-------11-------6-------|
E|------------------------------------|</t>
  </si>
  <si>
    <t>e|--------------------------------|
B|--------------------------------|
G|--------------------------------|
D|--------------------------------|
A|-99-77-66-555/-99-77-66-555/----|
E|-77-55-44-333/-77-55-44-333/----|</t>
  </si>
  <si>
    <t>e|--------------------------0--|
B|--------------------------0--|
G|---------6-6--------6-----0--|
D|---6-6---6-6---4-4--6--6-----|
A|---6-6---4-4---4-4--4--6-----|
E|---4-4-0----0--2-2-----4-----|
e|-------------------------------|
B|-------------------------------|
G|---------6-6--------6----------|
D|---6-6---6-6---4-4--6--6--4----|
A|---6-6---4-4---4-4--4--6--4----|
E|---4-4-0----0--2-2-----4--2----|</t>
  </si>
  <si>
    <t>e|--------------------------|----------------------------|-------------------------|
B|--------------------------|----------------------------|-------------------------|
G|*-------------------------|------------------h-----h---|-------------------------|
D|*--0--0----0-0--0-0-----0-|--0--0----0-0--0-7-8-0-5-6--|--0--0----0-0--0-0-----0-|
A|---0--0----0-0--0-0-----0-|--0--0----0-0--0-7-8-0-5-6--|--0--0----0-0--0-0-----0-|
E|---0--0----0-0--0-0-----0-|--0--0----0-0--0-7-8-0-5-6--|--0--0----0-0--0-0-----0-|
e|------------------------------||--------------------------|-----------------------------|
B|------------------------------||--------------------------|-----------------------------|
G|----------------------p------*||*-------------------------|----------------------p------|
D|--0--0----0-0--0-----1-0-----*||*--0--0----0-0--0-0-----0-|--0--0----0-0--0-----3-0-----|
A|--0--0----0-0--0--h-------p---||---0--0----0-0--0-0-----0-|--0--0----0-0--0--h-------p--|
E|--0--0----0-0--0-0-1-----1-0--||---0--0----0-0--0-0-----0-|--0--0----0-0--0-0-3-----6-5-|</t>
  </si>
  <si>
    <t>e|----------------------------------------------------------|
B|-9999-99-99-9109109-9999-99-99-9109109-9999-99-99-9109109-|
G|-9999-99-99-9-99-99-9999-99-99-9-99-99-9999-99-99-9-99-99-|
D|-9999-99-99-9-99-99-9999-99-99-9-99-99-9999-99-99-9-99-99-|
A|-7777-77-77-7-77-77-7777-77-77-7-77-77-7777-77-77-7-77-77-|
E|----------------------------------------------------------|
e|--------------------------------------------------------|
B|-9999xx-------------------------------------------------|
G|-9999xx9..7..-------------------------------------------|
D|-9999xx9..7..-------------------------------------------|
A|-7777xx7..5..5/4/2...-----------------------------------|
E|--------------------------------------------------------|</t>
  </si>
  <si>
    <t>eb|-----2--------2--------0--------0--------2--------2--------0--------0-----|
Bb|---3---3----3---3----3---3----3---3----3---3----3---3----3---3----3---3---|
Gb|-4-------2---------0-------0--------4---------2--------0-------0--------4-|
Db|--------------------------------------------------------------------------|
Ab|--------------------------------------------------------------------------|
Eb|--------------------------------------------------------------------------|</t>
  </si>
  <si>
    <t>eb|---------------------------------------------------|
Bb|---------------------------------------------------|
Gb|---------------------------------------------------|
Db|---------------------------------------------------|
Ab|--4--2--4--2--4--2--4--2----4--4--4--4--4--4--4----|
Eb|---------------------------------------------------|
eb|---------------------------------------------------|
Bb|---------------------------------------------------|
Gb|---------------------------------------------------|
Db|-----7-------------------9-------------------------|
Ab|-----7-------------------9-------------------------|
Eb|--0--5----------------0--7-------------------------|</t>
  </si>
  <si>
    <t>e|----------------------------------------------------------------------------------|
B|----------------------------------------------------------------------------------|
G|----------------------------------------------------------------------------------|
D|----------7---5------------------7---5-----------------7---5----------------------|
A|--0-5h7-0---0------------0-5h7-0---0-----------0-5h7-0---0------------------------|
E|----------------------------------------------------------------------------------|</t>
  </si>
  <si>
    <t>e|--10--12--10------8--|--10--12--10------8--|
b|--------------10-----|--------------10-----|
g|---------------------|---------------------|
D|---------------------|---------------------|
A|---------------------|---------------------| 
E|---------------------|---------------------|</t>
  </si>
  <si>
    <t>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
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
E|--------------------------------|--------------------------------|
B|--------------------------------|--------------------------------|
G|--------------------------------|--------------------------------|
D|-----5---5p3--------------------|-----5---5p3--------------------|
A|-------------5-1-----3---1-3---1|-------------5-1-----3---1-3---1|
D|-5------------------------------|-5------------------------------|
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
E|--------------------------------|-------------------------------------|
B|--------------------------------|-------------------------------------|
G|--------------------------------|-----------------5b(7)-----5-2-------|
D|-----7---7p5---7---7-----5---7-0|-5-5-5-5-5-3-------------------5-3---|
A|-------------7---------7--------|-------------5-----------------------|
D|-7------------------------------|-------------------------------------|
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</t>
  </si>
  <si>
    <t>eb|------------------|--------------------|--------------------|----------------------|
Bb|------------------|--------------------|--------------------|----------------------|
Gb|-18/----14-----16-|--18---16---14---18-|----18--18-18-18-18-|--18-18--18-18-18-18--|
Db|------------------|--------------------|--------------------|----------------------|
Ab|-16/----12-----14-|--16---14---12---16-|----16--16-16-16-16-|--16-16--16-16-16-16--|
Eb|------------------|--------------------|--------------------|----------------------|
eb|------------------|--------------------|--------------------|----------------------|
Bb|------------------|--------------------|--------------------|----------------------|
Gb|-18/----14-----16-|--18---16---14---14-|----14--14-14-14-13-|--13-13---13-13-13-13-|
Db|------------------|--------------------|--------------------|----------------------|
Ab|-16/----12-----14-|--16---14---12---12-|----12--12-12-12-11-|--11-11---11-11-11-11-|
Eb|------------------|--------------------|--------------------|----------------------|</t>
  </si>
  <si>
    <t>eb|------------------|
Bb|------------------|
Gb|--------5-5-------|
Db|--2-2-2-5-5-5-5-7-|
Ab|--2-2-2-3-3-5-5-7-|
Eb|--0-0-0-----3-3-5-|</t>
  </si>
  <si>
    <t>E|------------------------------------------------------------------------------------|
B|------------------------------------------------------------------------------------|
G|------------------------------------------------------------------------------------|
D|------------------------------------------------------------------------------------|
A|------------------------------------------------------------------------------------|
D|-0---15-15-15-15-15-15-0-15-0---0---15-15-15-15-15-15-0-15-15-15-15--0-15-15-15-15--|</t>
  </si>
  <si>
    <t>e|------------------|----------------|
B|------------------|----3----3--3---|
G|----2-----2-----2-|----2----2--2---|
D|----2-----2-----2-|----------------|
A|-0--------0-----0-|--0---0---------|
E|------------------|----------------|</t>
  </si>
  <si>
    <t>e|---------------------------------------------------------|
B|---------------------------------------------------------|
G|---------------------------------------------------------|
D|------12--12---10---12-----------------------------------|
A|------------------------12--11--10------b8---------------|
E|------------------------------------10------10-----------|</t>
  </si>
  <si>
    <t>e|-12-----12-13-12-------------12-----12-17-12-------------12--12-----|
B|------------------13------13------------------13------13 --15-------|
G|-----------------------14--------------------------14---------------|
D|--------------------------------------------------------------------|
A|--------------------------------------------------------------------|
E|--------------------------------------------------------------------|
e|--12-13-12-------------12--12-12--12-12-12 -12-12-12-------|
B|------------13------13-----13-13--13-13-13 -13-13-13-15----|
G|-----------------14-------------------------------------14-|
D|-----------------------------------------------------------|
A|-----------------------------------------------------------|
E|-----------------------------------------------------------|</t>
  </si>
  <si>
    <t>e|------------------|----------------------|----|
B|------------------|----------------------|----|
G|-2-2-2-0--2h3p2-0-|-2-2-2-0--2h3p2-0-----|-2~-|
D|------------------|----------------------|----|
A|------------------|----------------------|----|
E|------------------|----------------------|----|</t>
  </si>
  <si>
    <t>e|------------------------------------------------------------------|
B|------------------------------------------------------------------|
G|--10-10-10-10----------10--10-8-------10-10-8---------10-10-8-----|
D|--10-10-10-10----------10-------10----10------10------10------10--|
A|--10-10-10-10----------10-------------10--------------10----------|
E|--8--8--8--8----15/----8---------------8----------15/--8----------|
e|---------------------------------------------------------12----|
B|---------------------------------------------------------12----|
G|---10--10-8---------10-10-10b12r10------10-10-8-----10---------|
D|---10-------10------10------------------10------10--10---------|
A|---10---------------10------------------10----------10---------|
E|---8-----------15/--8--------------15/--8-----------8----------|</t>
  </si>
  <si>
    <t>e|-----------------------------------------------------|
B|-----------------------------------------------------|
G|-----------------------------------------------------|
D|-7/5--2---2--2-2-2--2-2-7/5--2---2--2-2-2--2-2-2-2---| x3
A|-7/5--2---2--2-2-2--2-2-7/5--2---2--2-2-2--2-2-2-2---|
E|-5/3--0---0--0-0-0--0-0-5/3--0---0--0-0-0--0-0-0-0---|
e|-----------------------------|
B|-----------------------------|
G|-----------------------------|
D|-5/7--7---7--7-7-7--7-7-7-7--|
A|-5/7--7---7--7-7-7--7-7-7-7--|
E|-3/5--5---5--5-5-5--5-5-5-5--|</t>
  </si>
  <si>
    <t>e|--------------------------------------------------------------------|
B|-----3p0------0-------1---------------3p0-----0--------1--------4---|
G|---0--------0---0---0---0-2b3-0-----0-------0---0----2---2----5---5-|
D|----------3-------1-----------------------3--------1--------4-------|
A|--------------------------------------------------------------------|
E|-3-------------------------------3----------------------------------|
e|-------------------------------------------------------------------|
B|-----3p0------0-------1--3b5--1-------3p0------0-------1-----------|
G|---0--------0---0---0---------------0--------0---0---0---0-2b3-0---|
D|----------3-------1------------------------3-------1---------------|
A|-------------------------------------------------------------------|
E|-3--------------------------------3--------------------------------|</t>
  </si>
  <si>
    <t>Eb|---------------------------------------|
Bb|---------------------------------------|
Gb|---------------------------------------|
Db|---------------------------------------|
Ab|-------5-------7-------1----0----------|
Db|--0---------7--------------------0--3--|
Eb|----------------------------------|
Bb|----------------------------------|
Gb|----------9-9---------------------|
Db|--0---0-----9------8---7---0-10---|
Ab|--0---0---7-7------8---7---0-10---|
Db|--0---0------------8---7---0-10---|</t>
  </si>
  <si>
    <t>D#|----------------------------------------|
A#|----------------------------------------|
F#|-7-7-7-14-14/12-12-12-12-12-14-14/10-10-|
C#|-x-x-x--x--x--x--x--x--x--x--x--x-x--x--|
G#|-5-5-5-12-12/10-10-10-10-10-12-12/8--8--|
C#|----------------------------------------|</t>
  </si>
  <si>
    <t>e|------------------------------------------------|
B|------------------------------------------------|
G|------------------------------------------------|
D|------------------------------------------------|
A|--7----5--2--5--0---------7----5--2-------------|
E|-------------------3--0--------------3--0-------|</t>
  </si>
  <si>
    <t>D#|----8---8---8---8---8---8---8---8------8--8--8--8--8--8--8--8--|
B |----0---0---0---0---0---0---0---0------0--0--0--0--0--0--0--0--|
G |-9b11--11--11--11--11--11--11--11---11r9--9--9--9--9--9--9--9--|
B |---------------------------------------------------------------|
A |---------------------------------------------------------------|
E |---------------------------------------------------------------|
D#|----12--12--12--12--12--12--12--12-----------------------------|
B |-----0---0---0---0---0---0---0---0------0--0--0--0--0--0--0--0-|
G |-13b15--15--15--15--15--15--15--15--15r13-13-13-13-13-13-13-13-|
B |---------------------------------------------------------------|
A |---------------------------------------------------------------|
E |---------------------------------------------------------------|
D#|---3--3--3--3--3--3--3--3------3--3--3--3--3--3--3--3----------|
B |---0--0--0--0--0--0--0--0------0--0--0--0--0--0--0--0----------|
G |-4b6--6--6--6--6--6--6--6----6r4--4--4--4--4--4--4--4----------|
B |---------------------------------------------------------------|
A |---------------------------------------------------------------|
E |---------------------------------------------------------------|
D#|----8---8---8---8---8---8---8---8------8--8--8--8--8--8--8--8--|
B |----0---0---0---0---0---0---0---0------0--0--0--0--0--0--0--0--|
G |-9b11--11--11--11--11--11--11--11---11r9--9--9--9--9--9--9--9--|
B |---------------------------------------------------------------|
A |---------------------------------------------------------------|
E |---------------------------------------------------------------|</t>
  </si>
  <si>
    <t>e|---12---12--------9----9--|
B|---------------12---12----|
G|------9----9--------------|
D|--------------------------|x3
A|--------------------------|
E|--------------------------|
e|---12---12------8/9------9----9-----|
B|----------------------12---12-------|
G|------9-----------------------------|
D|------------------------------------|
A|------------------------------------|
E|------------------------------------|</t>
  </si>
  <si>
    <t>e|----------------------------------------------------------------------------|
B|--4-4-4-4-4-4-4-4-4-4-4-4/11-11-11-11/4-4-4-4-4-4-4-4-4-4-4-4/11-11-11-11/--|
G|----------------------------------------------------------------------------|
D|----------------------------------------------------------------------------|
A|----------------------------------------------------------------------------|
E|----------------------------------------------------------------------------|
e|---------------------------------------------------------------------------|
B|--4-4-4-4-4-4-4-4-4-4-4-4/11-11-11-11/4-4-4/3-3-3-3-3-3-3-3-3-3-3-3-3-3-3--|
G|---------------------------------------------------------------------------|
D|---------------------------------------------------------------------------|
A|---------------------------------------------------------------------------|
E|---------------------------------------------------------------------------|</t>
  </si>
  <si>
    <t>e|-7-7-X7--7-------8-8-X8--8-------8-8-X8--8-------7-7-X7--7-------|
B|-6-6-X6--6-------8-8-X8--8-------9-9-X9--9-------6-6-X6--6-------|
G|-7-7-X7--7-------8-8-X8--8-------8-8-X8--8-------7-7-X7--7-------|
D|-----------------------------------------------------------------|
A|-----------------------------------------------------------------|
E|-----------------------------------------------------------------|</t>
  </si>
  <si>
    <t>e|x--x-x--x-x-----------------x--x-x--x-x------------------------|
B|8--x-x--x-x-10-10--8--10--8-7--x-x--x-x-7-7-9--10-10-9---------|
G|9--x-x--x-x--9--9--9---9--9-8--x-x--x-x-8-8-8---8--8-8---------|
D|10-x-x--x-x-10-10-10--10-10-9--x-x--x-x-9-9-9---9--9-9---------|
A|x--x-x--x-x-----------------x--x-x--x-x------------------------|
E|x--x-x--x-x-----------------x--x-x--x-x------------------------|
e|x--x-x--x-x--------------------x---x--|
B|x--x-x--x-x-10-10--8--10--8--7-x-7-x-7|
G|x--x-x--x-x--9--9--9---9--9--8-x-8-x-8|
D|x--x-x--x-x-10-10-10--10-10--9-x-9-x-9|
A|x--x-x--x-x--------------------x---x--|
E|x--x-x--x-x--------------------x---x--|</t>
  </si>
  <si>
    <t>e|-------------9----------|------9p7-------7-9--|-7p5------5------|
B|-------------9----------|----------7-----7-7--|-5--------5---5--|
G|---------9---9h11p9-----|------------8---8-8--|-6--------6h7p6--|
D|----9----9----------11/-|----9-------9---9----|-7-----7--7------|
A|----9h11----------------|---------------------|-----------------|
E|-0----------------------|-/7------------------|-----5-----------| 
e|---5h7p5--------|------12/14--12--------|--------------9----------|
B|---------7p5----|------12/14--12-14-----|--------------9----9-----|
G|---------5---6--|-------------------11/-|----------9---9h11-9-----|
D|-7--------------|-----------------------|-----9----9----------11--|
A|----------------|-----------------------|-----9h11----------------|
E|----------------|-0---------------------|--0----------------------| 
e|--------9-9-7----9p7-9--|-7p5---------5--------5--|------12/19------|
B|----------7-7--7-7---7--|-5----------------5h7p5--|------12/19------|
G|----8-8---8-8--8-8---8--|-6-------6h7----7-6h7p6--|-----------------|
D|------------9--9-9------|-7-------7---------------|-------------14/-|
A|------------------------|-------------------------|-------------14/-|
E|-7----------------------|------5------------------|-0-----------16/-|</t>
  </si>
  <si>
    <t>e|------|----------------|-------------------|-------------------|---------|
B|------|---------------5|-------------------|-------------------|---------|
G|------|-----5-------7--|-5h7p5-----5-------|-------------------|---------|
D|---5-6|-7-------7------|-------7-7-----7---|-5-7-7---------2---|2--------|
A|-7----|---7------------|-------------------|-------5-7---5-0---|0--------|
E|------|----------------|-------------------|-----------8-------|---------|</t>
  </si>
  <si>
    <t>G|------------------------------------------------------------------|
D|--------------------11---9----------------------------------------|
A|------------------9--------11----9---9--------12-12-12-12-11-11---|
E|-9---9-------9-12-------------12--------------------------------12|</t>
  </si>
  <si>
    <t>E|-----------------------------|
B|-----------------------------|
G|-----------------------------|
D|-----------------------------|
A|-----------------------------|
D|-0-3p0-5p0-3-0-0-3p0-5b6-5b6-|</t>
  </si>
  <si>
    <t>e|-------------------------------------------------------------------|
B|-------------------------------------------------------------------|
G|--------------------------------------------------9-9-9-9-11-------|
D|------------------------------9-9-9-9-11-11-11-11------------------|
A|----------9-9-9-9-12-12-12-12--------------------------------------|
E|-------------------------------------------------------------------|
e|-------------------------------------------------------------------|
B|-------------------------------------------------------------------|
G|-11-11-11-14-14-14-14-16-16-16-16-16b-16b-16b-16b-16b-16b-16b-16b--|
D|-------------------------------------------------------------------|
A|-------------------------------------------------------------------|
E|-------------------------------------------------------------------|
e|-------------------------------------------------------------------|
B|-------------------------------------------------------------------|
G|16-14----------14---16-14-----------14---16b(18)=r16====-16--16-16-|
D|------16-14-16------------16-14-16---------------------------------|
A|-------------------------------------------------------------------|
E|-------------------------------------------------------------------|
e|-------------------------------------------------------------------|
B|-------------------------------------------------------------------|
G|-16-14--------------14---------------------------------------------|
D|---------16---14-16----16--16--16-16-16-14-----------14------------|
A|--------------------------------------------16-14-16----16---------|
E|-------------------------------------------------------------------|
e|-------------------------------------------------------------------|
B|-------------------------------------------------------------------|
G|-------------------------------------------------------------------|
D|-------------------------------------------------------------------|
A|-16--16-16-14--12----14-12-------------12--14-12---------12--------|
E|----------------------------14-12-14-----------14------------------|
e|-------------------------------------------------------------------|
B|-------------------------------------------------------------------|
G|-------------------------------------------------------------------|
D|-------------------------------------------------------------------|
A|14b15-15-15-15r14/-------------------------------------------------|
E|-------------------------------------------------------------------|</t>
  </si>
  <si>
    <t>e|-------------------------------|
B|-------------------------------|
G|-------------------------------|
D|-------------------------------| x4
A|-------/4-2-4-5-5-5-4-2-14-----|
E|-2-2-2-------------------------|</t>
  </si>
  <si>
    <t>e|----------------|-----------------|----------------|-----------------|----------------|
B|----------------|-----------------|----12----------|---------16b16p14|----14--14b14p14|
G|----------------|-----------------|----12----------|---------16b16p14|----14--14b14p14|
D|----------------|-----------------|-14-12----------|-----------------|-16-14----------|
A|----------------|-----------------|----------------|-----------------|----------------|
E|----------------|-----------------|----------------|-----------------|----------------|
e|----------------|----------------|----------------|-----------------|-----------------|
B|---14---14b14p12|---12---14b14p12|---12---16b16p14|----14---16b16p14|----14---14b14p12|
G|---14---14b14p12|---12---14b14p12|---12---16b16p14|----14---16b16p14|----14---14b14p12|
D|16-14-----------|14-12-----------|14-12-----------|-16-14-----------|-16-14-----------|
A|----------------|----------------|----------------|-----------------|-----------------|
E|----------------|----------------|----------------|-----------------|-----------------|
e|----------------|---------------|-----------------|-----------------|-----------------|
B|--12b--12b--12b-|---12b--12/----|-----------------|-----------------|--------------10B|
G|--12b--12b--12b-|---12b--12/----|-----------------|-----------------|-----------------|
D|14---14---14----|-14---14-------|-----------------|-----------------|-----------------|
A|----------------|---------------|-----------------|-----------------|-----------------|
E|----------------|---------------|-----------------|-----------------|-----------------|</t>
  </si>
  <si>
    <t>D#|---3--3-----3-(3)-----3-------|---------3-----3-(3)-----3-------|
A#|---0----0---------0-----0---0-|-1---------1---------1-----1---1-|
F#|---0------0---------0-----0---|-0-----------0---------0-----0---|
C#|---0--------------------------|-0h2---2-------------------------|
G#|---2--------------------------|-----3---------------------------|
D#|---3--------------------------|---------------------------------|
D#|-------3---------------3-------|----3-----3-(3)--------------------|
A#|-1---1---1---1-1-----1---1---0-|-0----0---------0-----0---0-------o|
F#|-0h2-------2---0-----------0---|-0------0---------0h2---0-------0--|
C#|-0h3-----------0h2-------------|-0--------------------------0h2----|
G#|-------------------3-----------|-2--------------------------------o|
D#|-------------------------------|-3---------------------------------|</t>
  </si>
  <si>
    <t>D#|---|------------------------------------------------------------|
A#|---|---x-8-8-7p0-7/5---3/5-5-3-3/1---1/3-3-1-1--0-1-0-----------|
F#|-2-|--------------------------------------------------2-0-2-----|
C#|-2-|------------------------------------------------------------|
G#|-0-|------------------------------------------------------------|
D#|---|------------------------------------------------------------|
D#|-----------------------------------------------------------|
A#|-x-8-8-7p0-7/5---3/5-5-3-3/1---1/3-3-1-1--0-1-0------------|
F#|------------------------------------------------2-0------2-|
C#|---------------------------------------------------------2-|
G#|---------------------------------------------------------0-|
D#|-----------------------------------------------------0-3---|</t>
  </si>
  <si>
    <t>D#|---------7-7--9-|--9--9--9----7-7-5-|-5-5-5----7-7--9-|--9--9--9----7-7-5--|
A#|---------7-7--9-|--9--9--9----7-7-5-|-5-5-5----7-7--9-|--9--9--9----7-7-5--|
F#|---------8-8--9-|--9--9--9----8-8-6-|-6-6-6----8-8--9-|--9--9--9----8-8-6--|
C#|---------9-9-11-|-11-11-11----9-9-7-|-7-7-7----9-9-11-|-11-11-11----9-9-7--|
G#|---------9-9-11-|-11-11-11----9-9-7-|-7-7-7----9-9-11-|-11-11-11----9-9-7--|
D#|---------7-7--9-|--9--9--9----7-7-5-|-5-5-5----7-7--9-|--9--9--9----7-7-5--|
D#|-5-5-5-5-5-5-5---7--7--7/8--|
A#|-5-5-5-5-5-5-5---7--7--7/8--|
F#|-6-6-6-6-6-6-6---8--8--8/9--|
C#|-7-7-7-7-7-7-7---9--9--9/10-|
G#|-7-7-7-7-7-7-7---9--9--9/10-|
D#|-5-5-5-5-5-5-5---7--7--7/8--|</t>
  </si>
  <si>
    <t>e|------------------------------------|---------------------------|
B|------------------------------------|---------------------------|
G|------------------------------------|---------------------------|
D|12/14/12---------12-----------------|--12/14/12--------14-14p12-|
A|----------12/14-----10--10-10/12~~~/|-----------12/14-----------|
E|------------------------------------|---------------------------|</t>
  </si>
  <si>
    <t>e|----------------7-------------|---------0------0------0-----|
B|------------10-----10---------|--------10-----10-----10-----|
G|---------9-------------9------|---------9------9------9-----|
D|-----10-------------------10--|--------10-----10-----10-----|
A|--0---------------------------|--0----------------0------9--|
E|------------------------------|-----7------8----------------|
e|-------------------------------|----------------0-------------|
B|---------------10--------------|------------10-----10---------|
G|------------9------------------|---------9-------------9------|
D|--(10)--10---------------------|-----10-------------------10--| x3
A|---------------------9b--9--8--|------------------------------|
E|-------------------------------|------------------------------|</t>
  </si>
  <si>
    <t>e|-------------------------------------------------------------|
B|-------------------------------------------------------------|
G|------7--9---------7--9------------7--9---------7--9---------|
D|--------------------------------0--------0-0-0--------0-0-0--|
A|-7-7--------7-7-7--------7-7-7-------------------------------|
E|-------------------------------------------------------------|
e|-------------------------------------------------------------|
B|-------------------------------------------------------------|
G|----7--9---------7--9------------7--9--------7--9------------|
D|-------------------------------------------------------------| x4
A|-------------------------------------------------------------|
E|-7--------7-7-7--------7-7-7--8-------8-8-8--------8-8-8-----|</t>
  </si>
  <si>
    <t>e|--------------------------------|------------------------------|
B|--------------------------------|------------------------------|
G|-----------5-5--7--7----7/------|------------5-5--7--7---------|
D|---2--2-5--5-5--7--7-7--7/------|---2-2-2-5--5-5--7--7-7-------|
A|---2--2-5--3-3--5--5-7--5/------|---2-2-2-5--3-3--5--5-7--5/---|
E|---0--0-3--3-3--5--5-5--5/------|---0-0-0-3--3-3--5--5-5-------|</t>
  </si>
  <si>
    <t>eb|-------------------------------------------------------------------|
Bb|-------------------------------------------------------------------|
Gb|--9--9--7/9----7-/9--9---7-/9--7--9--7/9--9--7/9----7/9------7--8--|
Db|--9--9--7/9----7-/9--9---7-/9--5--9--7/9--9--7/9----7/9---9--7--8--|
Ab|--7--7--5/7----5-/7--7---5-/7-----7--5/7--7--5/7----5/7---9--5--6--|
Eb|----------------------------------------------------------7--------|</t>
  </si>
  <si>
    <t>e|----------------------------------------------------|
B|----------------------------------------------------|
G|----------------------------------------------------|
D|-------------------2-1~-------------6-4--------2-1~-|(x4)
A|-2-4-4-4~--2-4-2-4-------2-4-4-4-4------2--0-2------| 
E|----------------------------------------------------|</t>
  </si>
  <si>
    <t>eb|--------------------------------|--------------------------------|
Bb|--------------------------------|----------------3-3----3--------|
Gb|--------------------------------|----------------2-2--x-2--------|
Db|9---------------11------12------|5---------------0-0--x-0--------|
Ab|b7--------------9-------10------|3-------------------------------|
Eb|--------------------------------|--------------------------------|
eb|--------------------------------|--------------------------------|
Bb|--------------------------------|--------------------------------|
Gb|--------------------------------|--------------------------------|
Db|9---------------11------12------|14--1211-9----------------------|
Ab|7---------------9-------10------|12--10-9-7----------------------|
Eb|--------------------------------|--------------------------------|</t>
  </si>
  <si>
    <t>e|---------||-----------------|-----------------|------------------|
B|---------||--------3-(3)----|-(3)----(3)------|---------3-(3)----|
G|---------||----2s4----------|------------2-2--|-----2s4----------|
D|---------||-----------------|------------2-2--|---2--------------|
A|---------||-----------------|------------0-0--|-2-2--------------|
E|-x-x-12/-||-0---------------|-----------------|-0----------------|</t>
  </si>
  <si>
    <t>e|-----------9--10-|--12--10--9------|-----------------|-----------------|
B|--------10-------|-------------10--|-(10)------------|--5--------------|
G|------9----------|-----------------|-----9---7p6---7-|-----------------|
D|-----------------|-----------------|-----------------|-----------------|
A|-----------------|-----------------|-----------------|-----------------|
E|-----------------|-----------------|-----------------|-----------------|
e|-----------9--10-|--9h10p9---------|-----------------|-----------------|
B|-(5)----10-------|----------10-----|---------------5-|-----------------|
G|------9----------|-------------9-7-|--(7)--6---7-----|-----------------|
D|-----------------|-----------------|-----------------|--7--------------|
A|-----------------|-----------------|-----------------|-----------------|
E|-----------------|-----------------|-----------------|-----------------|</t>
  </si>
  <si>
    <t>e|--------------|------------------------|-------------------------|
B|--------------|------------------------|-------------------------|
G|--------------|------------------8--10-|-------------------------|
D|------8-8-----|--10b-------------------|--10b-10--10-------------|
A|--10-------10-|------------------------|-------------------------|
E|--------------|------------------------|-------------------------|
e|---------------------------------------|------------------------------|
B|---------------------------------------|--------------------------11--|
G|---------------------------------------|-----------------------12-----|
D|------8-8-----8--10---10r-8---8--------|------8h-----8/15-------------|
A|--10-------10--------------------10----|------------------------------|
E|-------------------------------------9-|--10--------------------------|
e|------------------11--13-|-----------------------------|
B|--13b--------------------|--13b--13--13h----13/0-------|
G|-------------------------|-----------------------------|
D|-------------------------|-----------------------------|
A|-------------------------|-----------------------------|
E|-------------------------|-----------------------------|
e|-------------------------------------------|---------------------|
B|---------------------20b---18--------------|---------------------|
G|------15-15--15---------------20-18--------|---------------------|
D|--17-------------17-----------------20--20-|----------20/3-------|
A|-------------------------------------------|---------------------|
E|-------------------------------------------|---------------------|</t>
  </si>
  <si>
    <t>(Capo 2)
F#|----------------------3---0---------------|
C#|------3-----1---------------1-------------|
A |----0---------------2---0-----2-0---------|
E |--0-------2-------3-----------------------|
B |--------0-----0h1-------------------------|
F#|------------------------------------------|
F#|----1-------------1----------|
C#|----3-----------3---3--------|
A |----2---------2--------------|
E |--0---------0----------------|
B |------0h3p0-----------0h3p0--|
F#|-----------------------------|</t>
  </si>
  <si>
    <t>d#|-----------------|-----------------|-----------------|-----------------|
A#|-----------------|-----------------|-----------------|-----------------|
F#|-----------------|-----------------|-----------------|-----------------|
C#|-4-4---4---------|-2-2---2-2-2---2-|-4-4---4---------|-0-0---0-0-0-----|
G#|-4-4---4-2-4-2-4-|-2-2---2-2-2---2-|-4-4---4-2-4-2-4-|-0-0---0-0-0-----|
C#|-4-4---4---------|-2-2---2-2-2---2-|-4-4---4---------|-0-0---0-0-0-----|
d#|-----------------|-----------------|-----------------|-----------------|
A#|-----------------|-----------------|-----------------|-----------------|
F#|-----------------|-----------------|-----------------|-----------------|
C#|-4-4---4---------|-2-2---2-2-2---2-|-4-4---4---------|-9-9-9-9-9-9-9-9-|
G#|-4-4---4-2-4-2-4-|-2-2---2-2-2---2-|-4-4---4-2-4-2-4-|-7-7-7-7-7-7-7-7-|
C#|-4-4---4---------|-2-2---2-2-2---2-|-4-4---4---------|-7-7-7-7-6-6-6-6-|</t>
  </si>
  <si>
    <t>Eb|--------------------------------------------------------------------------|
Bb|--------------------------------------------------------------------------|
Gb|--------------------------------------------------------------------------|
Db|--------------------------------------------------------------------------|x3
Ab|--7-10-7-8-7--7-10-7-8-7--7-10-7-8-----------------7-10-7-8-7--7-10-7-8-7-|
Db|--------------------------------------------------------------------------|
Eb|---------------------------------------------------|
Bb|---------------------------------------------------|
Gb|---------------------------------------------------|
Db|---------------------------------------------------|
Ab|-2--5--2--3--2-----2--5--2--3--2-----2--5-2--3-----|
Db|-2--5--2--3--2-----2--5--2--3--2-----2--5-2--3-----|</t>
  </si>
  <si>
    <t>Eb|-----------------------------|------------------------|
Bb|-----------------------------|------------------------|
Gb|-----------------------------|------------------------|
Db|-----------------------------|------------------------|
Ab|o----3-5---------3-5-----3-5-|----3-5---------1-----6-|
Db|--0------0-0-0-0-----0-0-----|-0------0-0-0-0---0-0---|
Eb|----------------------------|-----------------------------|
Bb|----------------------------|-----------------------------|
Gb|----------------------------|-----------------------------|
Db|----------------------------|-----------------------------|
Ab|----3-5---------3-5-----3-5-|----3-5---------------------o|
Db|-0------0-0-0-0-----0-0-----|-0------0-0-0-0-6-6-6-6-6-6--|</t>
  </si>
  <si>
    <t>e|-----------------|-----------------|
B|-----------------|-----------------|
G|-7/9-9-7/9-9-7-9-|---------------77|
D|-7/9-9-7/9-9-7-9-|---7-7-7-7/6/5-77|x3
A|-5/7-7-5/7-7-5-7-|---7-7-7-7/6/5-55|
E|-----------------|-0-5-5-5-5/4/3---|
e|-----------------|-----------------|
B|-----------------|-----------------|
G|-7/9-9-7/9-9-7-9-|-----------------|
D|-7/9-9-7/9-9-7-9-|---7-7-7-7/6/5---|
A|-5/7-7-5/7-7-5-7-|---7-7-7-7/6/5---|
E|-----------------|-0-5-5-5-5/4/3-0-|</t>
  </si>
  <si>
    <t>e|-------------------------------------------------------------12-15b17-|
B|--------15--------15--------15-------------------------12-15----------|
G|-14b16-----14b16-----14b16-----14b16r14-12-14-12-14-12----------------|
D|----------------------------------------------------------------------|
A|----------------------------------------------------------------------|
E|----------------------------------------------------------------------|
e|------------------------------------------------------|
B|---------------4/5/4----------------------------------|
G|-2/4----4--4-----------5/4/5/4/5-4/5s/4-4/9-------9---|
D|------------------------------------------------------|
A|------------------------------------------------------|
E|------------------------------------------------------|</t>
  </si>
  <si>
    <t>e|---------------------------|--------------------------------------|
B|---------------------------|--------------------------------------|
G|---------------------------|--------------------------------------|
D|-----------------5-3-------|------------------------5-3-----------|
A|--3-5--3-5--3-5--3-1-------|-3-5-(5)--3-5-(5)--3-5--3-1-----------|
E|--1-3--1-3--1-3------3-1-3-|-1-3-(3)--1-3-(3)--1-3------3-1-3-(3)-|</t>
  </si>
  <si>
    <t>Eb|------------------------------------------------------------------|
Bb|------------------------------------------------------------------|
Gb|--14--14--14--14--14--14---------------10----12--12----12------12-|
Db|--14--14--16--14--16--14-----10--10----10----12--12h14-12------12-|
Ab|--0---0---0---0---0---0---0--10--10h12---------------------14-----|
Eb|------------------------------------------------------------------|
Eb|------------------------------------------------------------------|
Bb|------------------------------------------------------------------|
Gb|--14--14--14--14--14--14---------------10-------------------------|
Db|--14--14--16--14--16--14-----10--10----10-------------------------|
Ab|--0---0---0---0---0---0---0--10--10h12---------------12/----------|
Eb|------------------------------------------------------------------|
Eb|------------------------------------------------------------------|
Bb|------------------------------------------------------------------|
Gb|--7-7-7--4/5-5-7-4/5--5--7-5--------------------------------------|
Db|--7-7-7--4/5-5-7-4/5--5--7-5-7-5----------------------------------|
Ab|--7-7-7--------------------7-5------------------------------------|
Eb|------------------------------------------------------------------|</t>
  </si>
  <si>
    <t>e|--------------------------|-----------------------------------|
B|--------------------------|-----------------------------------|
G|--------------------------|-----------------------------------|
D|----------------0)----0)--|--9-------9-------9-------9--------|
A|----------------5-----5---|--7-------7-------7-------7--------|
E|-------------7-----7------|--0-0-0-0-0-0-0-0-0-0-0-0-0-0-0-0--|
e|-----------------------------------|-----------------------------------|
B|-----------------------------------|-----------------------------------|
G|-----------------------------------|-----------------------------------|
D|--9-------9-------9-9----0)----0)--|--9-------9-------9-------9--------|
A|--7-------7-------7-7----5-----5---|--7-------7-------7-------7--------|
E|--0-0-0-0-0-0-0-0-0-0-7-----7------|--0-0-0-0-0-0-0-0-0-0-0-0-0-0-0-0--|
e|-----------------------------------|
B|-----------------------------------|
G|-----------------------------------|
D|--9-------9-------9-9----0)----0)--|
A|--7-------7-------7-7----5-----5---|
E|--0-0-0-0-0-0-0-0-0-0-7-----7------|</t>
  </si>
  <si>
    <t>e|---------------------|-----7-6--------------------------|
B|---------------------|---7-----7-5----5//7--7-----------|
G|---------------------|-7------------7-----------9-6-7-9-|
D|----- 9//12/9-----9--|----------------------------------|
A|--9-12--------12-----|----------------------------------|
E|---------------------|----------------------------------|
e|--------7//10-7----7-|----14-19-18-14-------------------|
B|--7//10---------10---|-15-------------17--15-17//19-19--|
G|---------------------|----------------------------------|
D|---------------------|----------------------------------|
A|---------------------|----------------------------------|
E|---------------------|----------------------------------|
e|-----------------------------------------------|
B|-17//19-19-17//19-19--17-14-15-17-15-14-14-12--|
G|-----------------------------------------------|
D|-----------------------------------------------|
A|-----------------------------------------------|
E|-----------------------------------------------|</t>
  </si>
  <si>
    <t>C |---------------------------|
G |---------------------------|
D#|---------------------------|
A#|---------------------------|
F |-17-17-17--17/21-21-19/17--|
C |-0--0--0---0--0--0--0--0---|</t>
  </si>
  <si>
    <t>e|10------------------------------|---------------------|
b|------------10--13----------10--|12--------------10---|
g|--------------------------------|------------12-------|
D|--------------------------------|---------------------|
A|--------------------------------|---------------------|
D|--------------------------------|---------------------|
e|10------------------------------|---------------------|
b|------------10--13----------10--|12-------------------|
g|--------------------------------|------------12-------|
D|--------------------------------|----------------12---|
A|--------------------------------|---------------------|
D|--------------------------------|---------------------|
E|-----------------------------------|
B|-----------------------------------|
G|-----------------------------------|
D|-----------------------------------|
A|--3h5-----6p5-----3h5---3h5---6p5--|
D|------0-0-----0-0-----0-----0------|
E|-----------------------------------|
B|-----------------------------------|
G|-----------------------------------|
D|-----------------------------------|
A|--3h5-----6p5-----3h5---3h5-3-3-3--|
D|------0-0-----0-0-----0-----3-3-3--|</t>
  </si>
  <si>
    <t>e|---------------------------------|-------------------------------|
B|-------8---------------8---------|-------8-----------------------|
G|-----------8-----------8---8-----|-----------8---------8---8-----|
D|---------------0---0-----0-------|-----------------0-------0-----|
A|-----x---------0---------x-----0-|--8--8---------0---0---------0-|
E|--8------8---8---6---6---6---6---|--x------x-------------6---6-0-|
e|--------------------------------|----------------------------0-------| 
B|--3----3--------------3---------|--3------3---3--3~-------3--3---3---|
G|-----------3---3------3---3-----|--3-------------2~----0--0--0---0---|
D|--0--------------0----------0-0-|--2----2---2----------2--2--2---2-0-|
A|-----------------0--0---1---1---|----------------------------------0-|
E|--3--3---3---3------------------|------------------------------------|
e|---------------------------------|------------------------------|
B|-------3-----------3---3---3---3-|--3------3---3-3~--3-3--3-----|
G|-----------3---3---3-------3---3-|--3----3---3---2~--0-0--0-----|
D|-----0---------------------------|--2--------2---2~----2--2--0--|
A|-----------------0---0---1---1---|---------------------------0--|
E|--3------3---3-------------------|------------------------------|</t>
  </si>
  <si>
    <t>Eb|-10--12--13--12--10--12--13--12----|
Bb|---10--10--10--10--10--10--10--10--|
Gb|-----------------------------------|
Db|-----------------------------------|
Ab|-----------------------------------|
Db|-----------------------------------|</t>
  </si>
  <si>
    <t>e|--17-12-||---17-12----12------------------------17-12-|
B|--------||---------15----15-13------------------------|
G|--------||---------------------14-12-14---12----------|
D|--------||--------------------------------------------|
A|--------||--------------------------------------------|
E|--------||--------------------------------------------|
e|--17-12----12-----------------------15-12-|
B|--------15----15-13-----------------------|
G|--------------------14-12-14---12---------|
D|------------------------------------------|
A|------------------------------------------|
E|------------------------------------------|
e|--15-12----12----------------------15-12-|--15-12----12-------------19-20----------|
B|--------15----15-13----------------------|--------15----15-13----------------------|
G|--------------------14-12-14---12--------|--------------------14-12----------------|x2
D|-----------------------------------------|-----------------------------------------|
A|-----------------------------------------|-----------------------------------------|
E|-----------------------------------------|-----------------------------------------|</t>
  </si>
  <si>
    <t>OUTRO
e|-----------------------|----------------|-----------14---------------------------|
B|--12------12--14--14---|---14--15--15---|---14--15------15--14--15---------------|
G|-----------------------|----------------|----------------------------------------|
D|-----------------------|----------------|----------------------------------------| x4
A|-----------------------|----------------|----------------------------------------|
E|-----------------------|----------------|----------------------------------------|
e|----------------------------------------|----------------------------------------|
B|--12----12--12--12-12p10------12p10-----|--12----12--12--12-12p10------14b15r14--|
G|-------------------------11---------11--|-------------------------11-------------|
D|----------------------------------------|----------------------------------------| x3
A|----------------------------------------|----------------------------------------|
E|----------------------------------------|----------------------------------------|
e|-----------------------|----------------|-----------14---------------------------|
B|--12------12--14--14---|---14--15--15---|---14--15------15--14--15---------------|
G|-----------------------|----------------|----------------------------------------|
D|-----------------------|----------------|----------------------------------------|
A|-----------------------|----------------|----------------------------------------|
E|-----------------------|----------------|----------------------------------------|</t>
  </si>
  <si>
    <t>e|----11------11------11-----|----9------9------9------|----9------9------9-----|
B|-------11------11------11--|------11------11-----11--|------11-----11-----11--|
G|----------12------12-------|----------10-----10------|----------10-----10-----|
D|---------------------------|-------------------------|------------------------|
A|---------------------------|-------------------------|------------------------|
E|---------------------------|-------------------------|------------------------|
e|-----8------8-----8--------|
B|-------9------9-----9------|
G|---------10-----10---------|
D|---------------------------|
A|---------------------------|
E|---------------------------|</t>
  </si>
  <si>
    <t>e|----------------------------------------------------------------|
B|----------------------------------------------------------------|
G|----------------------------------------------------------------|
D|-----5-8-5-------------5---3-----------5---5b-------5-----------|
A|---6-------6-8-6---3-6---6---6-----3-6---6----6---6---6-8-5---5-|
E|-8---------------5-------------5-4--------------6-----------7---|
e|-----------------------------------------------------------------|
B|-----------------------------------------------------------------|
G|-----0-3-0-------------0---------------0---1p0-------0-----------|
D|---1-------1-3-1-----1---1-3-1-------1---1-----1---1---1-3-0---0-|
A|-3---------------0-3-----------0---3-------------1-----------2---|
E|---------------------------------4-------------------------------|</t>
  </si>
  <si>
    <t>[Play 3x]
e|------------------------------|------------------------------|
B|------5---4h5---7-5---4h5---5-|------5---4h5---7-5---4h5---5-|
G|--------4-----4-----4---------|--------4-----4-----4---------|
D|--------------------------6---|--------------------------6---|
A|-4(4)-------------------------|-0(0)-------------------------|
E|------------------------------|------------------------------|
e|------------------------------|
B|------5---4h5---7-5---4h5---5-|
G|--------4-----4-----4---------|
D|--------------------------6---|
A|------------------------------|
E|-0(0)-------------------------|
[1st And 2nd Ending]
e|------------0-----------------------|
B|--------4-------4---------4-7p5-----|
G|------4---4---4---4-----5-------4---|
D|----------------------6-----------6-|
A|-2(2)---------------3---------------|
E|------------------------------------|
[3rd Ending]
E|------------0---------------0-------|
B|--------4-------4---------0---------|
G|------4---4---4---4-----6-----6-----|
D|----------------------7---------7---|
A|-2(2)---------------0-------------7-|
E|------------------------------------|</t>
  </si>
  <si>
    <t>eb|-----13-12-13-10-13-12-13---|-----13-12-13-10-13-12-13---|
Bb|--10------------------------|--10------------------------|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eb|-----13-12-13-10-13-12-13---|-----13-12-13-10-13-12-13---|
Bb|--11------------------------|--11------------------------|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eb|-----15-13-15-12-15-13-15---|-----15-13-15-12-15-13-15---|
Bb|--12------------------------|--12------------------------|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eb|-----15-12-15-13-15-12-15---|-----15-12-15-13-15-12-15---|
Bb|--13------------------------|--13------------------------|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eb|-----17-15-17----17-15-17---|-----17-15-17----17-15-17---|
Bb|--14----------17------------|--14----------17------------|
Gb|----------------------------|----------------------------|
Db|----------------------------|----------------------------|
Ab|----------------------------|----------------------------|
Eb|----------------------------|----------------------------|
eb|-----17-13-17----17-13-17---|-----17-13-17----17-13-17---|
Bb|--15----------17------------|--15----------17------------|
Gb|----------------------------|----------------------------|
Db|----------------------------|----------------------------|
Ab|----------------------------|----------------------------|
Eb|----------------------------|----------------------------|
eb|-----18-17-18----17-15-17---|-----15-14-15----15-14-15---|
Bb|--15----------14------------|--13----------12------------|
Gb|----------------------------|----------------------------|
Db|----------------------------|----------------------------|
Ab|----------------------------|----------------------------|
Eb|----------------------------|----------------------------|
eb|-----13-12-13----13-12-13---|-----12-10-12----12-10-12---|
Bb|--11----------10------------|--9-----------x-------------|
Gb|----------------------------|----------------------------|
Db|----------------------------|----------------------------|
Ab|----------------------------|----------------------------|
Eb|----------------------------|----------------------------|
eb|-----8--7--8-----7-----7----|-----7-----7----------------|
Bb|--10----------9-----10------|--8-----10-------10-8--10---|
Gb|----------------------------|--------------7-------------|
Db|----------------------------|----------------------------|
Ab|----------------------------|----------------------------|
Eb|----------------------------|----------------------------|
eb|-----5-----5----------------|
Bb|--6-----8--------8--7--8----|
Gb|--------------5-------------|
Db|----------------------------|
Ab|----------------------------|
Eb|----------------------------|</t>
  </si>
  <si>
    <t>eb|--------------------------|--------------------------|
Bb|--------------------------|-3p2p0--------------------|
Gb|--------------------------|-------2p0----------------|
Db|-----------------------2--|-----------2p0------------|
Ab|-------2p0-------2-----0--|---------------2p0-----2--|
Eb|-0-3h4-----0-3h4-0-3h4----|-------------------3h4-0--|
eb|--------------------------|---------------------||
Bb|--------------------------|---------------------||
Gb|--------------------------|-2-------------------||
Db|-----------------------2--|-0--2-(2)------------||
Ab|-------2p0-------2-----0--|----0-(0)-2-(2)------||
Eb|-0-3h4-----0-3h4-0-3h4----|----------------3----||</t>
  </si>
  <si>
    <t>eb|---------------------------------------------------------------------------|
Bb|---------------------------------------------------------------------------|
Gb|--------------------------5------------------------------------------------|
Db|------7-------5-------7---5---------7-------5-------7--------------7-------|
Ab|0-0-0---0-0-0---0-0-0---0-----0-0-0---0-0-0---0-0-0---0-3~---0-0-0---0-0-0-|
Eb|---------------------------------------------------------------------------|
eb|---------------------------------------------------------------------------|
Bb|--------------------5p0---------5p0----------------------------------------|
Gb|------------0-5p0-------7-5p0-------7-5p0---5p0----------------------------|
Db|5-------7---------7-----------7-----------7-----7-5p0---7-5-0----------7---|
Ab|--0-0-0---0-------------------------------------------7----------0-0-0---0-|
Eb|---------------------------------------------------------------------------|
eb|---------------------------------------------------------------------------|
Bb|---------------------------------------------------------------------------|
Gb|----------------5----------------------------------------------------------|
Db|----5-------7---5--------7-------5-------7-------------7-------5-------7---|
Ab|0-0---0-0-0---0----0-0-0---0-0-0---0-0-0---0-3~--0-0-0---0-0-0---0-0-0---0-|
Eb|---------------------------------------------------------------------------|
eb|---------------------------------------------------------------------------|
Bb|---------------------------------------------------------------------------|
Gb|-5/-----7-------5w//-----8p7p5-------------0-8p7p5---------------2---0-8p7p|
Db|-5/-----------5----------------7-7-5-5h7~----------7-7-5-5-0---------------|
Ab|----0-7-----5------------------------------------------------3-4-----------|
Eb|----------5----------------------------------------------------------------|</t>
  </si>
  <si>
    <t>e|------------------|------------------|
B|---9-----10-----7-|-----9-----10---7-|
G|---9------9-----8-|-----9------9---8-|
D|---9------9-----9-|-----9------9---9-|
A|-----7-7----7-7---|-7-7---7-7----7---|
E|------------------|------------------|
e|-------------------|-----------------------|
B|-----7-----8-----5-|-(5)-----0---(0)-------|
G|-----7-----7-----6-|-(6)---x---------------|
D|-----7-----7-----7-|-(7)-x-----------------|
A|-7s5---5-5---5-5---|-----------------------|
E|-------------------|-------------------0---|
e|--------------------|------------------|
B|-----9-----10-----7-|-----9-----10---7-|
G|-----9------9-----8-|-----9------9---8-|
D|-----9------9-----9-|-----9------9---9-|
A|-------7-7----7-7---|-7-7---7-7----7---|
E|-(0)----------------|------------------|
e|-------------------|--------------0-0--|
B|-----7-----8-----5-|-(5)----------5-5--|
G|-----7-----7-----6-|-(6)----------6-6--|
D|-----7-----7-----7-|-(7)----------6-6--|
A|-7s5---5-5---5-5---|--------------4-4--|
E|-------------------|-------------------|</t>
  </si>
  <si>
    <t>e|---------------------------------------------------------|
B|---------------------------------------------------------|
G|---------------------------------------------------------|
D|---------------------------------------------------------|
A|-X/--0^3^7-12^7^3^0^3^7-12-7-3-0-3-7-12-7-3-0-3-7-12-7-3-|
E|---------------------------------------------------------|
e|---------------------------------------------------|
B|---------------------------------------------------|
G|---------------------------------------------------|
D|---------------------------------------------------|
A|-0-5-9-12-9-5-0-5-9-12-9-5-0-5-9-12-9-5-0-5-9-12-9-|
E|---------------------------------------------------|
e|--------------------------------------------------------|
B|--------------------------------------------------------|
G|--------------------------------------------------------|
D|-12-0-3-7-12-7-3-0-3-7-12-7-3-0-3-7-12-7-3-0-3-7-12-7-3-|
A|--------------------------------------------------------|
E|--------------------------------------------------------|
e|---------------------------------------|
B|---------------------------------------|
G|---------------------------------------|
D|-0-5-9-12-9-5-0-5-9-12-9-5-0-5-9-12-9~-|
A|---------------------------------------|
E|---------------------------------------|
E|----------------------------------------------------------------------------|
B|----------------------------------------------------------------------------|
G|-12-3-7-12-7-3-0-3-7-12-7-3-0-5-9-12-9-5-0-5-9-12-9-5-0-3-7-12-7-3-0-3-7-12-|
D|----------------------------------------------------------------------------|
A|----------------------------------------------------------------------------|
E|----------------------------------------------------------------------------|
E|-----------------|
B|-----------------|
G|-7-3-0-5-9-12-9~-|
D|-----------------|
A|-----------------|
E|-----------------|</t>
  </si>
  <si>
    <t>e|--2-p0-----0--5-p0-----0--2-p0-----0--4p2p0-----0------------------|
B|--------3-----------3-----------3------------3---------------------|
G|-------------------------------------------------------------------| x8
D|-------------------------------------------------------------------|
A|-------------------------------------------------------------------|
E|-------------------------------------------------------------------|
e|--2-p0-----0--5-p0----|
B|--------3-----------3-|
G|----------------------|
D|----------------------|
A|----------------------|
E|----------------------|</t>
  </si>
  <si>
    <t>Eb|-------------------------------------------------------------|
Bb|-------------------------------------------------------------|
Gb|-------------------------------------------------------------|
Db|-------------------------------------------------------------|
Ab|------------3-5-----------5-6------------3-5-6-5---9-8-------|
Db|-0-0--0-5-6------0--0-5-6-----0-0--0-5-6---------6-----8-3-5-|
Eb|-------------------------------------------------------------|
Bb|-------------------------------------------------------------|
Gb|-------------------------------------------------------------|
Db|-------------------------------------------------------------|
Ab|------------3-5-----------5-6------------3-5-6-5-------------|
Db|-0-0--0-5-6------0--0-5-6-----0-0--0-5-6---------6-3-5-0-3-5-|</t>
  </si>
  <si>
    <t>D|------------------------------------------------------------------------------|
A|------------------------------------------------------------------------------|
F|------------------------------------------------------------------------------|
C|-5/7-----7---10----7----8----85/7---10---7---8---8-8-8------------------------|
G|-3/5-----5---8-----5----6----63/5---8----5---6---6-6-6------------------------|
C|-----0-0---0----00---00---00------0----0---0---0------------------------------|
D|------------------------------------------------------------------------------|
A|------------------------------------------------------------------------------|
F|------------------------------------------------------------------------------|
C|-5/7-----7---10----7----8----85/7---10---7------------------------------------|
G|-3/5-----5---8-----5----6----63/5---8----5------------------------------------|
C|-----0-0---0----00---00---00------0----0---7-7-7-10-7-------------------------|</t>
  </si>
  <si>
    <t>eb|----------0--------------0--------------0--------------0--------|
Bb|-----------17-------------17-------------17-------------17------|
Gb|-----19------19-----19------19------19-----19------19-----19----|
Db|---16--16------0--16--16------0---16--16-----16--16--16-----0---|
Ab|-17-------------16----------------------------------------------|
Eb|--------------------------------15-------------15---------------|</t>
  </si>
  <si>
    <t>e|----------------|------12+~ -----------------------------|
B|--14~ ----12~ --|------12+~ -----------------------------|
G|--13~ ----13~ --|-----------------------------11p9-------|
D|--13~ ----11~ --|--------------------------9-------9h11--|
A|----------------|------------------7--9/11---------------|
E|----------------|--0------------/9-----------------------|
e|--------------------------------|------------------------------------|
B|-----14~ ---12------------------|-------5~ ----x0--------------------|
G|-----13~ -------11h13~ ---11----|-------6~ ----x0---------------9h11-|
D|-----13~ --------------------14-|-------4~ ------------------9-------|
A|-----11~ -----------------------|-0---0--------------7--9/11---------|
E|--0-----------------------------|-----------------/9-----------------|
e|-----------------|--------------------------------|------------------|
B|-----------------|-----14~ ---12------------------|-------5~ ---x0---|
G|--9--9-----9-----|-----13~ -------11h13~ ---11----|-------6~ ---x0---|
D|-----9h11--9h11--|-----13~ --------------------14-|-------4~ --------|
A|-----------------|-----11~ -----------------------|-0---0------------|
E|-----------------|--0-----------------------------|------------------|
e|-------------------------------|-------------------------------|
B|-------------------------------|-----14~ ---12-----------------|
G|---------------11p9------------|-----13~ -------11h13~ --11----|
D|-------------9------11------9--|-----13~ -------------------14-|
A|-----7--9/11-----------9h11----|-----11~ ----------------------|
E|--/9---------------------------|--0----------------------------|
e|----------------------------------------------|----12----------------|
B|---------5~ ---5~ ----------------------------|----12----14~ ---12---|
G|---------6~ ---6~ ------------------9h11p9----|----------13~ --------|
D|---------4~ ---4~ -------------9-11--------11-|----------13~ --------|
A|--0--0-----------------7--9/11----------------|----------11~ --------|
E|-------------------0-9------------------------|-0-----0--------------|
e|------------------|------------------------------------|-------------|
B|------------------|-------5~ ---5/------5~-------6~ ---|---------7~ -|
G|--11h13~ ---11----|-------6~ ---6/--------6~ -/7---7~ -|-/8----------|
D|---------------14-|-------4~ --------------------------|-----6-------|
A|------------------|-0---0------------------------------|-------------|
E|------------------|-----------------/5--------/6-------|-/7----7-----|
e|--------------------|--------------------------------------|
B|-----7~ -----x------|------------10~ ---10~ -------10------|
G|--------8~ ----8----|------------11~ ------11~ --------11\--|
D|-----------------6--|---/9--9------------------------------|
A|--------------------|--------------------------------------|
E|--7-----------------|--/10----10-----10--------------------|
e|------------------------------|-------------------------------------|
B|----------3~ ---3------3------|-----------6~ -----5~ ---x0----------|
G|----------------4-4~ ----4----|-------------7~ ---6~ ---x0----------|
D|-----2---------------------2--|--/5--5------------4~ ---------------|
A|------------------------------|-------------------------------7-7h9-|
E|--3----3----------------------|--/6----6----------5--------/9-------|</t>
  </si>
  <si>
    <t>E|--5-| |-----------|-----------|-----------|-----------|
B|--5-| |-5p0-0-----|-5p0-0-----|-5p0-0-----|-7p0-0-5---|
G|--6-| |-5p0-0-6-6-|-5p0-0-6-6-|-5p0-0-6-6-|-7p0-0-5---|
D|--7-| |-5p0-0-7-7-|-5p0-0-7-7-|-5p0-0-7-7-|-7p0-0-5-5-| 
A|--7-| |-------7-7-|-------7-7-|-------7-7-|---------5-|
E|--5-| |-----------|-----------|-----------|-----------|</t>
  </si>
  <si>
    <t>B |-----------------------------------------------------|
F#|-----------------------------------------------------|
D |-----------------------------------------------------|
A |-------------6----------------------------6----------|
E |-----------------------------------------------------|
A |-0--0--0-0-0-----0--3h5-0-0-0-0-0-0-0-0-0-----0--3h5-|
B |---------------------------------------------------------|
F#|---------------------------------------------------------|
D |---------------------------------------------------------|
A |----------6----------------------------------------------|
E |---------------------------------------------------------|
A |-0--0-0-0-----0--3h5-0-0-5-5-5-5-6-6-6-6-8-8-8-8-7-7-7-7-|
B |-----------------------------------------------------------------|
F#|-----------------------------------------------------------------|
D |-----------------------------------------------------------------|
A |-----------------------------------------------------------------|
E |-----------------------------------------------------------------|
A |-5-5-5-5-6-6-6-6-8-8-8-8-7-7-7-7-5-5-5-5-6-6-6-6-8-8-8-8-7-7-7-7-|
B |--------------------------|
F#|--------------------------|
D |--------------------------|
A |--------------------------|
E |--------------------------|
A |-5555555566668888-6v--5-6-|</t>
  </si>
  <si>
    <t>E|------------|--------------------------------------------------------|
B|------------|--------------------------------------------------------|
G|------------|--------------------------------------------------------|
D|------------|--------------------------------------------------------|
A|------------|--------------------------------------------------------|
D|------------|-19-19S18-18S17-17S16-16-15S14S13S12S11S10S9S8S7S6S5S4--|
E|-----------------------------------||---------------------------------|
B|----------------------------------o||---------------------------------|
G|-----------------------------------||---------------------------------|
D|-----------------------------------||---------------------------------|
A|------8-------7-----8---------6---o||-----8-------7-----8---------6---|
D|--0-6---0-0-6---0-6---0-0-6-8---0--||-0-6---0-0-6---0-6---0-0-6-8---0-|
E|----------------------------------|----------------------------------|
B|o---------------------------------|---------------------------------o|
G|----------------------------------|----------------------------------|
D|--0-6-8-6-0-5-6-5-0-6-8-6-3-5-6-5-|-0-6-8-6-0-5-6-5-0-6-8-6-3-5-6-5--|
A|o-0-6-8-6-0-5-6-5-0-6-8-6-3-5-6-5-|-0-6-8-6-0-5-6-5-0-6-8-6-3-5-6-5-o|
D|--0-6-8-6-0-5-6-5-0-6-8-6-3-5-6-5-|-0-6-8-6-0-5-6-5-0-6-8-6-3-5-6-5--|</t>
  </si>
  <si>
    <t>D|------------------------------------------------------------|
A|------------------------------------------------------------|
F|---555555555555/777777777777/444444444444/222222222222------|
C|---777777777777/999999999999/555555555555/333333333333------|
G|---000000000000-000000000000-000000000000-000000000000------|
C|------------------------------------------------------------|
D|------------------------------------------------------------|
A|------------------------------------------------------------|
F|---5-5-5--7-7-7--4-4-4--2-2-2-------------------------------|
C|----7-7-7--9-9-9--5-5-5--3-3-3------------------------------|
G|------------------------------------------------------------|
C|------------------------------------------------------------|
D|---55555555-77777777-44444444-99999999----------------------|
A|------------------------------------------------------------|
F|------------------------------------------------------------|
C|------------------------------------------------------------|
G|------------------------------------------------------------|
C|------------------------------------------------------------|
D|------------------------------------------------------------|
A|------------------------------------------------------------|
F|------------------------------------------------------------|
C|-------55555555-44444444-77777777-99889988------------------|x2
G|-------55555555-44444444-77777777-99889988------------------|
C|-------55555555-44444444-77777777-99889988------------------|
D|------------------------------------------------------------|
A|------------------------------------------------------------|
F|------------------------------------------------------------|
C|------------------------------------------------------------|x2
G|-------55555555-44444444-77777777-1010101010101010----------|
C|-------55555555-44444444-77777777-1010101010101010----------|</t>
  </si>
  <si>
    <t>e|----------------------|--------------------------|
B|----------------------|--------------------------|
G|----------------------|--------------------------|
D|----------------------|------------------5-------|
A|------7-5-7-5---8-5---|------7-5-7-5---8---7-----|
E|--0-5---------6-----6-|--0-5---------6-------8-6-|
e|----------------------|--------------------------------|
B|----------------------|--------------------------------|
G|----------------------|--------------------------------|
D|----------------------|------------------5-------------|
A|------7-5-7-5---8-5---|------7-5-7-5---8---7-----3-2---|
E|--0-5---------6-----6-|--0-5---------6-------8-6-----1-|
e|----------------------|--------------------------|----------------------|
B|----------------------|--------------------------|----------------------|
G|----------------------|--------------------------|----------------------|
D|----------------------|------------------5-------|----------------------|
A|------7-5-7-5---8-5---|------7-5-7-5---8---7-----|------7-5-7-5---8-5---|
E|--0-5---------6-----6-|--0-5---------6-------8-6-|--0-5---------6-----6-|
e|------------------------------------|
B|------------------------------------|
G|------------------------------------|
D|------------------5-----------------|
A|------7-5-7-5---8---7-----3-5-2-----|
E|--0-5---------6-------8-6-------3-1-|
e|----------------------|--------------------------|
B|----------------------|--------------------------|
G|----------------------|--------------------------|
D|----------------------|--------------------------|
A|------2-0-2-0---3-2---|------2-0-2-0---3-5-2-----|
E|--0-1---------1-----1-|--0-1---------1-------3-1-|
e|----------------------|--------------------------------|
B|----------------------|--------------------------------|
G|----------------------|--------------------------------|
D|----------------------|--------------------------------|
A|------2-0-2-0---3-2---|------2-0-2-0---3-5-2-----2-----|
E|--0-1---------1-----1-|--0-1---------1-------3-1---3-1-|
e|----------------------|--------------------------|
B|----------------------|--------------------------|
G|----------------------|--------------------------|
D|----------------------|--------------------------|
A|------2-0-2-0---3-2---|------2-0-2-0---3-5-2-----|
E|--0-1---------1-----1-|--0-1---------1-------3-1-|
e|----------------------|----------------------------------|
B|----------------------|----------------------------------|
G|----------------------|----------------------------------|
D|----------------------|----------------------------------|
A|------2-0-2-0---3-2---|------2-0-2-0-----3-5-2-----2-----|
E|--0-1---------1-----1-|--0-1---------1-0-------3-1---3-1-|</t>
  </si>
  <si>
    <t>e|--9--9--7-7--10--9---7--7/9-----12-12---------9-----------|
B|-10-10--9-9--10--10--9--9/10-10-------------9----12-------|
G|--------------------------------------11--9---------------|
D|----------------------------------------------------------|
A|----------------------------------------------------------|
E|----------------------------------------------------------|
e|--------------9--------------------------------------------------|
B|--------10---------10--12--------10-------10/12-12-12-12---------|
G|--11-11----11---11--------11--11----11-11-11/13-13-13-13---------| 
D|-----------------------------------------------------------------| 
A|-----------------------------------------------------------------| 
E|-----------------------------------------------------------------|
e|-7/9---9--9-7-7-10-9--7-7/9-----12--12--12------------|
B|-9/10-10-10-9-9-10-10-9-9/10-10-----------------------|
G|-------------------------------------11---------------|
D|------------------------------------------------------|
A|------------------------------------------------------|
E|------------------------------------------------------|</t>
  </si>
  <si>
    <t>e|-------------------|--11-11-11-11-8-8-11-11-11-11-8-8-11-11-8-8-|
B|-------------------|--------------------------------------------|
G|-------------------|--------------------------------------------|
D|-------------------|--------------------------------------------|
A|-------------------|--------------------------------------------|
E|-------------------|--------------------------------------------|
e|--11-11-11-11-8-8-11-11-11-11-8-8-11-11-8-8-|
B|--------------------------------------------|
G|--------------------------------------------|
D|--------------------------------------------|
A|--------------------------------------------|
E|--------------------------------------------|
e|--15-15-15-15-11-11-15-15-15-15-11-11-15-15-11-11-|
B|--------------------------------------------------|
G|--------------------------------------------------|
D|--------------------------------------------------|
A|--------------------------------------------------|
E|--------------------------------------------------|
e|--15-15-15-15-11-11-15-15-15-15-11-11-15-15-11-11-|
B|--------------------------------------------------|
G|--------------------------------------------------|
D|--------------------------------------------------|
A|--------------------------------------------------|
E|--------------------------------------------------|
e|--13-13-13-13-8-8-13-13-13-13-8-8-13-13-8-8-|
B|--------------------------------------------|
G|--------------------------------------------|
D|--------------------------------------------|
A|--------------------------------------------|
E|--------------------------------------------|
e|--13-13-13-13-8-8-13-13-13-13-8-8-13-13-8-8-|
B|--------------------------------------------|
G|--------------------------------------------|
D|--------------------------------------------|
A|--------------------------------------------|
E|--------------------------------------------|
e|--11-11-11-11-8-8-11-11-11-11-8-8-11-11-8-8-|
B|--------------------------------------------|
G|--------------------------------------------|
D|--------------------------------------------|
A|--------------------------------------------|
E|--------------------------------------------|
e|--8-10-11-13-10-11-13-15-/11--/13--/15~----|
B|-------------------------------------------|
G|-------------------------------------------|
D|-------------------------------------------|
A|-------------------------------------------|
E|-------------------------------------------|</t>
  </si>
  <si>
    <t>E|---------------|---------------|----------------|----------------|
B|---------------|---------------|----------------|----------------|
G|---------------|---------------|----------------|----------------|
D|-4h7h12p0-[x8]-|-5h8h12p0-[x8]-|-8h11h12p0-[x8]-|-7h10h12p0-[x8]-|
A|---------------|---------------|----------------|----------------|
D|---------------|---------------|----------------|----------------|
E|---------------|---------------|------------------|
B|---------------|---------------|------------------|
G|-3h7h12p0-[x8]-|-5h8h12p0-[x8]-|-6h9h12p0-[x8]--/-|
D|---------------|---------------|------------------|
A|---------------|---------------|------------------|
D|---------------|---------------|------------------|
e|-------------------------|--------------------|
B|-------------------------|--------------------|
G|-------------------------|--------------------|
D|-------------------------|---------------5--6-|
A|---5-3-0-3p0---------5---|-5-3-0-3p0-----3--4-|
D|-0-----------5-3-0-0---0-|-----------3p0------|
e|-------------------------|--------------------|
B|-------------------------|--------------------|
G|-------------------------|--------------------|
D|-------------------------|---------------3--4-|
A|---5-3-0-3p0---------5---|-5-3-0-3p0-----3--4-|
D|-0-----------5-3-0-0---0-|-----------3p0-3--4-|</t>
  </si>
  <si>
    <t>e|----------------|-----------------|
B|----------------|-----------------|
G|----------------|-----------------|
D|----------------|-----7-----8--7--|
A|--8-----10------|--5-----6---6----|
E|----10------8---|-----------------|</t>
  </si>
  <si>
    <t>eb|-----4-4-x-0---------------5-5-----------|
Bb|-4h5-5-5-x-0-------0-------5-5-----------|
Gb|-4---4-4-x-5------5--5/-6--6-6--1------9-|
Db|-4h6-6-6-x-6-----6---6/-7--7-7--2------9-|
Ab|-4-------x-6--6------6/-7-------2-9h11---|
Eb|---------x-4----4----4/-5-------0--------|</t>
  </si>
  <si>
    <t>e|-----|-------------------------|-----------------|-------------------------|
B|-----|-------------------------|-----------------|-------------------------|
G|-----|-------------------------|-----------------|-------------------------|
D|-----|-------------------------|-----------------|-------------------------|
A|-5h6h|=7-----------------------|-2-------(2)-5h6h|=7-----------------------|
E|-----|---5h6h7-7p6p5-5p4p3-3-3-|-0-------(0)-----|---5h6h7-7p6p5-5p4p3-3-3-|
e|-----------------|-------------------------|
B|-----------------|-------------------------|
G|-----------------|-------------------------|
D|-----------------|---------------------2h3h|
A|-4-------(4)-5h6h|=7-----------------------|
E|-2-------(2)-----|---5h6h7-7p6p5-5p4p3-----|
e|-------------------------|---------------------------|
B|-------------------------|---------------------------|
G|-------------------------|---------------------------|
D|-4-----------------------|---------------------------|
A|---2h3h4-4p3p2-2p1p0-5h6h|=7-------------------------|
E|-------------------------|---5h6h7-7p6p5-5p4p3-3-3---|</t>
  </si>
  <si>
    <t>Battery</t>
  </si>
  <si>
    <t>Fuel</t>
  </si>
  <si>
    <t>Jailbreak</t>
  </si>
  <si>
    <t>Giving The Dog A Bone</t>
  </si>
  <si>
    <t>Dumb</t>
  </si>
  <si>
    <t>Lithium</t>
  </si>
  <si>
    <t>Wonderwall</t>
  </si>
  <si>
    <t>Supersonic</t>
  </si>
  <si>
    <t>Oasis</t>
  </si>
  <si>
    <t>Don't</t>
  </si>
  <si>
    <t>Ed Sheeran</t>
  </si>
  <si>
    <t>Toxicity</t>
  </si>
  <si>
    <t>Hangar 18</t>
  </si>
  <si>
    <t>Mastermind</t>
  </si>
  <si>
    <t>The Beautiful People</t>
  </si>
  <si>
    <t>Marilyn Manson</t>
  </si>
  <si>
    <t>Chasing Cars</t>
  </si>
  <si>
    <t>Snow Patrol</t>
  </si>
  <si>
    <t>Scream</t>
  </si>
  <si>
    <t>Gravity</t>
  </si>
  <si>
    <t>Neon</t>
  </si>
  <si>
    <t>John Mayer</t>
  </si>
  <si>
    <t>Once</t>
  </si>
  <si>
    <t>Go</t>
  </si>
  <si>
    <t>Daughter</t>
  </si>
  <si>
    <t>Rearviewmirror</t>
  </si>
  <si>
    <t>By Demons Be Driven</t>
  </si>
  <si>
    <t>Brown Eyed Girl</t>
  </si>
  <si>
    <t>Van Morrison</t>
  </si>
  <si>
    <t>Hammer To Fall</t>
  </si>
  <si>
    <t>Again</t>
  </si>
  <si>
    <t>It Aint Like That</t>
  </si>
  <si>
    <t>Put You Down</t>
  </si>
  <si>
    <t>Lab Monkey</t>
  </si>
  <si>
    <t>Sunshine</t>
  </si>
  <si>
    <t>Black Diamond</t>
  </si>
  <si>
    <t>Strutter</t>
  </si>
  <si>
    <t>Testify</t>
  </si>
  <si>
    <t>The Wanton Song</t>
  </si>
  <si>
    <t>The Immigrant Song</t>
  </si>
  <si>
    <t>Harvester Of Sorrow</t>
  </si>
  <si>
    <t>...And Justice For All</t>
  </si>
  <si>
    <t>The Four Horsemen</t>
  </si>
  <si>
    <t>That Was Just Your Life</t>
  </si>
  <si>
    <t>The Judas Kiss</t>
  </si>
  <si>
    <t>King Nothing</t>
  </si>
  <si>
    <t>For Whom The Bell Tolls</t>
  </si>
  <si>
    <t>Sad But True</t>
  </si>
  <si>
    <t>Have A Drink On Me</t>
  </si>
  <si>
    <t>Flick Of The Switch</t>
  </si>
  <si>
    <t>The Furor</t>
  </si>
  <si>
    <t>Stand Up</t>
  </si>
  <si>
    <t>The Razors Edge</t>
  </si>
  <si>
    <t>Let There Be Rock</t>
  </si>
  <si>
    <t>Gimme A Bullet</t>
  </si>
  <si>
    <t>Beating Around The Bush</t>
  </si>
  <si>
    <t>All Apologies</t>
  </si>
  <si>
    <t>Heart Shaped Box</t>
  </si>
  <si>
    <t>In Bloom</t>
  </si>
  <si>
    <t>Cigarettes and Alcohol</t>
  </si>
  <si>
    <t>Dont Look Back In Anger</t>
  </si>
  <si>
    <t>Shape Of You</t>
  </si>
  <si>
    <t>Thinking Out Loud</t>
  </si>
  <si>
    <t>Points of Authority</t>
  </si>
  <si>
    <t>Don't Stay</t>
  </si>
  <si>
    <t>Lying From You</t>
  </si>
  <si>
    <t>What I've Done</t>
  </si>
  <si>
    <t>New Divide</t>
  </si>
  <si>
    <t>BYOB</t>
  </si>
  <si>
    <t>Welcome To The Family</t>
  </si>
  <si>
    <t>Almost Easy</t>
  </si>
  <si>
    <t>City Love</t>
  </si>
  <si>
    <t>I Don't Need No Doctor</t>
  </si>
  <si>
    <t>Who Did You Think I Was</t>
  </si>
  <si>
    <t>Slow Dancing In A Burning Room</t>
  </si>
  <si>
    <t>Hello Operator</t>
  </si>
  <si>
    <t>Ball and Biscuit</t>
  </si>
  <si>
    <t>Blue Orchid</t>
  </si>
  <si>
    <t>Better Man</t>
  </si>
  <si>
    <t>When The Sun Goes Down</t>
  </si>
  <si>
    <t>Fake Tales Of San Francisco</t>
  </si>
  <si>
    <t>Knee Socks</t>
  </si>
  <si>
    <t>Lesson Learned</t>
  </si>
  <si>
    <t>Dirt</t>
  </si>
  <si>
    <t>Firehouse</t>
  </si>
  <si>
    <t>Pop</t>
  </si>
  <si>
    <t>Buddy Holly</t>
  </si>
  <si>
    <t>Words of Love</t>
  </si>
  <si>
    <t>Gimme Shelter</t>
  </si>
  <si>
    <t>Bohemian Rhapsody</t>
  </si>
  <si>
    <t>Jet</t>
  </si>
  <si>
    <t>Are You Gonna Be My Girl</t>
  </si>
  <si>
    <t>Reptilia</t>
  </si>
  <si>
    <t>The Strokes</t>
  </si>
  <si>
    <t>Franz Ferdinand</t>
  </si>
  <si>
    <t>Take Me Out</t>
  </si>
  <si>
    <t>Some Kind of Monster</t>
  </si>
  <si>
    <t>Rock N Roll Train</t>
  </si>
  <si>
    <t>T.N.T</t>
  </si>
  <si>
    <t>Dbm</t>
  </si>
  <si>
    <t>Bb</t>
  </si>
  <si>
    <t>We Will Rock You</t>
  </si>
  <si>
    <t>I Know Somethin (Bout You)</t>
  </si>
  <si>
    <t>The House Is Rockin'</t>
  </si>
  <si>
    <t>Finding key</t>
  </si>
  <si>
    <t>Find tab (and link and tuning)</t>
  </si>
  <si>
    <t>Decide difficulty</t>
  </si>
  <si>
    <t>Decide sell or not</t>
  </si>
  <si>
    <t>UfmkgQRmmeE</t>
  </si>
  <si>
    <t>4fQhin4vQAc</t>
  </si>
  <si>
    <t>ff7bExGGk5I</t>
  </si>
  <si>
    <t>1kLMU5xi-PU</t>
  </si>
  <si>
    <t>UPnicm3iYV8</t>
  </si>
  <si>
    <t>pxg-re3woo0</t>
  </si>
  <si>
    <t>cYpqoOMNU9Y</t>
  </si>
  <si>
    <t>tRJxnxVu3C8</t>
  </si>
  <si>
    <t>jruKMJn2WgQ</t>
  </si>
  <si>
    <t>lyodOpUxgHA</t>
  </si>
  <si>
    <t>qdlQyNe_9tE</t>
  </si>
  <si>
    <t>o-Z_7YXJRtU</t>
  </si>
  <si>
    <t>A8MO7fkZc5o</t>
  </si>
  <si>
    <t>RHpClGAAvpg</t>
  </si>
  <si>
    <t>D_IrXsEHZxM</t>
  </si>
  <si>
    <t>DWKcJwuZnzE</t>
  </si>
  <si>
    <t>_IwnzT4J_hM</t>
  </si>
  <si>
    <t>l_lEqxF771Y</t>
  </si>
  <si>
    <t>gn8BJvPaMFE</t>
  </si>
  <si>
    <t>44XYEeD1A1U</t>
  </si>
  <si>
    <t>3f2g4RMfhS0</t>
  </si>
  <si>
    <t>mybLzpJPnKY</t>
  </si>
  <si>
    <t>V3oQvkl0tg4</t>
  </si>
  <si>
    <t>WHtWs4wiFCs</t>
  </si>
  <si>
    <t>1hLWO_l5yCQ</t>
  </si>
  <si>
    <t>aWmkuH1k7uA</t>
  </si>
  <si>
    <t>n6P0SitRwy8</t>
  </si>
  <si>
    <t>peclQi67KS8</t>
  </si>
  <si>
    <t>pkcJEvMcnEg</t>
  </si>
  <si>
    <t>PbgKEjNBHqM</t>
  </si>
  <si>
    <t>UJDK8X5K9mw</t>
  </si>
  <si>
    <t>bx1Bh8ZvH84</t>
  </si>
  <si>
    <t>r8OipmKFDeM</t>
  </si>
  <si>
    <t>BJKpUH2kJQg</t>
  </si>
  <si>
    <t>JGwWNGJdvx8</t>
  </si>
  <si>
    <t>lp-EO5I60KA</t>
  </si>
  <si>
    <t>3TqGEbROFd4</t>
  </si>
  <si>
    <t>jZSPAp8kCl4</t>
  </si>
  <si>
    <t>oWfGOVWrueo</t>
  </si>
  <si>
    <t>NjdgcHdzvac</t>
  </si>
  <si>
    <t>8sgycukafqQ</t>
  </si>
  <si>
    <t>ysSxxIqKNN0</t>
  </si>
  <si>
    <t>iywaBOMvYLI</t>
  </si>
  <si>
    <t>zUzd9KyIDrM</t>
  </si>
  <si>
    <t>B-oU2xlViRQ</t>
  </si>
  <si>
    <t>YlWq6WXIv7M</t>
  </si>
  <si>
    <t>Peace Sells...But Who's Buying?</t>
  </si>
  <si>
    <t>c6Q7f8usl2I</t>
  </si>
  <si>
    <t>Ypkv0HeUvTc</t>
  </si>
  <si>
    <t>GemKqzILV4w</t>
  </si>
  <si>
    <t>IjOJyvNTWtg</t>
  </si>
  <si>
    <t>Fi_GN1pHCVc</t>
  </si>
  <si>
    <t>tj1sYEciOyQ</t>
  </si>
  <si>
    <t>uJorl7V3uNk</t>
  </si>
  <si>
    <t>owFFVQYW1p8</t>
  </si>
  <si>
    <t>p4R-RrSbQ-Y</t>
  </si>
  <si>
    <t>hc9VXLtgw5g</t>
  </si>
  <si>
    <t>YfLkO3uwBlQ</t>
  </si>
  <si>
    <t>p5XtkwlSIGI</t>
  </si>
  <si>
    <t>npVqImkgV84</t>
  </si>
  <si>
    <t>jW8UlrtcEac</t>
  </si>
  <si>
    <t>sTXuPydruvk</t>
  </si>
  <si>
    <t>JqYIwJDsinM</t>
  </si>
  <si>
    <t>URDNO-SovD4</t>
  </si>
  <si>
    <t>RiqgTPmkfek</t>
  </si>
  <si>
    <t>nLsnJAj5cms</t>
  </si>
  <si>
    <t>hbpUfWz-rlc</t>
  </si>
  <si>
    <t>EqkBRVukQmE</t>
  </si>
  <si>
    <t>b70Crpl2s2U</t>
  </si>
  <si>
    <t>R7A1mIdiheE</t>
  </si>
  <si>
    <t>XjND4wZ9KYk</t>
  </si>
  <si>
    <t>JU5LMG3WFBw</t>
  </si>
  <si>
    <t>fJ9rUzIMcZQ</t>
  </si>
  <si>
    <t>-tJYN-eG1zk</t>
  </si>
  <si>
    <t>9sH7D8UmMKI</t>
  </si>
  <si>
    <t>__biilMpnmw</t>
  </si>
  <si>
    <t>gdLwuTpXmHE</t>
  </si>
  <si>
    <t>_pIGZOq80Lo</t>
  </si>
  <si>
    <t>Ia2X5x5cPJs</t>
  </si>
  <si>
    <t>7PWkN9viNxA</t>
  </si>
  <si>
    <t>eymMR60AazU</t>
  </si>
  <si>
    <t>0I2xyajzxnU</t>
  </si>
  <si>
    <t>y0nNZ5wAWZE</t>
  </si>
  <si>
    <t>IbiFkS4XwG8</t>
  </si>
  <si>
    <t>JO3K3dqaQQs</t>
  </si>
  <si>
    <t>Wtij9_fLhKA</t>
  </si>
  <si>
    <t>-G84P5K-W1c</t>
  </si>
  <si>
    <t>-DnVYcVIqwk</t>
  </si>
  <si>
    <t>RlNhD0oS5pk</t>
  </si>
  <si>
    <t>ZcuojSU_hOY</t>
  </si>
  <si>
    <t>RbmS3tQJ7Os</t>
  </si>
  <si>
    <t>tuK6n2Lkza0</t>
  </si>
  <si>
    <t>b8-tXG8KrWs</t>
  </si>
  <si>
    <t>Ijk4j-r7qPA</t>
  </si>
  <si>
    <t>Find youtube video links</t>
  </si>
  <si>
    <t>Welcome Home (Sanitarium)</t>
  </si>
  <si>
    <t>e|----------------|------------------|------------|
B|----------------|------------------|------------|
G|------0-------0-|------0-----------|------------|
D|----4-------5---|----7-------0-----|--0-----0---|
A|--2-------3-----|--5-------4-------|2-----------|
E|0-------0-------|0-------5-----5s3-|----3s5-----|</t>
  </si>
  <si>
    <t>https://tabs.ultimate-guitar.com/tab/metallica/welcome_home_sanitarium_tabs_75014</t>
  </si>
  <si>
    <t>e|----------------------|------------------------|
B|----------------------|------------------------|
G|----------------------|------------------------|
D|------------4-3-2-----|-2------------4-3-2-----|
A|------5-4-2-2-1-0-5-4-|-2------5-4-2-2-1-0-5-4-|
E|------3-2-0-------3-2-|-0------3-2-0-------3-2-|
e|-------------------------|---------------------------|
B|-------------------------|---------------------------|
G|o----------------0-------|---------------------------|
D|o-------3--2-------3--2--|--------3--0------0-----0--|
A|-----2---------2---------|-----2----------0----------|
E|--0----------------------|--0-----------3------1-----|</t>
  </si>
  <si>
    <t>https://tabs.ultimate-guitar.com/tab/metallica/harvester_of_sorrow_tabs_53538</t>
  </si>
  <si>
    <t>e|-------------------------------------------------------------------------|
B|-------------------------------------------------------------------------|
G|---------------------------------------------------------------------2---|
D|-6-7-9----7-6h7p6-4-5-5-4-7-4-2-3-5----3-2h3p2-0-2-2-0-2-0-0-2-2-0-2---3-|
A|-7-----7-(7)------5-----5---5-3-----3-(3)------2-----2---2-1-----1-------|
E|-0-----------------------------------------------------------------------|</t>
  </si>
  <si>
    <t>https://tabs.ultimate-guitar.com/tab/metallica/and_justice_for_all_tabs_202703</t>
  </si>
  <si>
    <t>e|-------------||-----------------|-----------------|-----------------|
B|-5-----------||-----------------|-----------------|-----------------|
G|-5-----7--5--||-----------------|-----------------|-----------------|
D|-5--5--7--5--||-----------------|-----------------|-----------------|
A|-3--5--5--3--||-7-5-7-5-7-5-7-5-|-7-5-7-5-7-5-5-5-|-7-5-7-5-7-5-7-5-|
E|----3--------||-0---0---0---0---|-0---0---0---7---|-0---0---0---0---|
e|------------------|-----------------|-----------------|-------------|
B|------------------|-----------------|-----------------|-------------|
G|------------------|-----------------|-----------------|-------------|
D|------------------|-----------------|-----------------|-5-----7--5--|
A|---5--7---7p5-----|-7-5-7-5-7-5-5-5-|-7-5-7-5-7-5-5-5-|-3--5--5--3--|
E|-7------------7p5-|-0---0---0---7---|-0---0---0---7---|-3--3--------|</t>
  </si>
  <si>
    <t>https://tabs.ultimate-guitar.com/tab/metallica/the_four_horsemen_tabs_161530</t>
  </si>
  <si>
    <t>e|-------------------------------------------------------------------------|
B|-------------------------------------------------------------------------|
G|-------------0-------------------------------------0---------------------|
D|----------2--------2------------3--------------2--------2------------3---|
A|-----1----------------------1------------1----------------------1--------|
E|--0----------------------0------------0----------------------0-----------| (x4)
e|---------------------------------------------------------------------|
B|---------------------------------------------------------------------|
G|---------------------------------------------------------------------|
D|--2------------------2---2---3--------2------------------2---2---3---|
A|--2----2-2--2--2-----2---1---3--------2----2-2--2--2-----2---1---3---|
E|--0----0-0--0--0-----0---0---1--------0----0-0--0--0-----0---0---1---|
e|---------------------------------------------------------------------|
B|---------------------------------------------------------------------|
G|---------------------------------------------------------------------|
D|--2------------------2---2---3--------2------------------2---2---3---|
A|--2----2-2--2--2-----2---1---3--------2----2-2--2--2-----2---1---3---|
E|--0----0-0--0--0-----0---0---1--------0----0-0--0--0-----0---0---1---|
e|------|------------------------------------------|
B|------|------------------------------------------|  
G|------|*----------------------------------------*|
D|--2~--|*-----------------------------------2~---*|
A|--2~--|------7~-------8-8-8-8--3--3--3---5-2~----|
E|--0~--|--/6~----6~~---6-6-6-6--1--1--1---3-0~----|
e|-------------------------------------------------------------------------|
B|-------------------------------------------------------------------------|
G|-------------------------------------------------------------------------|
D|-------------------------------------------------------------------------|
A|-----------7-----------------7-----------------7-------------------------|
E|--000--5-6---6-5-6--000--5-6---6-5-6--000--5-6---6-5-6---5-3-5-6-5-3-2-1-|</t>
  </si>
  <si>
    <t>https://tabs.ultimate-guitar.com/tab/metallica/that_was_just_your_life_tabs_742158</t>
  </si>
  <si>
    <t>E|--------------------------|--------------------------------|
B|--------------------------|--------------------------------|
G|--------------------------|--------------------------------|
D|-11------11---------------|-11------11---------------------|
A|-9---11--9---10-----------|-9---11--9---10--10--10--10--10-|
E|-----9-------8--8-888-888-|-----9-------8---8---8---8---8--|
E|----------------x--|
B|----------------x--|
G|----------------x--|
D|-11------11-----x--|
A|-9---11--9---10----|
E|-----9-------8-----|</t>
  </si>
  <si>
    <t>https://tabs.ultimate-guitar.com/tab/metallica/the_judas_kiss_tabs_728659</t>
  </si>
  <si>
    <t>e|----------------------|-----------------|
B|----------------------|-----------------|
G|----------------------|-------^0-(0)----|
D|-^3--2--(2)-^2-(2)----|-^2--0-^0-(0)----|
A|-^2-(2)-(2)-^0-(0)----|-^0----^5-(5)----|
E|-^0-(0)-(0)-^1-(1)----|-^2----^3-(3)----|
e|--------------------------------|---------------------------|
B|--------------------------------|---------------------------|
G|------------4-5---------4--5----|---------4-5----------5-4--|
D|----------x------7-----------7--|-(7)---x-----7--5-(5)------|
A|--------x-----------------------|-----x---------------------|
E|--------------------------------|---------------------------|</t>
  </si>
  <si>
    <t>https://tabs.ultimate-guitar.com/tab/metallica/battery_tabs_54418</t>
  </si>
  <si>
    <t>eb|-----------------|-----------------|-----------------|-----------------|
Bb|-----------------|-----------------|-----------------|-----------------|
Gb|-----------------|-----------------|-----------------|-----------------|
Db|-----------------|-----------------|-----------------|-5s7-7-7-7s5-5s7-|
Ab|-----------------|-----------------|-----------------|-----------------|
Eb|-3p0-0-3p0-0-3p0-|-3p0-0-3p0-0-3p0-|-3p0-0-3p0-0-3p0-|-3s5-5-5-5s3-3s5-|
eb|-----------------|-----------------|-----------------|-----------------|
Bb|-----------------|-----------------|-----------------|-----------------|
Gb|-----------------|-----------------|-----------------|-----------------|
Db|-----------------|-----------------|-----------------|-5s7-7-7-7s5-----|
Ab|-----------------|-----------------|-----------------|-------------5s7-|
Eb|-3p0-0-3p0-0-3p0-|-3p0-0-3p0-0-3p0-|-3p0-0-3p0-0-3p0-|-3s5-5-5-5s3-----|
eb|-----------------|-----------------|-----------------|-----------------|
Bb|-----------------|-----------------|-----------------|-----------------|
Gb|-----------------|-----------------|-----------------|-----------------|
Db|-7-7-7-5^--------|-7-7-7-5^--------|-7-7-7-5^--------|-7-7-7-5^--------|
Ab|-----------7-5h7-|-----------7-5h7-|-----------7-5h7-|------------7-5s-|
Eb|-----------------|-----------------|-----------------|-----------------|</t>
  </si>
  <si>
    <t>https://tabs.ultimate-guitar.com/tab/metallica/fuel_tabs_90844</t>
  </si>
  <si>
    <t>https://tabs.ultimate-guitar.com/tab/metallica/some_kind_of_monster_tabs_53434</t>
  </si>
  <si>
    <t xml:space="preserve">D|----------------|---------------|---------------| 
A|----------------|---------------|---------------| 
F|----------------|---------------|---------------|
C|----------------|---------------|---------------|
G|----------------|---------------|---------------|
C|-0-0-3-5-0------|-0-3-5-0-------|-0-3-5-0-3-5---| </t>
  </si>
  <si>
    <t>https://www.songsterr.com/a/wsa/metallica-king-nothing-tab-s12147t1</t>
  </si>
  <si>
    <t>d#|-----------------------------|---------------------------|
A#|-----------------------------|---------------------------|
F#|-----------------------------|---------------------------|
C#|-----------------5-----------|-------5-------8---7-------|
G#|--5--6--7-----7-----7--------|----7-----7----------------|
D#|--0--0--0--0-----------------|-0-----------6---5---------|</t>
  </si>
  <si>
    <t>https://tabs.ultimate-guitar.com/tab/metallica/for_whom_the_bell_tolls_tabs_390313</t>
  </si>
  <si>
    <t>https://tabs.ultimate-guitar.com/tab/metallica/sad_but_true_tabs_140973</t>
  </si>
  <si>
    <t>d|----------------------------||-------------------------|
A|----------------------------||-------------------------|
F|----------------------------||-------------------------|
C|----------------------------||-------------------------|
G|--2--(2)---2-2-5p0-1p0------||-2--(2)---2-2-5p0-5-5----|
D|--0--(0)---0-0---------3p0--||-0--(0)---0-0------------|</t>
  </si>
  <si>
    <t>e|----------------------------------------------|
B|---3----3----3--------3-3-3-3-3-3-3-3-3-------|
G|-2-2--2-2----2--------2-0-0-0-0-2-2-2-2-2-2-2-|
D|-2-0--2-0----0--------0-0-0-0-0-0-0-0-0-2-2-2-|
A|-0-0--0-0----0----------x-x-x-x---------0-0-0-|
E|------------------------3-3-3-3---------------|</t>
  </si>
  <si>
    <t>https://tabs.ultimate-guitar.com/tab/acdc/rock_n_roll_train_tabs_726341</t>
  </si>
  <si>
    <t>e|--------------------------------|---------------------|
B|o-----8-------------------------|---------7-(7)------o|
G|--7s9---9s7p5---7-5b6==(5)r-----|-5h6-----7-(7)-------|
D|--------------7-------------7---|---5-----7-(7)-------|
A|o-----------------------------0-|---0-0-0-0-(0)---0--o|
E|--------------------------------|---------------------|</t>
  </si>
  <si>
    <t>https://tabs.ultimate-guitar.com/tab/acdc/have_a_drink_on_me_tabs_168695</t>
  </si>
  <si>
    <t>|-----------2------------------|-----------2------------|------------------|
|-----------3------------------|-----------3--(Sustain--|------------------|
|--2--5-----2------------------|--2--5-----2---here-)---|------------------|
|--2--5-----0------------------|--2--5-----0------------|------------------|
|--0--3--0--------------2-3-2--|--0--3--0---------------|-----------2-3-2--|
|--------------1-2-3-4---------|------------------------|--1-2-3-4---------|</t>
  </si>
  <si>
    <t>https://www.songsterr.com/a/wsa/ac-dc-flick-of-the-switch-tab-s8697t1</t>
  </si>
  <si>
    <t>https://tabs.ultimate-guitar.com/tab/acdc/the_furor_tabs_757025</t>
  </si>
  <si>
    <t>E|-2-------3----------------------------------3------1----|
B|-3-------3----------------------------------3------1----|
G|-2-------0--------------5-------------------0------2----|
D|-0-------0------0-3-5s7-----7-6-5--0--3--0--0------3----|
A|---------x----------------------------------x------3----|
E|---------3----------------------------------3------1----|
E|-2-------3--|---------------------|--------|
B|-3-------3--|---------------------|-----3--|
G|-2-------0--|-----------5---------|-----2--|
D|-0-------0--|-0-3-5-5s7---7-6-5---|-0-3-0--|
A|---------x--|---------------------|--------|
E|---------3--|---------------------|--------|</t>
  </si>
  <si>
    <t>https://tabs.ultimate-guitar.com/tab/acdc/stand_up_tabs_277657</t>
  </si>
  <si>
    <t>https://tabs.ultimate-guitar.com/tab/acdc/the_razors_edge_tabs_59366</t>
  </si>
  <si>
    <t>https://tabs.ultimate-guitar.com/tab/acdc/tnt_tabs_136884</t>
  </si>
  <si>
    <t>d#|-----------------------------|
A#|-----------------------------|
F#|------0--2--------2----------|
C#|---2--0--2--------2----------|
G#|---2--x--0--------0----------|
D#|---0--3-----3--3-----3qb-----|</t>
  </si>
  <si>
    <t>https://tabs.ultimate-guitar.com/tab/acdc/let_there_be_rock_tabs_51696</t>
  </si>
  <si>
    <t>d#|-------------------------------------------------------------------|
A#|-------------------------------------------------------------------|
F#|----------------------------------------------2--------------------|
C#|-0--2-2-------------0--2-2--------------0-2-2-2-2-2-0-2-2----------|
G#|-0--2-2-------------0--2-2--------------0-2-2-0-2-2-0-2-2----------|
D#|-3--0-0--0-0-0-0-0--3--0-0-0-0-0-0-0----3-0-0---0-0-3-0-0-0-0-0-0-0|</t>
  </si>
  <si>
    <t>d#|-----------------------|-----------------------|-----------------------|
A#|-----------------------|-----------------------|-----------------------|
F#|---------------2----0--|---------------2----0--|---------------0----2--|
C#|--2----2-------2----0--|--2----2-------2----0--|--2----2-------0----2--|
G#|--0----0----3b---------|--0----0----3b---------|--0----0----3b---------|
D#|-----------------------|-----------------------|-----------------------|
d#|-----------------------|
A#|-----------------------|
F#|---------------2----2--|
C#|--2----2-------2----2--|
G#|--0----0----3b---------|
D#|-----------------------|
d#|---------------------|--------------------|
A#|-------------3----3--|------------3----3--|
F#|--2----------0----0--|------------0----0--|
C#|--2----------4----5--|------------4----5--|
G#|--0------------------|--------------------|
D#|---------------------|--------------------|
d#|--------------------|------------------|---------------------|
A#|------------3-------|------------------|-------------3----3--|
F#|------------0----2--|------------------|--2----------0----0--|
C#|------------4----2--|------------------|--2----------4----5--|
G#|-----------------0--|------------------|--0------------------|
D#|--------------------|------------------|---------------------|</t>
  </si>
  <si>
    <t>https://www.youtube.com/watch?v=mybLzpJPnKY</t>
  </si>
  <si>
    <t>https://tabs.ultimate-guitar.com/tab/acdc/beating_around_the_bush_tabs_1801766</t>
  </si>
  <si>
    <t>e|---------------------------------------------------------------------------|
B|---------------------------------------------------------------------------|
G|--------------------------1---------------------1--------------------------|
D|----------0---------------2-----------0---------2--------------------------|
A|-----0h1h2-2p1p0----------2------0h1h2-2p1p0----2--------------------------|
E|-0h3------------3p0-3p0-0-0---0h3-----------3p0-0--------------------------|</t>
  </si>
  <si>
    <t>e|-----0----------|
B|-----0-x-x-3----|
G|-------x-x-2--2-|
D|-0h2---x-x-0--2-|
A|-0h2----------0-|
E|-0--------------|</t>
  </si>
  <si>
    <t>https://tabs.ultimate-guitar.com/tab/acdc/jailbreak_tabs_199710</t>
  </si>
  <si>
    <t>e|---------------|-----------------|-----------------|
B|---------------|-----------------|-----------------|
G|-2-2-2-2-2-2-2-|-2-2-2-2-2-2-2-2-|-2-2-2-2-2-2-2-2-|
D|-x-2-2-x-2-2-x-|-2-x-2-2-x-2-2-2-|-x-2-2-x-2-2-x-2-|
A|-3-0-0-5-0-0-3-|-0-5-0-0-3-0-0-x-|-3-0-0-5-0-0-3-0-|
E|---------------|---------------3-|-----------------|</t>
  </si>
  <si>
    <t>https://tabs.ultimate-guitar.com/tab/acdc/given_the_dog_a_bone_tabs_161662</t>
  </si>
  <si>
    <t>eb|-------------------------------|----------------------------------|
Bb|-------------------------------|----------------------------------|
Gb|-------------------------------|----------------------------------|
Db|-------------------------------|--------------10/12--12--10--9----|
Ab|-9--9--10--9--10/12--12--10--9-|-9--9--10--9----------------------|
Db|-------------------------------|----------------------------------|
eb|-------------------------------|----------------------------------|
Bb|-------------------------------|----------------------------------|
Gb|-------------------------------|---------------11--11--9----------|
Db|-------------------------------|--------------------------12------|
Ab|-9--9--10--9--10/12--12--10--9-|-9--9--10--9----------------------|
Db|-------------------------------|----------------------------------|</t>
  </si>
  <si>
    <t>https://tabs.ultimate-guitar.com/tab/nirvana/all_apologies_tabs_112704</t>
  </si>
  <si>
    <t>https://tabs.ultimate-guitar.com/tab/nirvana/heart_shaped_box_tabs_49219</t>
  </si>
  <si>
    <t>D#|-------------------------------------------------------------------------|
A#|-------------------------------------------------------------------------|
F#|-----2----------------------------------2------------------------------0-|
C#|---2---2-----3----------0-----0-----2-2---2-----3------2/4-4---4----4--0-|
G#|-0---------3---3-----0-----0---0----0---------3--------------0---3--3----|
C#|---------3---------0------------------------3-----3--0-------------------|</t>
  </si>
  <si>
    <t>Eb|---------------------------------|
Bb|---------------------------------|
Gb|------------2-2-2--------5-5-----|
Db|-----2-2----2-2-2--5-5---5-5-----|
Ab|-----2-2--0--------5-5-3---------|
Eb|-0----------------3--------------|</t>
  </si>
  <si>
    <t>https://tabs.ultimate-guitar.com/tab/nirvana/dumb_tabs_49513</t>
  </si>
  <si>
    <t>d|-----------------------------------------------------------|
A|-----------------------------------------------------------|
F|-----------------------------------------------------------|
C|-----------------6--------7---55-777-77-0-44-777-77-0------|
G|----------6-----4--------7----33-555-55-0-22-555-55-0------|
D|--0-X-0-4---X-0----X-0-5----0------------------------------|</t>
  </si>
  <si>
    <t>e|----------------------------------------------------------------------------|
B|----------------------------------------------------------------------------|
G|--3--3-3/-------------------------------------------------------------------|
D|--3--3-3/---5----------------3--3--3/6--6-----------------------------------|
A|--1--1-1/---5----------------3--3--3/6--6-----------------0-----------------|
E|------------3----------------1--1--1/4--4--4----1--4------------------------|
e|----------------------------------------------------------------------------|
B|----------------------------------------------------------------------------|
G|--3--3-3/-------------------------------------------------------------------|
D|--3--3-3/----5------------3--3-3/6---6--------------------------------------|
A|--1--1-1/----5------------3--3-3/6---6--------------------------------------|
E|-------------3------------1--1-1/4---4--------------------------------------|
e|----------------------------------------------------------------------------|
B|----------------------------------------------------------------------------|
G|--3-3-3-3-3-x---------------0-/8-8-8-8-8-x-0-4-4-4-4-0-2-2-2----------------|
D|--3-3-3-3-3-x-0-4-4-4-4-4-x-0-/8-8-8-8-8-x-0-4-4-4-4-0-2-2-2----------------|
A|--1-1-1-1-1-x-0-4-4-4-4-4-x-0-/6-6-6-6-6-x-0-2-2-2-2-0-0-0-0----------------|
E|--------------0-2-2-2-2-2-x-------------------------------------------------|</t>
  </si>
  <si>
    <t>https://tabs.ultimate-guitar.com/tab/nirvana/in_bloom_tabs_93559</t>
  </si>
  <si>
    <t>https://tabs.ultimate-guitar.com/tab/nirvana/lithium_tabs_25788</t>
  </si>
  <si>
    <t>https://tabs.ultimate-guitar.com/tab/oasis/cigarettes_and_alcohol_tabs_159141</t>
  </si>
  <si>
    <t>https://tabs.ultimate-guitar.com/tab/oasis/wonderwall_tabs_165916</t>
  </si>
  <si>
    <t>E|---------------------------------------------------------------------------|
B|---------------------------------------------------------------------------|
G|---------------------------------------------------------------3-3-3-3-2-2-|
D|---------------2-2---------------------------------2-2-------4-4-4-4-4-2-2-|
A|-2-2-4-2-2-2-4-2-2-4-2-2-------------2-2-4-2-2-2-4-2-2-4-2-2-4-4-4-4-4-0-0-|
E|-0-0-0-0-0-0-0-----0-0-0-3-2-0-------0-0-0-0-0-0-0-----0-0-0-2-2-2-2-2-----|</t>
  </si>
  <si>
    <t>e|-----------------------------------------------------------------------------|
B|-1---1---1---1----1---1---1--------1-1---1---1---1---1--1---1----------------|
G|-0---0---0---0----2---2---2------0---0---0---0---0---2--0h2-0------0-------0-|
D|-2---2---2---2----3---3---3--2h3-----2---2---2---2---3---------0h2---0h2p0---|
A|---3---3---3---3----3---3--------------3---3---3---3-------------------------|
E|-----------------------------------------------------------------------------|</t>
  </si>
  <si>
    <t>https://tabs.ultimate-guitar.com/tab/oasis/dont_look_back_in_anger_tabs_142621</t>
  </si>
  <si>
    <t>e|---------0----------------------|
B|-----------0---------0------0---|
G|-------2-----2-------2------2---|     
D|-----4---------4-----2------1---|
A|---4-------------0---0---0--2---|
E|--------------------------------|</t>
  </si>
  <si>
    <t>https://tabs.ultimate-guitar.com/tab/oasis/supersonic_tabs_89069</t>
  </si>
  <si>
    <t>e|--------------------------------0--------------------|
B|------5-------2----5----2--2---------2--4----2-------|
G|-6---------6------------------------------------4----|
D|-----------------------------------------------------|
A|-4--4---4--4---------------0--0---0--0--2--2----2----|
E|--------------2--2---2--2----------------------------|</t>
  </si>
  <si>
    <t>https://tabs.ultimate-guitar.com/tab/ed_sheeran/shape_of_you_tabs_1928603</t>
  </si>
  <si>
    <t>e|--2----x-----2--x--------x-----------2----x-----2--x--------x--------------|
B|--3----x--3--3--x-----0--x--2--------3----x--2--3--x-----0--x--2-----------|
G|--0h2--x--2--2--x-----0--x--2---2h4--0h2--x--3--2--x-----0--x--2---2h4-----|
D|-------x--0--0--x-----0--x--2--2----------x--0--0--x-----0--x--2--2--------|
A|-------x-----0--x--------x--0-------------x-----0--x--------x--0-----------|
E|-------x--2--2--x--0--3--x----------------x--2--2--x--0--3--x--------------|</t>
  </si>
  <si>
    <t>https://tabs.ultimate-guitar.com/tab/ed_sheeran/thinking_out_loud_tabs_1517140</t>
  </si>
  <si>
    <t>https://tabs.ultimate-guitar.com/tab/ed_sheeran/dont_tabs_1670346</t>
  </si>
  <si>
    <t>https://tabs.ultimate-guitar.com/tab/linkin_park/points_of_authority_tabs_28068</t>
  </si>
  <si>
    <t>D#|-----7-------7-------7-------7-------7-------7-------7-------7------------|
A#|---8---8---8---8---8---8---8---8---8---8---8---8---8---8---8---8----------|
F#|-9-------9-------9-------9-------9-------9-------9-------9----------------|
C#|--------------------------------------------------------------------------|
G#|--------------------------------------------------------------------------|
C#|--------------------------------------------------------------------------|
D#|--------------------------------------------------------------------------|
A#|--------------------------------------------------------------------------|
F#|--------------------------------------------------------------------------|
C#|-2-2-0h3-3-0h2-2h3-0h2-2-0h3-3-2-2-0-0h3--2-2-0h3-3-0h2-2h3-0h2-2-0h3-----|
G#|-2-2-0h3-3-0h2-2h3-0h2-2-0h3-3-2-2-0-0h3--2-2-0h3-3-0h2-2h3-0h2-2-0h3-----|
C#|-2-2-0h3-3-0h2-2h3-0h2-2-0h3-3-2-2-0-0h3--2-2-0h3-3-0h2-2h3-0h2-2-0h3-----|</t>
  </si>
  <si>
    <t>C#|-----------------------------------------------------------------|
G#|-----------------------------------------------------------------|
E |-----------------------------------------------------------------|
B |-0-0-0-7-3-3-5-5-5-8-7-------------------------------------------|
F#|-0-0-0-7-3-3-5-5-5-8-7-------------------------------------------|
B |-0-0-0-7-3-3-5-5-5-8-7-------------------------------------------|</t>
  </si>
  <si>
    <t>https://www.songsterr.com/a/wsa/linkin-park-dont-stay-tab-s11964t0</t>
  </si>
  <si>
    <t>BF#BEG#C#</t>
  </si>
  <si>
    <t>C#|---------------------------|
G#|---------------------------|
E |---------------------------|
B |-xxxx-2-4-3-2-5-4-3-2-8----|
F#|-xxxx-2-4-3-2-5-4-3-2-8----|
B |-xxxx-2-4-3-2-5-4-3-2-8----|</t>
  </si>
  <si>
    <t>https://tabs.ultimate-guitar.com/tab/linkin_park/lying_from_you_tabs_110172</t>
  </si>
  <si>
    <t>https://tabs.ultimate-guitar.com/tab/linkin_park/what_ive_done_tabs_531286</t>
  </si>
  <si>
    <t>https://tabs.ultimate-guitar.com/tab/linkin_park/new_divide_tabs_828006</t>
  </si>
  <si>
    <t>e|-------------------------------------------------------------------------|
B|-------------------------------------------------------------------------|
G|-------------------------------------------------------------------------|
D|--6---------------10---------------13-----------------10-----------------|
A|-----8----------------8----------------13-----------------8--------------|
D|-------------------------------------------------------------------------|
e|-------------------------------------------------------------------------|
B|-------------------------------------------------------------------------|
G|-----10---play this----------8--then this----------12--then this---------|
D|------x---16 times-----------x---8 times------------x---8 times----------|
A|------8----------------------6---------------------10--------------------|
D|-------------------------------------------------------------------------|</t>
  </si>
  <si>
    <t>e|---10---10-11p10---10-|
B|-8----8----------8----|
G|----------------------|
D|----------------------|
A|----------------------|
D|----------------------|
e|-xx----------------------------------------------------------------------|
B|-xx----------------------------------------------------------------------|
G|-xx-3-3-3-3-3-3--2-2--3-3-3-3-3-3--5-5-2-2-2-2-2-2-2-2--0-0-0-0-0-0--2-2-|
D|-xx-5-5-5-5-5-5--5-5--5-5-5-5-5-5--5-5-3-3-3-3-3-3-3-3--1-1-1-1-1-1--3-3-|
A|-xx----------------------------------------------------------------------|
D|-xx----------------------------------------------------------------------|</t>
  </si>
  <si>
    <t>D|-----------------------------------------------|
A|-----------------------------------------------|
F|-----------------------------------------------|x2
C|------------------------8---8-----7-----7-7-7--|
G|---0------------0-------8---8-----7-----7-7-7--|
C|---0----3-2-0-2-0-------8---8-----7-----7-7-7--| 
D|-------------------------------------------------|
A|-------------------------------------------------|
F|-------------------------------------------------|
C|-------------------------------------------------|
G|-------------------------------------------------|
C|-3-2-0-2-0-0-3-2-0-2-0-0-3-2-0-2-0-0-3-2-0-2-0-0-|
D|-----------------------------------------------|
A|-----------------------------------------------|
F|-----------------------------------------------|
C|---8---8-8-8---7---7-7-7-----------------------|
G|---8---8-8-8---7---7-7-7-----------------------|
C|---8---8-8-8---7---7-7-7-----------------------|</t>
  </si>
  <si>
    <t>https://tabs.ultimate-guitar.com/tab/system_of_a_down/toxicity_tabs_2919</t>
  </si>
  <si>
    <t>Db|-------------------------|-----------------------|
Ab|-------------------------|-----------------------|
Db|-------------------------|-----------------------|
Gb|-------------------------|-----5--5--------3p2-0-|
Bb|-3-2-0--0--0-2-3-5-3-2-0-|-2-0-3--3--0-3-5-------|
Db|-3-2-0--0--0-2-3-5-3-2-0-|-2-0-------------------|
Db|-------------------------|-----------------------------------------------|
Ab|-------------------------|-----------------------------------------------|
Db|-------------------------|-----------------------------------------------|
Gb|-------------------------|-----------------------------------------------|
Bb|-3-2-0--0--0-5-7-8-7-5-3-|-5-3-2--3-(3)b4.5-(3)-(3)b4.5-(3)-(3)b4.5-(3)--|
Db|-3-2-0--0--0-5-7-8-7-5-3-|-5-3-2-----------------------------------------|
Db|----------------------|----------------------|
Ab|----------------------|----------------------|
Db|----------------------|----------------------|
Gb|----------------------|-5-5-5---5---5-5--5-5-|
Bb|-0-0-0---0---0-0--0-0-|-3-3-3---3---3-3--3-3-|
Db|-0-0-0---0---0-0--0-0-|----------------------|
Db|-----------------------------|-----------------------------------------------|
Ab|-----------------------------|-----------------------------------------------|
Db|-----------------------------|-----------------------------------------------|
Gb|-----------------------------|-----------------------------------------------|
Bb|-0-0-0---0-(0)-0-5-7-8-7-5-3-|-5-3-2--3-(3)b4.5-(3)-(3)b4.5-(3)-(3)b4.5-(3)--|
Db|-0-0-0---0-(0)-0-5-7-8-7-5-3-|-5-3-2-----------------------------------------|</t>
  </si>
  <si>
    <t>https://tabs.ultimate-guitar.com/tab/system_of_a_down/byob_tabs_181733</t>
  </si>
  <si>
    <t>e|-----1-----5------------------1-----6-------|
B|---3---------6--------------3---------6-----|
G|-2-----2/------7----------3-----3/------7---|
D|-----------------0------------------------0-|  
A|--------------------------------------------|     
E|--------------------------------------------|     
                                                x2
e|-----1-----7------------------5-----8-------|   
B|---3---------6--------------3---------8-----|  
G|-4-----4/------7----------5-----5/------9---|  
D|-----------------0------------------------0-|
A|--------------------------------------------|
E|--------------------------------------------|
e|-----------------|
B|-6-5-3-----------|
G|-------5-3-2-----|
D|-------------5-3-|
A|-----------------|
E|-----------------|
B|-----------------------------------|
G|-2-----/7~--------3-----/7~--------|
D|---0-0--------0-0---0-0--------0-0-|
A|-----------------------------------|
E|-----------------------------------|
e|-----------------------------------|
B|-----------------------------------|
G|-4-----/7~--------5-----/7~--------|
D|---0-0--------0-0---0-0--------0-0-|
A|-----------------------------------|
E|-----------------------------------|</t>
  </si>
  <si>
    <t>https://tabs.ultimate-guitar.com/tab/megadeth/hangar_18_tabs_328259</t>
  </si>
  <si>
    <t>Bass intro arranged for guitar:
e|----------------------------------------|
B|----------------------------------------|
G|----------------------------------------|
D|--------5--------7-8---------5----------|
A|-7--5-7------7-5------7--5-7------7-----|
E|-----------0--------------------0---5-6-|
Riff 1
e|-------------------------------------|
B|-------------------------------------|
G|-------------------------------------|
D|-------------------------------------|
A|----------------6-----------------5--|
E|-0-0-0-0-0-0-0--4--0-0-0-0-0-0-0--3--|
e|-------------------------------------|
B|-------------------------------------|
G|-------------------------------------|
D|-------------------------------------|
A|----------------6---------------8--7-|
E|-0-0-0-0-0-0-0--4--0-0-0-0-0-0--6--5-|
Riff 2
e|----------------------------------------|
B|----------------------------------------|
G|----------7--------------------7--------|
D|-9-9-7-9--5--7-9-9----9-9-7-9--5--------|
A|-7-7-5-7-----5-7-7----7-7-5-7-----4-5-5-|
E|----------------------------------2-3-3-|
e|-----------------------------|
B|-----------------------------|
G|-----------------------------|
D|----------7--------------5---|
A|-5-5-4-5--5--4-5---5-4-3-3---|
E|-3-3-2-3-----2-3---3-2-1-----|</t>
  </si>
  <si>
    <t>https://tabs.ultimate-guitar.com/tab/megadeth/peace_sells_tabs_521851</t>
  </si>
  <si>
    <t>e|----------------------------------|
B|----------------------------------|
G|----------------------------------|
D|--------------------------5-----7-|
A|---7-6---5-----5----7-6-----6-7---|
E|-0-----7---6-7----0-----7---------|
e|----------------------------------|
B|--------------------------8-8-8-8-|
G|--------------------------7-7-7-7-|
D|--------------------------5-5-5-5-|
A|---7-6---5-----5----7-6-----------|
E|-0-----7---6-7----0-----7---------|
e|----------------------------------|
B|----------------------------------|
G|----------------------------------|
D|--------------------------5-----7-|
A|---7-6---5-----5----7-6-----6-7---|
E|-0-----7---6-7----0-----7---------|
e|----------------------------------|
B|----------------------------------|
G|--------------------------9p7-9p7-|
D|--------------------------9p7-9p7-|
A|---7-6---5-----5----7-6---7---7---|
E|-0-----7---6-7----0-----7---------|</t>
  </si>
  <si>
    <t>https://tabs.ultimate-guitar.com/tab/megadeth/mastermind_tabs_163606</t>
  </si>
  <si>
    <t>E|-----------------------------------------------------------|
B|-----------------------------------------------------------|
G|-----------------------------------------------------------|
D|--0--6-0-6-0-----0--6-0-6-0-----0--3-0---------------------|
A|--0--6-0-6-0-----0--6-0-6-0-----0--3-0---------Repeat 4x---|
D|--0--6-0-6-0-----0--6-0-6-0-----0--3-0---------------------|</t>
  </si>
  <si>
    <t>e|------------------------------------------------------------------|
B|------------------------------------------------------------------|
G|--9-9-9-9-9-9-9-9-9-9-9-9-9-9-9-9-9-9-9-9-9-9-9-9-9-9-9-9-9-9-9-9-|
D|-7-7-7-7-7-7-7-7-7-7-7-7-7-7-7-7-6-6-6-6-6-6-6-6-0-0-0-0-0-0-0-0--|
A|------------------------------------------------------------------|
E|------------------------------------------------------------------|</t>
  </si>
  <si>
    <t>https://tabs.ultimate-guitar.com/tab/snow_patrol/chasing_cars_tabs_349718</t>
  </si>
  <si>
    <t>https://tabs.ultimate-guitar.com/tab/marilyn_manson/beautiful_people_tabs_35085</t>
  </si>
  <si>
    <t>E|---------------------------------------------------------------------------------|
B|---------------------------------------------------------------------------------|
G|---------------------------------------------------------------------------------|
D|---------------------------------------------------------------------------------|
A|-0----0--0--0-------------0--0--0--------------0---0---0-0---0-------------------|
D|-0----0--0--0--3/8--7~----0--0--0--3/7--7~-----0---0---0-0---0-3h5p3-2h3p2-2h3p2-|
E|-------------------------------------------------------------------------|
B|-------------------------------------------------------------------------|
G|-------------------------------------------------------------------------|
D|-------------------------------------------------------------------------|
A|-0----0--0--0-------------0--0--0--------------0---0---0-0-3----2---/7---|
D|-0----0--0--0--3/8--7~----0--0--0--3/7--7~-----0---0---0-0-3----2---/7---|</t>
  </si>
  <si>
    <t>https://tabs.ultimate-guitar.com/tab/avenged_sevenfold/welcome_to_the_family_tabs_1020097</t>
  </si>
  <si>
    <t>e|--------------------------------------------------------------------13-13-16-16--17--|
B|----------------------------------------------------13-13-15-15----------------------|
G|--------------------------------------------13-13------------------------------------|
D|--0-0---0-0---------------12-12-15-15------------------------------------------------|
A|--0-0---0-0--------12-12-------------------------------------------------------------|
E|--0-0---0-0--------------------------------------------------------------------------|
e|--------------------------------------------------------------------------------------------|
B|--------------------------------------------------------------------------------------------|
G|--------------------------------------------------------------------------------------------|
D|--0-0---0-0------------------------15-15-15-15-12-12-12-12----------------------------------|
A|--0-0---0-0-------12-12-12-12------------------------------12-12-12-12------------11-11-11--|
E|--0-0---0-0---------------------------------------------------------------------------------|
e|--------------------------------------------------------------------13-13-16-16--20b(21)--|
B|----------------------------------------------------13-13-15-15---------------------------|
G|--------------------------------------------13-13-----------------------------------------|
D|--0-0---0-0---------------12-12-15-15-----------------------------------------------------|
A|--0-0---0-0--------12-12------------------------------------------------------------------|
E|--0-0---0-0-------------------------------------------------------------------------------|
e|------------------------------------------------------------------------------------------|
B|---------------------(gradually bend the 14 up to 15 over the course of  picking 14)------|
G|--------------------14-14-14-14-14-14-14-14-14-14-14-14-14-14-14b(15)---------------------|
D|--0-0---0-0-------------------------------------------------------------------------------|
A|--0-0---0-0-------------------------------------------------------------------------------|
E|--0-0---0-0-------------------------------------------------------------------------------|</t>
  </si>
  <si>
    <t>https://tabs.ultimate-guitar.com/tab/avenged_sevenfold/scream_tabs_593207</t>
  </si>
  <si>
    <t>https://tabs.ultimate-guitar.com/tab/avenged_sevenfold/almost_easy_tabs_580086</t>
  </si>
  <si>
    <t>e|----------------------------------------------------------|
B|----------------------------------------------------------|
G|------4--7--4------------x--x--x-------x--x--x-------x----|
D|---7--5--7--5--7--4------4--4--x-------4--4--x-------4----|
A|---7-----------7--5------5--5--x-------5--5--x-------5----|
D|---------------------7---5--5--x---2/--5--5--x---2/--5----|
e|----------------------------------------------------------|
B|----------------------------------------------------------|
G|------4--7--4------------x--x--x-------x--x--x-------x----|
D|---7--5--7--5--7--4------4--4--x-------4--4--x-------4----|
A|---7-----------7--5------5--5--x-------5--5--x-------5----|
D|---------------------7---0--0--x---2/--0--0--x---2/--0----|</t>
  </si>
  <si>
    <t>https://tabs.ultimate-guitar.com/tab/john_mayer/city_love_tabs_42723</t>
  </si>
  <si>
    <t>e|------------------------------------------|
B|----8-8-10b-10b~-----8--------8-----------|
G|-/9--------------------7h9p7---9----------|
D|-----------------------7--------7---7s9---|
A|------------------------------------------|
E|------------------------------------------|
e|---------------------------------------------|
B|----8-8-10b-10b-10~--------------------------|
G|-/9------------------------------------------|
D|-----------------------------5-5-7-7/9-9-7~--|
A|------------------------5s7------------------|
E|---------------------------------------------|
e|-----------------------------------------|
B|----8-8-10b-10b~-----8--------8----------|
G|-/9--------------------7h9p7---9---------|
D|-----------------------7--------7---7s9--|
A|-----------------------------------------|
E|-----------------------------------------|
e|---------10------------------------------|
B|----8-8----10bd-8-8~------10-------------|
G|-/9----------------------9------9~-------|
D|-----------------------------------------|
A|-----------------------------------------|
E|-----------------------------------------|</t>
  </si>
  <si>
    <t>https://tabs.ultimate-guitar.com/tab/john_mayer/gravity_tabs_262224</t>
  </si>
  <si>
    <t>e|-----------0----------------------------------------|
B|--------------3p0---------3p0------2p0--------------|
G|-----0h1------------0-----4p0------2p0---0h1p0h1----|
D|----------------------------------------------------|
A|----------------------------------------------------|
E|--0---------------------3-------3-------------------|
e|----------0-----------------------------0-----------|
B|-------------3p0----------3----------------0--------|
G|-----0h1------------0-----4-------11b---------------|
D|----------------------------------12b---------------|
A|----------------------------------------------------|
E|--0--------------------3----------------------------|</t>
  </si>
  <si>
    <t>https://tabs.ultimate-guitar.com/tab/john_mayer/i_dont_need_no_doctor_tabs_714357</t>
  </si>
  <si>
    <t>e|--------------------------------------------------------|
B|---8-------------4--------------4-----------9-------8---|
G|-----10--------3--------------3---3--------8-------7----|
D|-------------3------5-6-----6-------------8------10-----|
A|--------------------------------------------------------|
C|-0---------3---------------5------------8------10-------|</t>
  </si>
  <si>
    <t>https://tabs.ultimate-guitar.com/tab/john_mayer/neon_tabs_48164</t>
  </si>
  <si>
    <t>Drop C</t>
  </si>
  <si>
    <t>Drop C (CADGBE)</t>
  </si>
  <si>
    <t>e|----------------------------------------------------|
B|----------------------------------------------------|
G|----5h6-xx-----xx------------5h6-xx-----xx----------|
D|----6h7-xx-5h7-xx------------6h7-xx-5h7-xx----------|
A|--------xx-----xx----5-----------xx-----xx-----5----|
E|--5-----xx-----xx-8b---8b--5-----xx-----xx-8--------|</t>
  </si>
  <si>
    <t>https://tabs.ultimate-guitar.com/tab/john_mayer/who_did_you_think_i_was_tabs_790844</t>
  </si>
  <si>
    <t>e|-------------x-------------------------------------x------------------------|
B|-------------x--------------5---5--5---------------x--------------5--5--5---|
G|-------9-----x--9--8--6--4--4h6-4--4----------9----x--9--8--6--4--4-----4---|
D|-------------x-11--9--6--4---------4h6---9/11------x-11--9--6--4-----7--4h6-|
A|--9/11-------x-------------------------------------x------------------------|
E|---------(9)-x-------------(5)-(5)(0)-----------(9)x-------------(5)(5)(0)--|
e|-----x-----------------------------------------------------------x----------|
B|-----x------------5---5--5---------------------------5--5--5-----x----------|
G|--9--x-------9/1--4h6-4--4-------------9--------9/1--4-----4-----x----------|
D|-11--x------11/2---------4h6--6/11----11-------11/2-----7--4h6---x----------|
A|-----x-9/11-------------------------------9/11-------------------x----------|
E|-(9)-x-----------(5)-(5)(0)--------(9)--------------(5)(5)(0)----x----------|</t>
  </si>
  <si>
    <t>https://tabs.ultimate-guitar.com/tab/john_mayer/slow_dancing_in_a_burning_room_tabs_449994</t>
  </si>
  <si>
    <t>e|-------------------------------------------------------------------------|
b|---------------5^-4--------------------5^------2---------------5^-4------|
G|-3------------------6-3^-------------------------3------------------6-3^-|
D|-3-----------------------3-----------------------1-----------------------|
A|-1-----------------------3-----------------------1-----------------------|
E|-------------------------1-----------------------------------------------|
e|---------------4----------|
b|-----------------4^-------|
G|--------------------------|
D|-3------------------------|
A|-3------------------------|
E|-1------------------------|</t>
  </si>
  <si>
    <t>https://tabs.ultimate-guitar.com/tab/the_white_stripes/hello_operator_tabs_281652</t>
  </si>
  <si>
    <t>https://tabs.ultimate-guitar.com/tab/the_white_stripes/ball_and_biscuit_tabs_403172</t>
  </si>
  <si>
    <t>e|------------------------------------------------------------------------------------|
B|------------------------------------------------------------------------------------|
G|------------3--------------------3---5---7---10--12--------------3-----------3------|
D|-5----3--5--3---3-----5----3--5--3---5---7---10--12-5(/)---3--5--3---3---3-5-3-5----|
A|-5----3--5--1---3-----5----3--5--1---3---5---8---10-5(/)---3--5--1---3---3-5-1-5----|
E|-3----1--3------1-----3----1--3---------------------3(/)---1--3------1---1-3---3----|
e|--------------------------------|
B|--------------------------------|
G|-------3---5--7---10---7-10-12--|
D|-3--5--3---5--7---10---7-10-12--|
A|-3--5--1---3--5---8----5-8--10--|
E|-1--3---------------------------|</t>
  </si>
  <si>
    <t>https://tabs.ultimate-guitar.com/tab/the_white_stripes/blue_orchid_tabs_178937</t>
  </si>
  <si>
    <t>e|---3-----3--3---3---1-----1--1---1---1--1--1--1--1--1--0-----0--0---1---1--|
B|---3-----3--3---3---3-----3--3---3---3--3--3--3--3--3--3-----3--3---3---3--|
G|---2-----2--2---2---2-----2--2---2---2--2--2--2--2--2--2-----2--2---2---2--|
D|---0-----0--0---0---0-----0--0---0---0--0--0--0--0--0--0-----0--0---0---0--|
A|---------------------------------------------------------------------------|
E|---------------------------------------------------------------------------|
e|---3---3---1--1--1--1--1--1-----1----1----1----1----------------------|
B|---3---3---3--3--3--3--3--3-----3----3----3----3----------------------|
G|---0---0---2--2--2--2--2--2-----2----2----2----2----------------------|
D|---0---0---0--0--0--0--0--0-----0----0----0----0----------------------|
A|-----------------------------------------------------5--3-/-5---------|
E|----------------------------------------------------------------------|
e|---------------------------------------------------------------------------|
B|---------------------------------------------------------------------------|
G|---0-h-2----2---2-h-3-p-2-h-3-/-7--3-h-2---3-p-2-------0-------------------|
D|----------------------------------------------------2----------------------|
A|---------------------------------------------------------------------------|
E|---------------------------------------------------------------------------| x3
e|-----------------------------------------------------------------------|
B|-----------------------------------------------------------------------|
G|---2---2------2------2---2------2---2---5---5---2---2------------------|
D|-----------------------------------------------------------------------|
A|-----------------------------------------------------------------------|
E|-----------------------------------------------------------------------|</t>
  </si>
  <si>
    <t>https://tabs.ultimate-guitar.com/tab/pearl_jam/once_tabs_166177</t>
  </si>
  <si>
    <t xml:space="preserve">
E|--------------------------------------------|
B|--------------------------------------------|
G|--7:-----7-----7--7--6-----7--7--7--6-------|
D|--8:-----7-----7--7--6-----7--7--7--6-------|
A|---------5-----5--5--4-----5--5--5--4-------|
D|--------------------------------------------|</t>
  </si>
  <si>
    <t>https://tabs.ultimate-guitar.com/tab/pearl_jam/go_tabs_79344</t>
  </si>
  <si>
    <t>D|-0-0--0--0------0---0---0-0-0--0----|-0--0----0--0-0-0-0--------------------|
B|-0-0--0--0------0---0---0-0-0--0----|-0--0----0--0-0-0-0--------------------|
G|-0-0--0--0---/--0---0---0-0-0--0----|-0--0--/-0--0-0-0-0--------------------|
D|-0-0--0--7------9---7---9-9-9--9----|-0--7----9--7-7-7-7--------------------|
G|-0-0--0--5------7---5---7-7-7--7----|-0--5----7--5-5-5-5--------------------|
G|-0-0--0--0------0---0---0-0-0--0----|-0--0----0--0-0-0-0--------------------|
D|-0-0----0--0-0-0-0-0-0-0-0-0-0-0----0-----------------------|
B|-0-0----0--0-0-0-0-0-0-0-0-0-0-0----0-----------------------|
G|-0-0-/--0--0-0-0-0-0-0-0-0-0-0-0--/-0-----------------------|
D|-0-7----9--7-7-7-7-7-7-7-7-7-7-7----9-----------------------|
G|-0-5----7--5-5-5-5-5-5-5-5-5-5-5----7-----------------------|
G|-0-0----0--0-0-0-0-0-0-0-0-0-0-0----0-----------------------|</t>
  </si>
  <si>
    <t>https://tabs.ultimate-guitar.com/tab/pearl_jam/daughter_tabs_129419</t>
  </si>
  <si>
    <t>GGDGBD</t>
  </si>
  <si>
    <t>e|----------------------------------------------------------------------------------------|
B|----------------------------------------------------------------------------------------|
G|----------------------------------------------------------------------------------------|
D|----------------------------------------------------------------------------------------|
A|---------5---5-7-----------5----5-7-----------5---5-7------------5---5-7----------------|
E|-----5-5---5-----0-0----5-5---5----0-0----5-5---5-----0-0----5-5---5-----0-0------------|</t>
  </si>
  <si>
    <t>https://tabs.ultimate-guitar.com/tab/pearl_jam/rearviewmirror_tabs_356614</t>
  </si>
  <si>
    <t>e|---------------------------------0---0-0------|
B|-----3-0-------3-0-------5-0-------0-------5--|
G|-----2--2------2--2/4----4--4---4--------4----|
D|----------------------------------------------|
A|----------------------------------------------|
E|---2-------0h2---------4------4---------------|</t>
  </si>
  <si>
    <t>https://tabs.ultimate-guitar.com/tab/pearl_jam/better_man_tabs_160724</t>
  </si>
  <si>
    <t>Let It Die</t>
  </si>
  <si>
    <t>High and Dry</t>
  </si>
  <si>
    <t>Just</t>
  </si>
  <si>
    <t>The Kids Aren't Alright</t>
  </si>
  <si>
    <t>Come Out And Play (Keep 'Em Separated)</t>
  </si>
  <si>
    <t>7iNbnineUCI</t>
  </si>
  <si>
    <t>1jOk8dk-qaU</t>
  </si>
  <si>
    <t>7qFfFVSerQo</t>
  </si>
  <si>
    <t>oIFLtNYI3Ls</t>
  </si>
  <si>
    <t>63NiS3uZaTA</t>
  </si>
  <si>
    <t>h2eKImKZviw</t>
  </si>
  <si>
    <t>Pressure</t>
  </si>
  <si>
    <t>Set 1</t>
  </si>
  <si>
    <t>Set 2</t>
  </si>
  <si>
    <t>Spread additions</t>
  </si>
  <si>
    <t>e|--------------------------------------------------------------------|
B|--------3-------------------------------------------------------3---|
G|-4--3---4------------------------------------------------4--3---4---|
D|-5--4---4------------------------------------------------5--4---4---|
A|-5--4---2------------------------------------------------5--4---2---| (x4)
E|-3--2----------------------------------------------------3--2-------|
e|--------------------------------|
B|--------------------------------|
G|--------------------------------|
D|--------------------------0-2-4-|
A|----------------------2-2-------|
E|----------3-3--2-2--2-----------|
Chorus
e|--------------------------------------------------------------------|
B|-8--8----8---8/10-----10--10----------------------------------------|
G|-9--9----9---9/11-----11--11----------------------------------------|
D|-9--9----9---9/11-----11--11---9---9---9-----9-9-x------------------|
A|-7--7----7---7/9------9---9----9---9---9-----9-9-x------------------|
E|-------------------------------7---7---7-----7-7-x------------------|</t>
  </si>
  <si>
    <t>https://tabs.ultimate-guitar.com/tab/arctic_monkeys/when_the_sun_goes_down_tabs_329694</t>
  </si>
  <si>
    <t>e |---------------------------------------------------------------------|
B |---------------------------------------------------------------------|
G |---------------------------------------------------------------------|
D |----------------------------------------------------------7----------|
A |-----5-----5-7-5-----5-----5-7-5-----5-----5-7-5----5-7-9---9-7-5----|
E |--7-----7---------7-----7---------7-----7---------7---------------7--|</t>
  </si>
  <si>
    <t>https://tabs.ultimate-guitar.com/tab/arctic_monkeys/fake_tales_of_san_francisco_tabs_267552</t>
  </si>
  <si>
    <t>e|-------|---------------------------------|----7----------------------|
B|-----8-|-------12------8--------12-----8-|----------8--8/10--8-----8-|
G|--9----|-9/14-------9-----9/14------9----|-7-----9--------------9----|
D|-------|---------------------------------|---------------------------|
A|-------|---------------------------------|---------------------------|
E|-------|---------------------------------|---------------------------|
e|----7------------7-------|--------------------------|
B|----------8------------8-|---------7--7/8--7------8-|
G|-------9------------9----|---7--9--------------9----|
D|-10----------10----------|-9------------------------|
A|-------------------------|--------------------------|
E|-------------------------|--------------------------|
e|---------------------------------|----7----------------------|
B|-------12------8--------12-----8-|----------8--8/10--8-----8-|
G|-9/14-------9-----9/14------9----|-7-----9--------------9----|
D|---------------------------------|---------------------------|
A|---------------------------------|---------------------------|
E|---------------------------------|---------------------------|
e|-------------------------------|--------------------------|
B|-------8--10--10/12--10--8-----|---------7--7/8--7------7-|
G|----9-----------------------9--|---7--9--------------9----|
D|-10----------------------------|-9------------------------|
A|-------------------------------|--------------------------|
E|-------------------------------|--------------------------|</t>
  </si>
  <si>
    <t>https://tabs.ultimate-guitar.com/tab/arctic_monkeys/knee_socks_tabs_1473317</t>
  </si>
  <si>
    <t>https://tabs.ultimate-guitar.com/tab/pantera/by_demons_be_driven_tabs_78929</t>
  </si>
  <si>
    <t>e|7---8--10---8--7----12--13--15--13--12----7---8--10---8--7---5~--2--3-5|
B|8--10--12--10--8----13--15--17--15--13----8--10--12--10--8---3~--------|
G|-----------------------------------------------------------------------|x2
D|-----------------------------------------------------------------------|
A|-----------------------------------------------------------------------|
E|-----------------------------------------------------------------------|</t>
  </si>
  <si>
    <t>https://tabs.ultimate-guitar.com/tab/van_morrison/brown_eyed_girl_tabs_179799</t>
  </si>
  <si>
    <t>e|-----------------|-------------------|--------------------|
B|-----------------|-2----3------2-2-2-|-2----3------2-2-2--|
G|-----------2-2-2-|-2----2------2-2-2-|-2----2------2-2-2--|
D|---------x-2-2-2-|-2----4------2-2-2-|-2----4------2-2-2--|
A|---------x-0-0-0-|-0----0------0-0-0-|-0----0------0-0-0--|
E|-----------------|-------------------|--------------------|</t>
  </si>
  <si>
    <t>https://tabs.ultimate-guitar.com/tab/queen/hammer_to_fall_tabs_272168</t>
  </si>
  <si>
    <t>E|-------------------------------------|
B|-------------------------------------|
G|----------5~-----2-x-2--x-x-x-2-x-2--|
D|----------5~-----2-x-2—-x-x-x-2-x-2--|
A|--(7)-----3~-----0-x-0--x-x-x-0-x-0--|
E|-------------------3----x-x-x---3----|
E|----------------------------------------------------|
B|--14h15-15--15p14-----14-14h15-15-15-15p14-15p14----|
G|--14----14--14--------14-14----14-14-14----14-------|
D|--14h16-16--16p14-----14-14h16-16-16-16p14-16p14----|
A|----------------------------------------------------|
E|----------------------------------------------------|
E|-----17p15----14--------------------------------------|
B|--14--------------17---15p14----15~------15p14--------|
G|-----------14----------------14----------------16p14--|
D|------------------------------------------------------|
A|------------------------------------------------------|
E|------------------------------------------------------|
E|------------------------------------|
B|--17-17-14—17b19-17-14--------------|
G|-----------------------18r16-16-14--|
D|------------------------------------|
A|------------------------------------|
E|------------------------------------|
E|--------------------------------------------------------|
B|--14-15p14-15p14-14-14~~---14-15p14-15p14-14-14-----14--|
G|--14-14----14----14-14~~---14-14----14----14-14--14-14--| (x3)
D|--14-16p14-16p14-14-14~~---14-16p14-16p14-14-14--14-14--|
A|--0----------------------------------------------0------|
E|--------------------------------------------------------|</t>
  </si>
  <si>
    <t>https://tabs.ultimate-guitar.com/tab/queen/we_will_rock_you_tabs_136085</t>
  </si>
  <si>
    <t>e|---------------------------------------------------------------------------|
B|---------------------------------------------------------------------------|
G|---------------------------------------------------------------------------|
D|---------------------------------------------------------8-----------------|
A|--6-------3-5-6--6-------3----6-------3-5-6-8-------5----8-----------------|
E|----3-4-6----------3-4-6---6----3-4-6---------5-6-8---8--6-----------------|</t>
  </si>
  <si>
    <t>https://tabs.ultimate-guitar.com/tab/queen/bohemian_rhapsody_tabs_36759</t>
  </si>
  <si>
    <t>Eb|-----------------------------------------|
Bb|-----------------------------------------|
Gb|-7-7-9-9-b10=10=r9-9---9-9-9-b10===r9-9--|
Db|-----------------------------------------|
Ab|-----------------------------------------|
Eb|-----------------------------------------|
                                            |  4x
Eb|-----------------------------------------|
Bb|-----------------------------------------|
Gb|-----2-2-3---3---------------------------|
Db|-5-5-2-2-3---3-----2---2---2-2-----2--2--|
Ab|-5-5-0-0-1---1-----2---2---2-2-----2--2--|
Eb|-3-3------------0--0---0---0-0-----0--0--|</t>
  </si>
  <si>
    <t>https://tabs.ultimate-guitar.com/tab/alice_in_chains/lesson_learned_tabs_878788</t>
  </si>
  <si>
    <t>Eb|----------------------------------|
Bb|----------------------------------|
Gb|---6-----------7------------------|
Db|---6-----------7------------------|
Ab|-6---6-6-6-6-6---5-5-5-5-5-5-5-66-|
Eb|-4---4-4-4-4-4---3-3-3-3-3-3-3-44-|</t>
  </si>
  <si>
    <t>https://tabs.ultimate-guitar.com/tab/alice_in_chains/again_tabs_155297</t>
  </si>
  <si>
    <t>https://tabs.ultimate-guitar.com/tab/alice_in_chains/it_aint_like_that_tabs_159177</t>
  </si>
  <si>
    <t>Eb|-----------------------|-----------------------|
Bb|-----------------------|-----------------------|
Gb|-----------------------|-2---------------------|
Db|-4-4-----2-----2-------|-2-----------2---4-4---|
Ab|-4-4-3h4---3h4---------|-0-0-0-3h4-0---0---0---|
Eb|-2-2-------------5-2---|-----------------------|
Eb|-------------------------|---------------------|
Bb|-------------------------|-------4---2-----2---|
Gb|-4-----------------------|-4-4---4---2-----2---|
Db|-4---------2-----2-------|-4-4---4---2-3b4-2---|
Ab|-2-2-2-3h4---3h4-----2---|-2-2-2---2-----------|
Eb|-------------------5-----|---------------------|
Eb|-----------------------|-----------------------|
Bb|-----------------------|-----------------------|
Gb|-----------------------|-2---------------------|
Db|-4-4-----2-----2-------|-2-----------2---4-4---|
Ab|-4-4-3h4---3h4---------|-0-0-0-3h4-0---0---0---|
Eb|-2-2-------------5-2---|-----------------------|
Eb|-------------------------|---------------|
Bb|-------------------------|---------------|
Gb|-4-----------------------|-4-4--5--4-2---|
Db|-4---------2-----2-------|-4-4--5--4-2---|
Ab|-2-2-2-3h4---3h4-----2---|-2-2--3--2-0---|
Eb|-------------------5-----|---------------|]</t>
  </si>
  <si>
    <t>https://tabs.ultimate-guitar.com/tab/alice_in_chains/put_you_down_tabs_200296</t>
  </si>
  <si>
    <t>https://tabs.ultimate-guitar.com/tab/alice_in_chains/lab_monkey_tabs_1251352</t>
  </si>
  <si>
    <t>https://tabs.ultimate-guitar.com/tab/alice_in_chains/dirt_tabs_18721</t>
  </si>
  <si>
    <t>D#|---------------------------------------------------------|
A#|---------------------------------------------------------|
F#|---------2-------2--------------2------------------------|
C#|---5p2-----5p2------------5p2-----5p2--------------------|
G#|---0---0---0---0---5b-5b--0---0---0---0-3b-0-3b----------|
C#|---------------------------------------------------------|</t>
  </si>
  <si>
    <t>D#|-11/12-12-12--x-12--x-x-12--12--x-x-|
A#|-11/12-12-12--x-12--x-x-12--12--x-x-|
F#|-11/12-12-12--x-12--x-x-12--12--x-x-|
C#|------------------------------------|
G#|------------------------------------|
D#|------------------------------------|</t>
  </si>
  <si>
    <t>https://tabs.ultimate-guitar.com/tab/alice_in_chains/i_know_something_tabs_155299</t>
  </si>
  <si>
    <t>https://tabs.ultimate-guitar.com/tab/alice_in_chains/sunshine_tabs_18745</t>
  </si>
  <si>
    <t>D#|-------------------------------------------------------------|
A#|---------------------------------12-13-12-13-12-13-12-13-12--|
F#|---------------------------------12-12-12-12-12-12-12-12-12--|
C#|--7--7---------------------3-----12-14-12-14-12-14-12-14-12--|
G#|--7----7-----------3-2-0---3---------------------------------|
D#|--5------5---0-3-5-------3-1---------------------------------|</t>
  </si>
  <si>
    <t>https://tabs.ultimate-guitar.com/tab/kiss/black_diamond_tabs_10295</t>
  </si>
  <si>
    <t>https://tabs.ultimate-guitar.com/tab/kiss/strutter_tabs_276221</t>
  </si>
  <si>
    <t>https://tabs.ultimate-guitar.com/tab/kiss/firehouse_tabs_122923</t>
  </si>
  <si>
    <t>e|-----------------|-----------------|
B|-----------------|--------8---8----|
G|-----------------|--------7---7----|
D|-----------------|-------(6)--6----|
A|---------5-5-6-6-|-7-7----7---7----|
E|--6s7--7---------|-----0---------0-|</t>
  </si>
  <si>
    <t>https://tabs.ultimate-guitar.com/tab/stevie_ray_vaughan_double_trouble/testify_tabs_35400</t>
  </si>
  <si>
    <t>eb|---------------------------------------------------------------------------|
Bb|------------------------------------------------------------8--------------|
Gb|------------------------------------------------------------8--------------|
Db|------------------------------------------------------------8--------------|
Ab|/10--10--10--10--10--10--12--10--10--10--10--10--12--10--10----------------|
Eb|/-8---8--12---8--11---8---8---8--12---8--11---8---8---8--11----------------|(x2)</t>
  </si>
  <si>
    <t>https://tabs.ultimate-guitar.com/tab/stevie_ray_vaughan_double_trouble/the_house_is_rockin_tabs_464651</t>
  </si>
  <si>
    <t>e|------------------------|-----------------------------|
B|------------------------|-----------------------------|
G|------------------------|-------------------2-(2)-3---|
D|------5-5-----5-5-------|-----5-5-----5-5---1-(1)-2---|
A|------------------------|-------------------3-(3)-4---|
E|--3-3-----3-3-----------|-3-3-----3-3-------1-(1)-2---|</t>
  </si>
  <si>
    <t>https://tabs.ultimate-guitar.com/tab/led_zeppelin/the_wanton_song_tabs_689216</t>
  </si>
  <si>
    <t>e|---------------------------|-------------------------|------|
B|---------------------------|-------------------------|------|
G|---------------------------|-------------------2-----|------|
D|--------4-----------4------|-------4-----------2-0-0-|-2----|
A|---------------------------|---------------0-0-0-0-0-|-2----|
E|--2-2-2---2-0-2-2-2---2-0--|-2-2-2---2-0-2-------0-0-|-0----|</t>
  </si>
  <si>
    <t>https://tabs.ultimate-guitar.com/tab/led_zeppelin/immigrant_song_tabs_94985</t>
  </si>
  <si>
    <t>e|0---0---0---0--0|--2-----0-------|----0---0---0--0|--2-----0-------|
B|2---2---2---2---|----3-----2-0---|----2---2---2---|----3-----2-0---|
G|2---2---2---2---|2-----2-------1-|----2---2---2---|2-----2-------1-|
D|2---2---2---2---|----------------|2---2---2---2---|----------------|
A|0---------------|----------------|0---------------|----------------|
E|----------------|----------------|----------------|----------------|
e|----0---0---0--0|--2-----0-------|0---0---0---0---|--2-----0-------|
B|----2---2---2---|----3-----2-0---|10--5---2---5---|----3-----2-0---|
G|----2---2---2---|2-----2---------|----------------|2-----2-------1-|
D|2---2---2---2---|----------------|----------------|----------------|
A|0---------------|----------------|----------------|----------------|
E|----------------|----------------|----------------|----------------|</t>
  </si>
  <si>
    <t>https://tabs.ultimate-guitar.com/tab/buddy_holly/words_of_love_tabs_991362</t>
  </si>
  <si>
    <t>e|-----------------|-----------------|-----------------|-----------------|
B|-----7---7---6-7-|-----5---5---4-5-|-----4-2---4-2---|-4-2---4-2---4-2-|
G|---6---8-----6-8-|---4---6-----4-6-|---2-----2-----2-|-4-2---4-2---4-2-|
D|-6---------6-----|-4---------4-----|-2---------------|-----2-----2-----|
A|-----------------|-----------------|-----------------|-----------------|
E|-----------------|-----------------|-----------------|-----------------|</t>
  </si>
  <si>
    <t>https://tabs.ultimate-guitar.com/tab/the_rolling_stones/gimme_shelter_tabs_3973</t>
  </si>
  <si>
    <t>E|-------------------|
B|---5-7b-7b-5-------|
G|---5-7b-7b-5-------|
D|-7-----------7-7-5-|
A|-------------------|
E|-------------------|
E|--------------------|
B|------------------5-|
G|------------------5-|
D|-7-7-7-x-7-7-7-7-7--|
A|-7-7-7-x-7-7-7-7-7--|
E|-5-5-5-x-5-5-5-5-5--|
E|---------------------|
B|---------------------|
G|---------------------|
D|-7-7-7-x-7-7-7-7-7-5-|
A|-7-7-7-x-7-7-7-7-7-5-|
E|-5-5-5-x-5-5-5-5-5-5-|
E|--------------------|
B|------------------5-|
G|------------------5-|
D|-7-7-7-x-7-7-7-7-7--|
A|-7-7-7-x-7-7-7-7-7--|
E|-5-5-5-x-5-5-5-5-5--|
E|---------------------|
B|---5-7b-7b-5---------|
G|---5-7b-7b-5---------|
D|-7-----------7-7-5-7-|
A|-------------------7-|
E|-------------------5-|</t>
  </si>
  <si>
    <t>https://tabs.ultimate-guitar.com/tab/jet/are_you_gonna_be_my_girl_tabs_202618</t>
  </si>
  <si>
    <t>|-----------------|-----------------|-----------------|-----------------|
|-9-9-9-9-9-9-9-9-|-9-9-9-9-9-9-9-9-|-9-9-9-9-9-9-9-9-|-9-9-9-9-9-9-9-9-|
|-----------------|-----------------|-----------------|-----------------|
|-----------------|-----------------|-----------------|-----------------|
|-----------------|-----------------|-----------------|-----------------|
|-----------------|-----------------|-----------------|-----------------|
|-7-7---7---------|-7-7---7---------|-------------7---|-------------7---|
|---------9---7---|---------9---7---|-6-6---6-9-------|-6-6---6-9-------|
|-----------------|-----------------|-----------------|-----------------|
|-----------------|-----------------|-----------------|-----------------|</t>
  </si>
  <si>
    <t>https://tabs.ultimate-guitar.com/tab/the_strokes/reptilia_tabs_151364</t>
  </si>
  <si>
    <t>e|-----------------------------|----------------------------|
B|---8-------------------------|--8-------------------------|
G|-------9---9p7-----7---9-----|------9---9p7-----7---9-----|
D|---------------9-------------|--------------9-------------|
A|-----------------------------|----------------------------|
E|-----------------------------|----------------------------|
e|------------------------------|---------------------------------|
B|--8---------------------------|--7-7-7-7-7-7-7-7-7-7------------|
G|------9---9p7-----7---9-------|----------------------7-7-7-7----|
D|--------------9---------------|---------------------------------|
A|------------------------------|---------------------------------|
E|------------------------------|---------------------------------|</t>
  </si>
  <si>
    <t>https://tabs.ultimate-guitar.com/tab/franz_ferdinand/take_me_out_tabs_106082</t>
  </si>
  <si>
    <t>e|-----8-------------------5------|
B|-------6-------------------3----|
G|---------0---0---0---0-------0--|
D|--/8-----------7---5---5--------|
A|-----------8--------------------|
E|--------------------------------|</t>
  </si>
  <si>
    <t>https://tabs.ultimate-guitar.com/tab/radiohead/high_and_dry_chords_1067552</t>
  </si>
  <si>
    <t>https://tabs.ultimate-guitar.com/tab/foo_fighters/let_it_die_tabs_582463</t>
  </si>
  <si>
    <t>e|----------------------------|-------------------------------|
B|--5----5--5-5---8-8--8----7-|--7--7--7--7-7---10-10--10-----|
G|--5----5--5-5-x-8-8--8--x-7-|--7--7--7--7-7-x-10-10--10-----|
D|--5----5--5-5-x-8-8--8--x-7-|--7--7--7--7-7-x-10-10--10--0--|
A|--3----3--3-3-x-6-6--6--x-5-|--5--5--5--5-5-x-8--8---8---0--|
E|----------------------------|-------------------------------|
e|----------------------------|--------------------------7----|
B|----------------------------|--------------------------x----|
G|--5---------7---8-------10--|--11--------13---14-------4----|
D|--x---------x---x-------x---|--x---------x----x-------------|
A|--3---------5---6-------8---|--9---------11---12------------|
E|----------------------------|-------------------------------|</t>
  </si>
  <si>
    <t>https://tabs.ultimate-guitar.com/tab/radiohead/just_tabs_139010</t>
  </si>
  <si>
    <t>e|-----------------------------|
b|-----------------------------|
g|---4-----X---7---X-----------|
D|---4-----X---7---X---4---7---|
A|---2-----X---5---X---4---7---| (x4)
E|---------------------2---5---|
e|-----------------------------------|
b|-----------------------------------|
g|--11--11--11----14--14----9--9--9--|
D|--9---9---9-----12--12----7--7--7--|
A|-----------------------------------| (x4)
E|-----------------------------------|
e|------------------------------|
b|------------------------------|
g|------------------------------|
D|--------1--2--2/4/2--1--------|
A|--2--3------------------3--2--| (x4)
E|------------------------------|</t>
  </si>
  <si>
    <t>https://tabs.ultimate-guitar.com/tab/the_offspring/come_out_and_play_tabs_149379</t>
  </si>
  <si>
    <t>e|---------------------------------|-----------------------------------|
B|---------------------------------|-----------------------------------|
G|-----6---6-----5---5-5-5-5/6-----|-----6---6-----5---5-5-5-5/6-------|
D|-8-8-8-8-8-8-8-8-8-8-8-8-8---8-8-|-4-4-4-4-4-4-4-4-4-4-4-4-4---4-4---|
A|---------------------------------|-----------------------------------|
E|---------------------------------|-----------------------------------|
e|---------------------------------|-----------------------------------|
B|---------------------------------|-----------------------------------|
G|-----6---6-----5---5-5-5-5/6-----|-6/8-----6-----5---5-5-5-5/6-------|
D|-6-6-6-6-6-6-6-6-6-6-6-6-6---6-6-|-6---6-6-6-6-6-6-6-6-6-6-----6-6---| x2
A|---------------------------------|-----------------------------------|
E|---------------------------------|-----------------------------------|
e|-----------------------------------------------------------------|
B|-----------------------------------------------------------------|
G|-----------------------------------------------------------------|
D|-----------------------------------------------------------------|
A|-1--1--3--4--------3-4------3-4-6-4--3--4------------------------|
E|--------------2--2-----4--6--------------------------------------| x2</t>
  </si>
  <si>
    <t>https://tabs.ultimate-guitar.com/tab/the_offspring/the_kids_arent_alright_tabs_5908</t>
  </si>
  <si>
    <t>https://tabs.ultimate-guitar.com/tab/muse/pressure_tabs_2480106</t>
  </si>
  <si>
    <t>Note that most rhythm strums bass notes (A and D strings) then treble (G and B strings) 
a shuffle pattern.
E|-------------------------------|
B|-------3--3--3------3-3---3----|
G|-2-2-2-2--2--2--2-2-2-2---2----|
D|-3-0-0----------3-0-------0----|
A|------------------------3------|
E|-------------------------------|</t>
  </si>
  <si>
    <t>e|--3--3--3--3-3-3-3-3--3--3-3--3-3-3--3--3-3-3--3--3-3-3-3-3-3-3----|
B|--3--3--3--3-3-3-3-3--3--3-3--3-3-3--3--3-3-3--3--3-3-3-3-3-3-3----|
G|--0--0--0--0-0-0-0-0--0--0-0--0-2-2--2--2-0-0--0--0-0-0-0-0-0-0----|
D|--2--2--2--2-2-2-0-0--0--0-0--0-0-0--0--0-0-2--2--0-2-2-0-2-2-0----|
A|--2--2--2--2-2-2-2-2--2--2-2----------------0--0----0-0-0-0-0------|
E|--0--0--0--0-0-0-3-3--3--3-3---------------------------------------|</t>
  </si>
  <si>
    <t>E|--------X--------X--------X--------X-----------X--------X--------X--------X-----|
B|--------X--------X--------X--------X-----------X--------X--------X--------X-----|
G|--------X--------X--------X--------X-----------X--------X--------X--------X-----|
D|--------X--------X--------X--------X-----------X--------X--------X--------X-----|
A|--9--9--X--4--4--X--5--5--X--7--7--X--7--9--9--X--4--4--X--5--5--X--7--7--X--7--|
E|--------X--------X--------X--------X-----------X--------X--------X--------X-----|</t>
  </si>
  <si>
    <t>e|-0----------0------------------0------------------|
b|-0----------0------------------0------------------|
g|-4----------4-/-5-/-2----------2-/-4-/-5-/-5------|
D|--------------------------------------------------|
A|--------------------------------------------------|
E|--------------------------------------------------|</t>
  </si>
  <si>
    <t>D#|-----------------------------------------------------------------|
A#|-----------------------------------------------------------------|
F#|-----------------------------------------------------------------|
C#|-7/----------------7/6----6/3----6-7-----------------------------|
G#|-5/-00000000000000-5/4-00-4/1-00-4-5--00000--00-----00-----------|
C#|----00000000000000-----00-----00------00000--00-7bv-00-7b8d7v----|</t>
  </si>
  <si>
    <t>e|----0---0-----0---0------0---0-------0---0--------0---0-----0---0---------|
B|------3---------3----------3-----------3------------3---------3-----------|
G|---------------------------------------------0-------------------2b-4/2p0-|
D|---------------------x0---------xx----------x0----------------------------|
A|2--------------------x2---------xx----------xx-2---------2----------------|
E|0--------3-0---------x3-0-------xx-0--------x3-0-------3-0----------------|
e|----0---0--------0---0---------0---0-----0---0------------x-x---0---0-----|
B|------3---2b-0-----3-------------3---------3--------------x-x-----3-------|
G|-------------------------0h1-------------------2b-4/2p0---2-4-------------|
D|-----------------------x--------------------------------x-x-x---------x-x-|
A|-2---------------------x-----2---------2----------------x-----2-------x-x-|
E|-0-------------0-------x-----0-------3-0----------------x-----0-------x-x-|</t>
  </si>
  <si>
    <t>d#|---------------------------------------------------------------------------|
A#|------------------------------------------5--------------------------------|
F#|------------------------------------------7^-------------------------------|
C#|---------------------------------------------------------------------------|
G#|---------------2-----------------2-----------------------------------------|
D#|-0-0-0-0-0-0-0-0---0-0-0-0-0-0-0-0-----------------------------------------|
d#|---------------------------------------------------------------------------|
A#|---------------------------------------------------------------------------|
F#|---------------------------------------------------------------------------|
C#|---------------------------------------------------------------------------|
G#|---------------2-----------------2---3-/-5-/-3---5---3---------------------|
D#|-0-0-0-0-0-0-0-0---0-0-0-0-0-0-0-0---1-/-3-/-1---3---1---------------------|</t>
  </si>
  <si>
    <t>Eb|-0---------|
Bb|-0---------|
Gb|-1---------| x8
Db|-2---------|
Ab|-2---------|
Eb|-0---3/4/3-|
Eb|-----------------|
Bb|-----------------|
Gb|-----------------| x8
Db|-----------------|
Ab|-2-2-3-3-3-5-3-2-|
Eb|-0-0-1-1-1-3-1-0-|</t>
  </si>
  <si>
    <t>Eb|---------------------------------------------------------------------------------|
Bb|-----7----9-9br-----------------------------10-x-10--12/10-9----------7----------|
Gb|--/7----7--------------------------------------x---------------------------7-----|
Db|----------------10~-----9br-7-9p7------------7-x--7---9/-7-6------/7----7----6~--|
Ab|---------------------------------------------------------------------------------|
Eb|-----------------------------------10--------------------------------------------|</t>
  </si>
  <si>
    <t>D#|------------------------------------|---------------------------------------|
A#|------------2h3--2------------------|--------2h3----------------------------|
F#|-2h3p2-----------------2h3p2--------|2h3p2---------9-9/10-10/7-7------------|
C#|----------------------------------5-|---------------------------------------|
G#|-------0----------------------0-----|------0-------7-7/-8--8/5-5p0----------|
D#|------------------------------------|---------------------------------------|</t>
  </si>
  <si>
    <t>D#|---------------||---------------------|------------------------------|
A#|---------------||---------------------|------------------------------|
F#|---------------||---------------------|------------------------------|
C#|-----------4-4-||-4---6-4-6-4-x-12----|-(12)-12-14-12-12-12-12--7--7-|
G#|-----------2-2-||-2---2-2-2-2---10----|-(10)-10-10-10-10-10-10--5--5-|
D#|---------------||---------------------|------------------------------|
D#|----------------------|---------------------|----------------------|
A#|----------------------|---------------------|----------------------|
F#|----------------------|---------------------|----------------------|
C#|--7--7-9-7-9-7----2---|-(2)-2-4-2-4-4-x-4-4-|-4---6-4-6-4-x-12-----|
G#|--5--5-5-5-5-5-5/-0---|-(0)-0-0-0-0-0---2-2-|-2---2-2-2-2---10-----|
D#|----------------------|---------------------|----------------------|</t>
  </si>
  <si>
    <t>D#|--------------------------------------------------------------------------------------|
A#|----------------------------------7--8--7--8--7--8--7---------------------------------|
C#|-2----2----4----2----2----2--2----7--7--7--7--7--7--7----9----9--9--9--9--9-----------|
F#|-2----4----6----4----2----4--2----7--9--7--9--7--9--7----7----7--7--7--7--7-----------|
G#|-0----0----0----0----0----0--0---------------------------7----7--7--7--7--7--10--12/--|
D#|--------------------------------------------------------------------------------------|</t>
  </si>
  <si>
    <t>e|--4--4--4--4/2--2--2--2--2----4--4--4--4/0--0--0--0--0----0-|
B|--0--0--0--0/0--0--0--0--0----0--0--0--0/0--0--0--0--0----0-|
G|--6--6--6--6/4--4--4--4--4----6--6--6--6/2--2--2--2--2----1-|
D|--6--6--6--6/4--4--4--4--4----6--6--6--6/2--2--2--2--2----2-|
a|--x--x--x--x-x--X--X--X--X----x--x--x--x-0--0--0--0--0----2-|
E|--x--x--x--x-x--X--X--X--X----x--x--x--x-x--x--x--x--x----0-|
e|--4--4--4--4/2--2--2--2--2----4--4--4--4/0--0--0--0--0----0-|
B|--0--0--0--0/0--0--0--0--0----0--0--0--0/0--0--0--0--0----0-|
G|--6--6--6--6/4--4--4--4--4----6--6--6--6/2--2--2--2--2----1-|
D|--6--6--6--6/4--4--4--4--4----6--6--6--6/2--2--2--2--2----2-|
A|--x--x--x--x-x--X--X--X--X----x--x--x--x-0--0--0--0--0----2-|
E|--x--x--x--x-x--X--X--X--X----x--x--x--x-x--x--x--x--x----0-|</t>
  </si>
  <si>
    <t>e|-----------------------------|----------------------|
B|-----------------------------|----------------------|
G|--9---9/16--14-12-12--12/11--|--4/14-12-11-12--12/--|
D|-----------------------------|----------------------| (x2)
A|-----------------------------|----------------------|
E|-----------------------------|----------------------|</t>
  </si>
  <si>
    <t>Pack</t>
  </si>
  <si>
    <t xml:space="preserve">  This Is Really Bass Guitar But Here's How To Do It On Guitar
G|---------------------------------------------------------------------------------------------|
D|-------------/12-11-10-9-(9)/12------12-----------------/12-11-10-9-(9)/12------12-----------|
A|--------------------------------10-9---------------------------------------10-9--------------|
E|----------------------------------------10-9-(9)----------------------------------10-9-(9)---|
e|-----------------|-----------------|-----------------|-----------------|
B|-----------------|-----------------|-----------------|-----------------|
G|-----------------|-----------------|-----------------|-----------------| x2
D|-----------------|---------------2-|-----------------|---------------4-|
A|-2-5-4-3-2-5-4-3-|-2-5-4-3-2-4-5-0-|-2-5-4-3-2-5-4-3-|-2-5-4-3-2-4-5-2-|
E|-0-3-2-1-0-3-2-1-|-0-3-2-1-0-2-3---|-0-3-2-1-0-3-2-1-|-0-3-2-1-0-2-3---|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</si>
</sst>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sz val="10"/>
      <name val="Courier New"/>
      <family val="3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FC5E8"/>
        <bgColor rgb="FF9FC5E8"/>
      </patternFill>
    </fill>
    <fill>
      <patternFill patternType="solid">
        <fgColor rgb="FFF1C232"/>
        <bgColor rgb="FFF1C232"/>
      </patternFill>
    </fill>
    <fill>
      <patternFill patternType="solid">
        <fgColor rgb="FFB6D7A8"/>
        <bgColor rgb="FFB6D7A8"/>
      </patternFill>
    </fill>
    <fill>
      <patternFill patternType="solid">
        <fgColor rgb="FFE06666"/>
        <bgColor rgb="FFE06666"/>
      </patternFill>
    </fill>
    <fill>
      <patternFill patternType="solid">
        <fgColor rgb="FFF9CB9C"/>
        <bgColor rgb="FFF9CB9C"/>
      </patternFill>
    </fill>
    <fill>
      <patternFill patternType="solid">
        <fgColor rgb="FFFFD966"/>
        <bgColor rgb="FFFFD966"/>
      </patternFill>
    </fill>
    <fill>
      <patternFill patternType="solid">
        <fgColor rgb="FFD9D9D9"/>
        <bgColor rgb="FFD9D9D9"/>
      </patternFill>
    </fill>
    <fill>
      <patternFill patternType="solid">
        <fgColor rgb="FFCC4125"/>
        <bgColor rgb="FFCC4125"/>
      </patternFill>
    </fill>
    <fill>
      <patternFill patternType="solid">
        <fgColor rgb="FF6D9EEB"/>
        <bgColor rgb="FF6D9EEB"/>
      </patternFill>
    </fill>
    <fill>
      <patternFill patternType="solid">
        <fgColor rgb="FFFF9900"/>
        <bgColor rgb="FFFF9900"/>
      </patternFill>
    </fill>
    <fill>
      <patternFill patternType="solid">
        <fgColor rgb="FFFFF2CC"/>
        <bgColor rgb="FFFFF2CC"/>
      </patternFill>
    </fill>
    <fill>
      <patternFill patternType="solid">
        <fgColor rgb="FF8E7CC3"/>
        <bgColor rgb="FF8E7CC3"/>
      </patternFill>
    </fill>
    <fill>
      <patternFill patternType="solid">
        <fgColor rgb="FF6AA84F"/>
        <bgColor rgb="FF6AA84F"/>
      </patternFill>
    </fill>
    <fill>
      <patternFill patternType="solid">
        <fgColor rgb="FFB4A7D6"/>
        <bgColor rgb="FFB4A7D6"/>
      </patternFill>
    </fill>
    <fill>
      <patternFill patternType="solid">
        <fgColor rgb="FF6FA8DC"/>
        <bgColor rgb="FF6FA8DC"/>
      </patternFill>
    </fill>
    <fill>
      <patternFill patternType="solid">
        <fgColor rgb="FFF1D764"/>
        <bgColor indexed="64"/>
      </patternFill>
    </fill>
    <fill>
      <patternFill patternType="solid">
        <fgColor rgb="FFB2DB4B"/>
        <bgColor indexed="64"/>
      </patternFill>
    </fill>
    <fill>
      <patternFill patternType="solid">
        <fgColor rgb="FF66E586"/>
        <bgColor indexed="64"/>
      </patternFill>
    </fill>
    <fill>
      <patternFill patternType="solid">
        <fgColor rgb="FF22AAD6"/>
        <bgColor indexed="64"/>
      </patternFill>
    </fill>
    <fill>
      <patternFill patternType="solid">
        <fgColor rgb="FFFFDD21"/>
        <bgColor indexed="64"/>
      </patternFill>
    </fill>
    <fill>
      <patternFill patternType="solid">
        <fgColor rgb="FFB3F141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E8AD1D"/>
        <bgColor indexed="64"/>
      </patternFill>
    </fill>
    <fill>
      <patternFill patternType="solid">
        <fgColor rgb="FF8AF1AA"/>
        <bgColor indexed="64"/>
      </patternFill>
    </fill>
    <fill>
      <patternFill patternType="solid">
        <fgColor rgb="FFE1E129"/>
        <bgColor indexed="64"/>
      </patternFill>
    </fill>
    <fill>
      <patternFill patternType="solid">
        <fgColor rgb="FF45F0E2"/>
        <bgColor indexed="64"/>
      </patternFill>
    </fill>
    <fill>
      <patternFill patternType="solid">
        <fgColor rgb="FFFFDF66"/>
        <bgColor indexed="64"/>
      </patternFill>
    </fill>
    <fill>
      <patternFill patternType="solid">
        <fgColor rgb="FFF5943C"/>
        <bgColor indexed="64"/>
      </patternFill>
    </fill>
    <fill>
      <patternFill patternType="solid">
        <fgColor rgb="FFC2C2A1"/>
        <bgColor indexed="64"/>
      </patternFill>
    </fill>
    <fill>
      <patternFill patternType="solid">
        <fgColor rgb="FFF75269"/>
        <bgColor indexed="64"/>
      </patternFill>
    </fill>
    <fill>
      <patternFill patternType="solid">
        <fgColor rgb="FFFF4F53"/>
        <bgColor indexed="64"/>
      </patternFill>
    </fill>
    <fill>
      <patternFill patternType="solid">
        <fgColor rgb="FFC476D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1" xfId="0" applyFill="1" applyBorder="1"/>
    <xf numFmtId="0" fontId="6" fillId="21" borderId="1" xfId="0" applyFont="1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1" fillId="0" borderId="2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0" fontId="7" fillId="0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Continuous"/>
    </xf>
    <xf numFmtId="0" fontId="0" fillId="0" borderId="0" xfId="0" applyAlignment="1">
      <alignment horizontal="centerContinuous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Fill="1" applyBorder="1"/>
    <xf numFmtId="0" fontId="1" fillId="0" borderId="1" xfId="0" applyFont="1" applyBorder="1" applyAlignment="1"/>
    <xf numFmtId="0" fontId="1" fillId="4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3" fillId="0" borderId="1" xfId="1" applyFont="1" applyBorder="1"/>
    <xf numFmtId="0" fontId="3" fillId="0" borderId="1" xfId="1" applyFont="1" applyBorder="1" applyAlignment="1"/>
    <xf numFmtId="0" fontId="0" fillId="0" borderId="1" xfId="0" quotePrefix="1" applyFont="1" applyBorder="1"/>
    <xf numFmtId="0" fontId="0" fillId="5" borderId="1" xfId="0" applyFont="1" applyFill="1" applyBorder="1"/>
    <xf numFmtId="0" fontId="0" fillId="0" borderId="1" xfId="0" applyFont="1" applyBorder="1" applyAlignment="1"/>
    <xf numFmtId="0" fontId="0" fillId="0" borderId="1" xfId="0" quotePrefix="1" applyFont="1" applyBorder="1" applyAlignment="1"/>
    <xf numFmtId="0" fontId="3" fillId="0" borderId="1" xfId="1" quotePrefix="1" applyFont="1" applyBorder="1" applyAlignment="1"/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8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7" fillId="6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7" fillId="7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vertical="center"/>
    </xf>
    <xf numFmtId="0" fontId="7" fillId="9" borderId="1" xfId="0" applyFont="1" applyFill="1" applyBorder="1" applyAlignment="1">
      <alignment vertical="center"/>
    </xf>
    <xf numFmtId="0" fontId="8" fillId="0" borderId="1" xfId="0" applyFont="1" applyBorder="1" applyAlignment="1"/>
    <xf numFmtId="0" fontId="7" fillId="11" borderId="1" xfId="0" applyFont="1" applyFill="1" applyBorder="1" applyAlignment="1">
      <alignment vertical="center"/>
    </xf>
    <xf numFmtId="0" fontId="7" fillId="12" borderId="1" xfId="0" applyFont="1" applyFill="1" applyBorder="1" applyAlignment="1">
      <alignment vertical="center"/>
    </xf>
    <xf numFmtId="0" fontId="7" fillId="13" borderId="1" xfId="0" applyFont="1" applyFill="1" applyBorder="1" applyAlignment="1">
      <alignment vertical="center"/>
    </xf>
    <xf numFmtId="0" fontId="7" fillId="14" borderId="1" xfId="0" applyFont="1" applyFill="1" applyBorder="1" applyAlignment="1">
      <alignment vertical="center"/>
    </xf>
    <xf numFmtId="0" fontId="7" fillId="15" borderId="1" xfId="0" applyFont="1" applyFill="1" applyBorder="1" applyAlignment="1">
      <alignment vertical="center"/>
    </xf>
    <xf numFmtId="0" fontId="7" fillId="16" borderId="1" xfId="0" applyFont="1" applyFill="1" applyBorder="1" applyAlignment="1">
      <alignment vertical="center"/>
    </xf>
    <xf numFmtId="0" fontId="7" fillId="10" borderId="1" xfId="0" applyFont="1" applyFill="1" applyBorder="1" applyAlignment="1">
      <alignment vertical="center"/>
    </xf>
    <xf numFmtId="0" fontId="7" fillId="17" borderId="1" xfId="0" applyFont="1" applyFill="1" applyBorder="1" applyAlignment="1">
      <alignment vertical="center"/>
    </xf>
    <xf numFmtId="0" fontId="7" fillId="18" borderId="1" xfId="0" applyFont="1" applyFill="1" applyBorder="1" applyAlignment="1">
      <alignment vertical="center"/>
    </xf>
    <xf numFmtId="0" fontId="7" fillId="19" borderId="1" xfId="0" applyFont="1" applyFill="1" applyBorder="1" applyAlignment="1">
      <alignment vertical="center"/>
    </xf>
    <xf numFmtId="0" fontId="7" fillId="20" borderId="1" xfId="0" applyFont="1" applyFill="1" applyBorder="1" applyAlignment="1">
      <alignment vertical="center"/>
    </xf>
    <xf numFmtId="0" fontId="4" fillId="0" borderId="1" xfId="0" applyFont="1" applyBorder="1" applyAlignment="1">
      <alignment wrapText="1"/>
    </xf>
    <xf numFmtId="0" fontId="3" fillId="0" borderId="1" xfId="1" applyBorder="1"/>
    <xf numFmtId="0" fontId="4" fillId="0" borderId="1" xfId="0" applyFont="1" applyBorder="1" applyAlignment="1">
      <alignment vertical="top" wrapText="1"/>
    </xf>
    <xf numFmtId="0" fontId="5" fillId="0" borderId="1" xfId="1" applyFont="1" applyBorder="1" applyAlignment="1">
      <alignment vertical="top" wrapText="1"/>
    </xf>
    <xf numFmtId="0" fontId="4" fillId="0" borderId="1" xfId="0" applyFont="1" applyBorder="1" applyAlignment="1">
      <alignment horizontal="left" vertical="top" wrapText="1"/>
    </xf>
    <xf numFmtId="0" fontId="5" fillId="0" borderId="1" xfId="1" applyFont="1" applyBorder="1" applyAlignment="1">
      <alignment wrapText="1"/>
    </xf>
    <xf numFmtId="0" fontId="0" fillId="0" borderId="0" xfId="0" applyFont="1" applyFill="1" applyBorder="1" applyAlignment="1">
      <alignment horizontal="center"/>
    </xf>
    <xf numFmtId="0" fontId="4" fillId="0" borderId="1" xfId="0" applyFont="1" applyFill="1" applyBorder="1" applyAlignment="1">
      <alignment wrapText="1"/>
    </xf>
    <xf numFmtId="0" fontId="3" fillId="0" borderId="1" xfId="1" applyFill="1" applyBorder="1"/>
    <xf numFmtId="0" fontId="0" fillId="41" borderId="0" xfId="0" applyFill="1"/>
    <xf numFmtId="0" fontId="3" fillId="0" borderId="0" xfId="1"/>
    <xf numFmtId="0" fontId="3" fillId="40" borderId="1" xfId="1" applyFill="1" applyBorder="1"/>
    <xf numFmtId="0" fontId="1" fillId="0" borderId="0" xfId="0" applyFont="1"/>
    <xf numFmtId="0" fontId="3" fillId="0" borderId="0" xfId="1" applyBorder="1"/>
    <xf numFmtId="0" fontId="1" fillId="38" borderId="2" xfId="0" applyFont="1" applyFill="1" applyBorder="1" applyAlignment="1">
      <alignment horizontal="center" vertical="center"/>
    </xf>
    <xf numFmtId="0" fontId="1" fillId="38" borderId="3" xfId="0" applyFont="1" applyFill="1" applyBorder="1" applyAlignment="1">
      <alignment horizontal="center" vertical="center"/>
    </xf>
    <xf numFmtId="0" fontId="1" fillId="38" borderId="4" xfId="0" applyFont="1" applyFill="1" applyBorder="1" applyAlignment="1">
      <alignment horizontal="center" vertical="center"/>
    </xf>
    <xf numFmtId="0" fontId="1" fillId="38" borderId="5" xfId="0" applyFont="1" applyFill="1" applyBorder="1" applyAlignment="1">
      <alignment horizontal="center" vertical="center"/>
    </xf>
    <xf numFmtId="0" fontId="1" fillId="38" borderId="6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9" borderId="1" xfId="0" applyFont="1" applyFill="1" applyBorder="1" applyAlignment="1">
      <alignment horizontal="center"/>
    </xf>
    <xf numFmtId="0" fontId="0" fillId="39" borderId="1" xfId="0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CFFFF"/>
      <color rgb="FFFFFFCC"/>
      <color rgb="FFC476D4"/>
      <color rgb="FFC461D4"/>
      <color rgb="FFFF4F53"/>
      <color rgb="FFF75269"/>
      <color rgb="FFC2C2A1"/>
      <color rgb="FFEC4E64"/>
      <color rgb="FFEB354A"/>
      <color rgb="FFF594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130629</xdr:colOff>
          <xdr:row>9</xdr:row>
          <xdr:rowOff>48986</xdr:rowOff>
        </xdr:from>
        <xdr:to>
          <xdr:col>13</xdr:col>
          <xdr:colOff>647700</xdr:colOff>
          <xdr:row>12</xdr:row>
          <xdr:rowOff>10886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 JS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tabs.ultimate-guitar.com/tab/avenged_sevenfold/unholy_confessions_tabs_132915" TargetMode="External"/><Relationship Id="rId21" Type="http://schemas.openxmlformats.org/officeDocument/2006/relationships/hyperlink" Target="http://tabs.ultimate-guitar.com/tab/led_zeppelin/kashmir_tabs_104407" TargetMode="External"/><Relationship Id="rId42" Type="http://schemas.openxmlformats.org/officeDocument/2006/relationships/hyperlink" Target="http://tabs.ultimate-guitar.com/tab/santana/smooth_tabs_2111" TargetMode="External"/><Relationship Id="rId63" Type="http://schemas.openxmlformats.org/officeDocument/2006/relationships/hyperlink" Target="http://tabs.ultimate-guitar.com/tab/the_animals/house_of_the_rising_sun_tabs_45131" TargetMode="External"/><Relationship Id="rId84" Type="http://schemas.openxmlformats.org/officeDocument/2006/relationships/hyperlink" Target="http://tabs.ultimate-guitar.com/tab/creedence_clearwater_revival/run_through_the_jungle_tabs_122534" TargetMode="External"/><Relationship Id="rId138" Type="http://schemas.openxmlformats.org/officeDocument/2006/relationships/hyperlink" Target="https://tabs.ultimate-guitar.com/tab/nirvana/the_man_who_sold_the_world_tabs_841950" TargetMode="External"/><Relationship Id="rId159" Type="http://schemas.openxmlformats.org/officeDocument/2006/relationships/hyperlink" Target="https://tabs.ultimate-guitar.com/tab/metallica/the_four_horsemen_tabs_161530" TargetMode="External"/><Relationship Id="rId170" Type="http://schemas.openxmlformats.org/officeDocument/2006/relationships/hyperlink" Target="https://www.songsterr.com/a/wsa/ac-dc-flick-of-the-switch-tab-s8697t1" TargetMode="External"/><Relationship Id="rId191" Type="http://schemas.openxmlformats.org/officeDocument/2006/relationships/hyperlink" Target="https://tabs.ultimate-guitar.com/tab/ed_sheeran/dont_tabs_1670346" TargetMode="External"/><Relationship Id="rId205" Type="http://schemas.openxmlformats.org/officeDocument/2006/relationships/hyperlink" Target="https://tabs.ultimate-guitar.com/tab/avenged_sevenfold/scream_tabs_593207" TargetMode="External"/><Relationship Id="rId226" Type="http://schemas.openxmlformats.org/officeDocument/2006/relationships/hyperlink" Target="https://tabs.ultimate-guitar.com/tab/queen/hammer_to_fall_tabs_272168" TargetMode="External"/><Relationship Id="rId247" Type="http://schemas.openxmlformats.org/officeDocument/2006/relationships/hyperlink" Target="https://tabs.ultimate-guitar.com/tab/the_strokes/reptilia_tabs_151364" TargetMode="External"/><Relationship Id="rId107" Type="http://schemas.openxmlformats.org/officeDocument/2006/relationships/hyperlink" Target="https://tabs.ultimate-guitar.com/tab/rush/yyz_tabs_55096" TargetMode="External"/><Relationship Id="rId11" Type="http://schemas.openxmlformats.org/officeDocument/2006/relationships/hyperlink" Target="http://tabs.ultimate-guitar.com/tab/aerosmith/walk_this_way_tabs_18826" TargetMode="External"/><Relationship Id="rId32" Type="http://schemas.openxmlformats.org/officeDocument/2006/relationships/hyperlink" Target="http://tabs.ultimate-guitar.com/tab/toto/hold_the_line_tabs_377115" TargetMode="External"/><Relationship Id="rId53" Type="http://schemas.openxmlformats.org/officeDocument/2006/relationships/hyperlink" Target="http://tabs.ultimate-guitar.com/tab/dire_straits/money_for_nothing_tabs_205208" TargetMode="External"/><Relationship Id="rId74" Type="http://schemas.openxmlformats.org/officeDocument/2006/relationships/hyperlink" Target="http://tabs.ultimate-guitar.com/tab/kansas/dust_in_the_wind_tabs_72957" TargetMode="External"/><Relationship Id="rId128" Type="http://schemas.openxmlformats.org/officeDocument/2006/relationships/hyperlink" Target="https://tabs.ultimate-guitar.com/tab/fall_out_boy/dance_dance_tabs_268744" TargetMode="External"/><Relationship Id="rId149" Type="http://schemas.openxmlformats.org/officeDocument/2006/relationships/hyperlink" Target="https://tabs.ultimate-guitar.com/tab/dream_theater/constant_motion_tabs_522612" TargetMode="External"/><Relationship Id="rId5" Type="http://schemas.openxmlformats.org/officeDocument/2006/relationships/hyperlink" Target="http://tabs.ultimate-guitar.com/tab/black_sabbath/paranoid_tabs_21813" TargetMode="External"/><Relationship Id="rId95" Type="http://schemas.openxmlformats.org/officeDocument/2006/relationships/hyperlink" Target="http://tabs.ultimate-guitar.com/tab/ozzy_osbourne/crazy_train_tabs_38622" TargetMode="External"/><Relationship Id="rId160" Type="http://schemas.openxmlformats.org/officeDocument/2006/relationships/hyperlink" Target="https://tabs.ultimate-guitar.com/tab/metallica/that_was_just_your_life_tabs_742158" TargetMode="External"/><Relationship Id="rId181" Type="http://schemas.openxmlformats.org/officeDocument/2006/relationships/hyperlink" Target="https://tabs.ultimate-guitar.com/tab/nirvana/heart_shaped_box_tabs_49219" TargetMode="External"/><Relationship Id="rId216" Type="http://schemas.openxmlformats.org/officeDocument/2006/relationships/hyperlink" Target="https://tabs.ultimate-guitar.com/tab/pearl_jam/once_tabs_166177" TargetMode="External"/><Relationship Id="rId237" Type="http://schemas.openxmlformats.org/officeDocument/2006/relationships/hyperlink" Target="https://tabs.ultimate-guitar.com/tab/kiss/black_diamond_tabs_10295" TargetMode="External"/><Relationship Id="rId22" Type="http://schemas.openxmlformats.org/officeDocument/2006/relationships/hyperlink" Target="http://tabs.ultimate-guitar.com/tab/bon_jovi/wanted_dead_or_alive_tabs_24420" TargetMode="External"/><Relationship Id="rId43" Type="http://schemas.openxmlformats.org/officeDocument/2006/relationships/hyperlink" Target="http://tabs.ultimate-guitar.com/tab/santana/smooth_tabs_2111" TargetMode="External"/><Relationship Id="rId64" Type="http://schemas.openxmlformats.org/officeDocument/2006/relationships/hyperlink" Target="http://tabs.ultimate-guitar.com/tab/jimi_hendrix/purple_haze_tabs_11715" TargetMode="External"/><Relationship Id="rId118" Type="http://schemas.openxmlformats.org/officeDocument/2006/relationships/hyperlink" Target="https://tabs.ultimate-guitar.com/tab/arctic_monkeys/do_i_wanna_know_tabs_1251886" TargetMode="External"/><Relationship Id="rId139" Type="http://schemas.openxmlformats.org/officeDocument/2006/relationships/hyperlink" Target="https://tabs.ultimate-guitar.com/tab/queens_of_the_stone_age/no_one_knows_tabs_37580" TargetMode="External"/><Relationship Id="rId85" Type="http://schemas.openxmlformats.org/officeDocument/2006/relationships/hyperlink" Target="http://tabs.ultimate-guitar.com/tab/the_cult/she_sells_sanctuary_tabs_787268" TargetMode="External"/><Relationship Id="rId150" Type="http://schemas.openxmlformats.org/officeDocument/2006/relationships/hyperlink" Target="https://www.songsterr.com/a/wsa/audioslave-like-a-stone-tab-s1859t0" TargetMode="External"/><Relationship Id="rId171" Type="http://schemas.openxmlformats.org/officeDocument/2006/relationships/hyperlink" Target="https://tabs.ultimate-guitar.com/tab/acdc/the_furor_tabs_757025" TargetMode="External"/><Relationship Id="rId192" Type="http://schemas.openxmlformats.org/officeDocument/2006/relationships/hyperlink" Target="https://tabs.ultimate-guitar.com/tab/linkin_park/points_of_authority_tabs_28068" TargetMode="External"/><Relationship Id="rId206" Type="http://schemas.openxmlformats.org/officeDocument/2006/relationships/hyperlink" Target="https://tabs.ultimate-guitar.com/tab/avenged_sevenfold/almost_easy_tabs_580086" TargetMode="External"/><Relationship Id="rId227" Type="http://schemas.openxmlformats.org/officeDocument/2006/relationships/hyperlink" Target="https://tabs.ultimate-guitar.com/tab/queen/we_will_rock_you_tabs_136085" TargetMode="External"/><Relationship Id="rId248" Type="http://schemas.openxmlformats.org/officeDocument/2006/relationships/hyperlink" Target="https://tabs.ultimate-guitar.com/tab/franz_ferdinand/take_me_out_tabs_106082" TargetMode="External"/><Relationship Id="rId12" Type="http://schemas.openxmlformats.org/officeDocument/2006/relationships/hyperlink" Target="http://tabs.ultimate-guitar.com/tab/blur/song_2_tabs_99059" TargetMode="External"/><Relationship Id="rId33" Type="http://schemas.openxmlformats.org/officeDocument/2006/relationships/hyperlink" Target="http://tabs.ultimate-guitar.com/tab/steppenwolf/born_to_be_wild_tabs_198034" TargetMode="External"/><Relationship Id="rId108" Type="http://schemas.openxmlformats.org/officeDocument/2006/relationships/hyperlink" Target="https://tabs.ultimate-guitar.com/tab/santana/samba_pa_ti_tabs_2121" TargetMode="External"/><Relationship Id="rId129" Type="http://schemas.openxmlformats.org/officeDocument/2006/relationships/hyperlink" Target="https://tabs.ultimate-guitar.com/tab/panic_at_the_disco/victorious_tabs_1770610" TargetMode="External"/><Relationship Id="rId54" Type="http://schemas.openxmlformats.org/officeDocument/2006/relationships/hyperlink" Target="http://tabs.ultimate-guitar.com/tab/guns_n_roses/sweet_child_o_mine_tabs_12657" TargetMode="External"/><Relationship Id="rId75" Type="http://schemas.openxmlformats.org/officeDocument/2006/relationships/hyperlink" Target="http://tabs.ultimate-guitar.com/tab/stevie_ray_vaughan_double_trouble/pride_and_joy_tabs_30829" TargetMode="External"/><Relationship Id="rId96" Type="http://schemas.openxmlformats.org/officeDocument/2006/relationships/hyperlink" Target="http://tabs.ultimate-guitar.com/tab/black_sabbath/iron_man_tabs_21301" TargetMode="External"/><Relationship Id="rId140" Type="http://schemas.openxmlformats.org/officeDocument/2006/relationships/hyperlink" Target="https://tabs.ultimate-guitar.com/tab/radiohead/my_iron_lung_tabs_1214341" TargetMode="External"/><Relationship Id="rId161" Type="http://schemas.openxmlformats.org/officeDocument/2006/relationships/hyperlink" Target="https://tabs.ultimate-guitar.com/tab/metallica/the_judas_kiss_tabs_728659" TargetMode="External"/><Relationship Id="rId182" Type="http://schemas.openxmlformats.org/officeDocument/2006/relationships/hyperlink" Target="https://tabs.ultimate-guitar.com/tab/nirvana/dumb_tabs_49513" TargetMode="External"/><Relationship Id="rId217" Type="http://schemas.openxmlformats.org/officeDocument/2006/relationships/hyperlink" Target="https://tabs.ultimate-guitar.com/tab/pearl_jam/go_tabs_79344" TargetMode="External"/><Relationship Id="rId6" Type="http://schemas.openxmlformats.org/officeDocument/2006/relationships/hyperlink" Target="http://tabs.ultimate-guitar.com/tab/acdc/back_in_black_tabs_18902" TargetMode="External"/><Relationship Id="rId238" Type="http://schemas.openxmlformats.org/officeDocument/2006/relationships/hyperlink" Target="https://tabs.ultimate-guitar.com/tab/kiss/strutter_tabs_276221" TargetMode="External"/><Relationship Id="rId23" Type="http://schemas.openxmlformats.org/officeDocument/2006/relationships/hyperlink" Target="http://tabs.ultimate-guitar.com/tab/muse/hysteria_tabs_102487" TargetMode="External"/><Relationship Id="rId119" Type="http://schemas.openxmlformats.org/officeDocument/2006/relationships/hyperlink" Target="https://tabs.ultimate-guitar.com/tab/arctic_monkeys/dancing_shoes_tabs_326771" TargetMode="External"/><Relationship Id="rId44" Type="http://schemas.openxmlformats.org/officeDocument/2006/relationships/hyperlink" Target="http://tabs.ultimate-guitar.com/tab/journey/dont_stop_believin_chords_275297" TargetMode="External"/><Relationship Id="rId65" Type="http://schemas.openxmlformats.org/officeDocument/2006/relationships/hyperlink" Target="http://tabs.ultimate-guitar.com/tab/7857" TargetMode="External"/><Relationship Id="rId86" Type="http://schemas.openxmlformats.org/officeDocument/2006/relationships/hyperlink" Target="http://tabs.ultimate-guitar.com/tab/abba/gimme_gimme_gimme_tabs_102695" TargetMode="External"/><Relationship Id="rId130" Type="http://schemas.openxmlformats.org/officeDocument/2006/relationships/hyperlink" Target="https://tabs.ultimate-guitar.com/tab/paramore/still_into_you_tabs_1230568" TargetMode="External"/><Relationship Id="rId151" Type="http://schemas.openxmlformats.org/officeDocument/2006/relationships/hyperlink" Target="https://tabs.ultimate-guitar.com/tab/megadeth/holy_wars_the_punishment_due_tabs_711368" TargetMode="External"/><Relationship Id="rId172" Type="http://schemas.openxmlformats.org/officeDocument/2006/relationships/hyperlink" Target="https://tabs.ultimate-guitar.com/tab/acdc/stand_up_tabs_277657" TargetMode="External"/><Relationship Id="rId193" Type="http://schemas.openxmlformats.org/officeDocument/2006/relationships/hyperlink" Target="https://www.songsterr.com/a/wsa/linkin-park-dont-stay-tab-s11964t0" TargetMode="External"/><Relationship Id="rId207" Type="http://schemas.openxmlformats.org/officeDocument/2006/relationships/hyperlink" Target="https://tabs.ultimate-guitar.com/tab/john_mayer/city_love_tabs_42723" TargetMode="External"/><Relationship Id="rId228" Type="http://schemas.openxmlformats.org/officeDocument/2006/relationships/hyperlink" Target="https://tabs.ultimate-guitar.com/tab/queen/bohemian_rhapsody_tabs_36759" TargetMode="External"/><Relationship Id="rId249" Type="http://schemas.openxmlformats.org/officeDocument/2006/relationships/hyperlink" Target="https://tabs.ultimate-guitar.com/tab/radiohead/high_and_dry_chords_1067552" TargetMode="External"/><Relationship Id="rId13" Type="http://schemas.openxmlformats.org/officeDocument/2006/relationships/hyperlink" Target="http://tabs.ultimate-guitar.com/tab/nirvana/come_as_you_are_tabs_47319" TargetMode="External"/><Relationship Id="rId109" Type="http://schemas.openxmlformats.org/officeDocument/2006/relationships/hyperlink" Target="https://tabs.ultimate-guitar.com/tab/dick_dale/misirlou_tabs_93843" TargetMode="External"/><Relationship Id="rId34" Type="http://schemas.openxmlformats.org/officeDocument/2006/relationships/hyperlink" Target="http://tabs.ultimate-guitar.com/tab/van_halen/jump_tabs_124525" TargetMode="External"/><Relationship Id="rId55" Type="http://schemas.openxmlformats.org/officeDocument/2006/relationships/hyperlink" Target="http://tabs.ultimate-guitar.com/tab/lynyrd_skynyrd/sweet_home_alabama_tabs_1071268" TargetMode="External"/><Relationship Id="rId76" Type="http://schemas.openxmlformats.org/officeDocument/2006/relationships/hyperlink" Target="http://tabs.ultimate-guitar.com/tab/pat_benatar/hit_me_with_your_best_shot_tabs_614563" TargetMode="External"/><Relationship Id="rId97" Type="http://schemas.openxmlformats.org/officeDocument/2006/relationships/hyperlink" Target="http://tabs.ultimate-guitar.com/tab/acdc/thunderstruck_tabs_47698" TargetMode="External"/><Relationship Id="rId120" Type="http://schemas.openxmlformats.org/officeDocument/2006/relationships/hyperlink" Target="https://tabs.ultimate-guitar.com/tab/foo_fighters/all_my_life_tabs_35848" TargetMode="External"/><Relationship Id="rId141" Type="http://schemas.openxmlformats.org/officeDocument/2006/relationships/hyperlink" Target="https://tabs.ultimate-guitar.com/tab/linkin_park/papercut_tabs_9250" TargetMode="External"/><Relationship Id="rId7" Type="http://schemas.openxmlformats.org/officeDocument/2006/relationships/hyperlink" Target="http://tabs.ultimate-guitar.com/tab/the_white_stripes/seven_nation_army_tabs_55331" TargetMode="External"/><Relationship Id="rId162" Type="http://schemas.openxmlformats.org/officeDocument/2006/relationships/hyperlink" Target="https://tabs.ultimate-guitar.com/tab/metallica/battery_tabs_54418" TargetMode="External"/><Relationship Id="rId183" Type="http://schemas.openxmlformats.org/officeDocument/2006/relationships/hyperlink" Target="https://tabs.ultimate-guitar.com/tab/nirvana/in_bloom_tabs_93559" TargetMode="External"/><Relationship Id="rId218" Type="http://schemas.openxmlformats.org/officeDocument/2006/relationships/hyperlink" Target="https://tabs.ultimate-guitar.com/tab/pearl_jam/daughter_tabs_129419" TargetMode="External"/><Relationship Id="rId239" Type="http://schemas.openxmlformats.org/officeDocument/2006/relationships/hyperlink" Target="https://tabs.ultimate-guitar.com/tab/kiss/firehouse_tabs_122923" TargetMode="External"/><Relationship Id="rId250" Type="http://schemas.openxmlformats.org/officeDocument/2006/relationships/hyperlink" Target="https://tabs.ultimate-guitar.com/tab/foo_fighters/let_it_die_tabs_582463" TargetMode="External"/><Relationship Id="rId24" Type="http://schemas.openxmlformats.org/officeDocument/2006/relationships/hyperlink" Target="http://tabs.ultimate-guitar.com/tab/the_beatles/day_tripper_tabs_21611" TargetMode="External"/><Relationship Id="rId45" Type="http://schemas.openxmlformats.org/officeDocument/2006/relationships/hyperlink" Target="http://tabs.ultimate-guitar.com/tab/elvis_presley/jailhouse_rock_tabs_41821" TargetMode="External"/><Relationship Id="rId66" Type="http://schemas.openxmlformats.org/officeDocument/2006/relationships/hyperlink" Target="http://tabs.ultimate-guitar.com/tab/46278" TargetMode="External"/><Relationship Id="rId87" Type="http://schemas.openxmlformats.org/officeDocument/2006/relationships/hyperlink" Target="http://tabs.ultimate-guitar.com/tab/red_hot_chili_peppers/californication_tabs_202766" TargetMode="External"/><Relationship Id="rId110" Type="http://schemas.openxmlformats.org/officeDocument/2006/relationships/hyperlink" Target="https://tabs.ultimate-guitar.com/tab/neil_zaza/im_alright_tabs_351613" TargetMode="External"/><Relationship Id="rId131" Type="http://schemas.openxmlformats.org/officeDocument/2006/relationships/hyperlink" Target="https://tabs.ultimate-guitar.com/tab/green_day/american_idiot_tabs_130391" TargetMode="External"/><Relationship Id="rId152" Type="http://schemas.openxmlformats.org/officeDocument/2006/relationships/hyperlink" Target="https://tabs.ultimate-guitar.com/tab/the_chainsmokers/something_just_like_this_chords_1953009" TargetMode="External"/><Relationship Id="rId173" Type="http://schemas.openxmlformats.org/officeDocument/2006/relationships/hyperlink" Target="https://tabs.ultimate-guitar.com/tab/acdc/the_razors_edge_tabs_59366" TargetMode="External"/><Relationship Id="rId194" Type="http://schemas.openxmlformats.org/officeDocument/2006/relationships/hyperlink" Target="https://tabs.ultimate-guitar.com/tab/linkin_park/lying_from_you_tabs_110172" TargetMode="External"/><Relationship Id="rId208" Type="http://schemas.openxmlformats.org/officeDocument/2006/relationships/hyperlink" Target="https://tabs.ultimate-guitar.com/tab/john_mayer/gravity_tabs_262224" TargetMode="External"/><Relationship Id="rId229" Type="http://schemas.openxmlformats.org/officeDocument/2006/relationships/hyperlink" Target="https://tabs.ultimate-guitar.com/tab/alice_in_chains/lesson_learned_tabs_878788" TargetMode="External"/><Relationship Id="rId240" Type="http://schemas.openxmlformats.org/officeDocument/2006/relationships/hyperlink" Target="https://tabs.ultimate-guitar.com/tab/stevie_ray_vaughan_double_trouble/testify_tabs_35400" TargetMode="External"/><Relationship Id="rId14" Type="http://schemas.openxmlformats.org/officeDocument/2006/relationships/hyperlink" Target="http://tabs.ultimate-guitar.com/tab/david_bowie/rebel_rebel_tabs_97952" TargetMode="External"/><Relationship Id="rId35" Type="http://schemas.openxmlformats.org/officeDocument/2006/relationships/hyperlink" Target="http://tabs.ultimate-guitar.com/tab/eric_clapton/wonderful_tonight_tabs_664886" TargetMode="External"/><Relationship Id="rId56" Type="http://schemas.openxmlformats.org/officeDocument/2006/relationships/hyperlink" Target="http://tabs.ultimate-guitar.com/tab/scorpions/still_loving_you_tabs_160055" TargetMode="External"/><Relationship Id="rId77" Type="http://schemas.openxmlformats.org/officeDocument/2006/relationships/hyperlink" Target="http://tabs.ultimate-guitar.com/tab/aerosmith/dream_on_tabs_111083" TargetMode="External"/><Relationship Id="rId100" Type="http://schemas.openxmlformats.org/officeDocument/2006/relationships/hyperlink" Target="https://tabs.ultimate-guitar.com/tab/ritchie_valens/la_bamba_tabs_442995" TargetMode="External"/><Relationship Id="rId8" Type="http://schemas.openxmlformats.org/officeDocument/2006/relationships/hyperlink" Target="http://tabs.ultimate-guitar.com/tab/acdc/highway_to_hell_tabs_196860" TargetMode="External"/><Relationship Id="rId98" Type="http://schemas.openxmlformats.org/officeDocument/2006/relationships/hyperlink" Target="https://tabs.ultimate-guitar.com/tab/the_police/message_in_a_bottle_tabs_79537" TargetMode="External"/><Relationship Id="rId121" Type="http://schemas.openxmlformats.org/officeDocument/2006/relationships/hyperlink" Target="https://tabs.ultimate-guitar.com/tab/red_hot_chili_peppers/dani_california_tabs_356587" TargetMode="External"/><Relationship Id="rId142" Type="http://schemas.openxmlformats.org/officeDocument/2006/relationships/hyperlink" Target="https://tabs.ultimate-guitar.com/tab/royal_blood/loose_change_bass_1665929" TargetMode="External"/><Relationship Id="rId163" Type="http://schemas.openxmlformats.org/officeDocument/2006/relationships/hyperlink" Target="https://tabs.ultimate-guitar.com/tab/metallica/fuel_tabs_90844" TargetMode="External"/><Relationship Id="rId184" Type="http://schemas.openxmlformats.org/officeDocument/2006/relationships/hyperlink" Target="https://tabs.ultimate-guitar.com/tab/nirvana/lithium_tabs_25788" TargetMode="External"/><Relationship Id="rId219" Type="http://schemas.openxmlformats.org/officeDocument/2006/relationships/hyperlink" Target="https://tabs.ultimate-guitar.com/tab/pearl_jam/rearviewmirror_tabs_356614" TargetMode="External"/><Relationship Id="rId230" Type="http://schemas.openxmlformats.org/officeDocument/2006/relationships/hyperlink" Target="https://tabs.ultimate-guitar.com/tab/alice_in_chains/again_tabs_155297" TargetMode="External"/><Relationship Id="rId251" Type="http://schemas.openxmlformats.org/officeDocument/2006/relationships/hyperlink" Target="https://tabs.ultimate-guitar.com/tab/radiohead/just_tabs_139010" TargetMode="External"/><Relationship Id="rId25" Type="http://schemas.openxmlformats.org/officeDocument/2006/relationships/hyperlink" Target="http://tabs.ultimate-guitar.com/tab/rainbow/man_on_the_silver_mountain_tabs_733999" TargetMode="External"/><Relationship Id="rId46" Type="http://schemas.openxmlformats.org/officeDocument/2006/relationships/hyperlink" Target="http://tabs.ultimate-guitar.com/tab/incubus/drive_tabs_20820" TargetMode="External"/><Relationship Id="rId67" Type="http://schemas.openxmlformats.org/officeDocument/2006/relationships/hyperlink" Target="http://tabs.ultimate-guitar.com/tab/metallica/fade_to_black_tabs_23218" TargetMode="External"/><Relationship Id="rId88" Type="http://schemas.openxmlformats.org/officeDocument/2006/relationships/hyperlink" Target="http://tabs.ultimate-guitar.com/tab/eagles/hotel_california_tabs_14288" TargetMode="External"/><Relationship Id="rId111" Type="http://schemas.openxmlformats.org/officeDocument/2006/relationships/hyperlink" Target="https://tabs.ultimate-guitar.com/tab/coheed_and_cambria/welcome_home_tabs_197788" TargetMode="External"/><Relationship Id="rId132" Type="http://schemas.openxmlformats.org/officeDocument/2006/relationships/hyperlink" Target="https://tabs.ultimate-guitar.com/tab/u2/until_the_end_of_the_world_tabs_340474" TargetMode="External"/><Relationship Id="rId153" Type="http://schemas.openxmlformats.org/officeDocument/2006/relationships/hyperlink" Target="https://tabs.ultimate-guitar.com/tab/the_smiths/girl_afraid_tabs_1817648" TargetMode="External"/><Relationship Id="rId174" Type="http://schemas.openxmlformats.org/officeDocument/2006/relationships/hyperlink" Target="https://tabs.ultimate-guitar.com/tab/acdc/tnt_tabs_136884" TargetMode="External"/><Relationship Id="rId195" Type="http://schemas.openxmlformats.org/officeDocument/2006/relationships/hyperlink" Target="https://tabs.ultimate-guitar.com/tab/linkin_park/what_ive_done_tabs_531286" TargetMode="External"/><Relationship Id="rId209" Type="http://schemas.openxmlformats.org/officeDocument/2006/relationships/hyperlink" Target="https://tabs.ultimate-guitar.com/tab/john_mayer/i_dont_need_no_doctor_tabs_714357" TargetMode="External"/><Relationship Id="rId220" Type="http://schemas.openxmlformats.org/officeDocument/2006/relationships/hyperlink" Target="https://tabs.ultimate-guitar.com/tab/pearl_jam/better_man_tabs_160724" TargetMode="External"/><Relationship Id="rId241" Type="http://schemas.openxmlformats.org/officeDocument/2006/relationships/hyperlink" Target="https://tabs.ultimate-guitar.com/tab/stevie_ray_vaughan_double_trouble/the_house_is_rockin_tabs_464651" TargetMode="External"/><Relationship Id="rId15" Type="http://schemas.openxmlformats.org/officeDocument/2006/relationships/hyperlink" Target="http://tabs.ultimate-guitar.com/tab/foo_fighters/everlong_tabs_100106" TargetMode="External"/><Relationship Id="rId36" Type="http://schemas.openxmlformats.org/officeDocument/2006/relationships/hyperlink" Target="http://tabs.ultimate-guitar.com/tab/r_e_m_/one_i_love_tabs_545867" TargetMode="External"/><Relationship Id="rId57" Type="http://schemas.openxmlformats.org/officeDocument/2006/relationships/hyperlink" Target="http://tabs.ultimate-guitar.com/tab/van_halen/aint_talkin_bout_love_tabs_23613" TargetMode="External"/><Relationship Id="rId78" Type="http://schemas.openxmlformats.org/officeDocument/2006/relationships/hyperlink" Target="http://tabs.ultimate-guitar.com/tab/eagles/life_in_the_fast_lane_tabs_354867" TargetMode="External"/><Relationship Id="rId99" Type="http://schemas.openxmlformats.org/officeDocument/2006/relationships/hyperlink" Target="https://tabs.ultimate-guitar.com/tab/led_zeppelin/stairway_to_heaven_tabs_9488" TargetMode="External"/><Relationship Id="rId101" Type="http://schemas.openxmlformats.org/officeDocument/2006/relationships/hyperlink" Target="https://tabs.ultimate-guitar.com/tab/kansas/carry_on_wayward_son_tabs_441987" TargetMode="External"/><Relationship Id="rId122" Type="http://schemas.openxmlformats.org/officeDocument/2006/relationships/hyperlink" Target="https://tabs.ultimate-guitar.com/tab/the_beatles/twist_and_shout_chords_489173" TargetMode="External"/><Relationship Id="rId143" Type="http://schemas.openxmlformats.org/officeDocument/2006/relationships/hyperlink" Target="https://tabs.ultimate-guitar.com/tab/arctic_monkeys/r_u_mine_tabs_1134108" TargetMode="External"/><Relationship Id="rId164" Type="http://schemas.openxmlformats.org/officeDocument/2006/relationships/hyperlink" Target="https://tabs.ultimate-guitar.com/tab/metallica/some_kind_of_monster_tabs_53434" TargetMode="External"/><Relationship Id="rId185" Type="http://schemas.openxmlformats.org/officeDocument/2006/relationships/hyperlink" Target="https://tabs.ultimate-guitar.com/tab/oasis/cigarettes_and_alcohol_tabs_159141" TargetMode="External"/><Relationship Id="rId9" Type="http://schemas.openxmlformats.org/officeDocument/2006/relationships/hyperlink" Target="http://tabs.ultimate-guitar.com/tab/queen/another_one_bites_the_dust_tabs_80603" TargetMode="External"/><Relationship Id="rId210" Type="http://schemas.openxmlformats.org/officeDocument/2006/relationships/hyperlink" Target="https://tabs.ultimate-guitar.com/tab/john_mayer/neon_tabs_48164" TargetMode="External"/><Relationship Id="rId26" Type="http://schemas.openxmlformats.org/officeDocument/2006/relationships/hyperlink" Target="http://tabs.ultimate-guitar.com/tab/queen/tie_your_mother_down_tabs_4718" TargetMode="External"/><Relationship Id="rId231" Type="http://schemas.openxmlformats.org/officeDocument/2006/relationships/hyperlink" Target="https://tabs.ultimate-guitar.com/tab/alice_in_chains/it_aint_like_that_tabs_159177" TargetMode="External"/><Relationship Id="rId252" Type="http://schemas.openxmlformats.org/officeDocument/2006/relationships/hyperlink" Target="https://tabs.ultimate-guitar.com/tab/radiohead/my_iron_lung_tabs_1214341" TargetMode="External"/><Relationship Id="rId47" Type="http://schemas.openxmlformats.org/officeDocument/2006/relationships/hyperlink" Target="http://tabs.ultimate-guitar.com/tab/joan_jett/i_love_rock_n_roll_tabs_666050" TargetMode="External"/><Relationship Id="rId68" Type="http://schemas.openxmlformats.org/officeDocument/2006/relationships/hyperlink" Target="http://tabs.ultimate-guitar.com/tab/megadeth/symphony_of_destruction_tabs_45204" TargetMode="External"/><Relationship Id="rId89" Type="http://schemas.openxmlformats.org/officeDocument/2006/relationships/hyperlink" Target="http://tabs.ultimate-guitar.com/tab/nirvana/smells_like_teen_spirit_tabs_202727" TargetMode="External"/><Relationship Id="rId112" Type="http://schemas.openxmlformats.org/officeDocument/2006/relationships/hyperlink" Target="https://tabs.ultimate-guitar.com/tab/john_petrucci/glasgow_kiss_tabs_58422" TargetMode="External"/><Relationship Id="rId133" Type="http://schemas.openxmlformats.org/officeDocument/2006/relationships/hyperlink" Target="https://tabs.ultimate-guitar.com/tab/led_zeppelin/moby_dick_tabs_54524" TargetMode="External"/><Relationship Id="rId154" Type="http://schemas.openxmlformats.org/officeDocument/2006/relationships/hyperlink" Target="https://tabs.ultimate-guitar.com/tab/disturbed/guarded_tabs_193415" TargetMode="External"/><Relationship Id="rId175" Type="http://schemas.openxmlformats.org/officeDocument/2006/relationships/hyperlink" Target="https://tabs.ultimate-guitar.com/tab/acdc/let_there_be_rock_tabs_51696" TargetMode="External"/><Relationship Id="rId196" Type="http://schemas.openxmlformats.org/officeDocument/2006/relationships/hyperlink" Target="https://tabs.ultimate-guitar.com/tab/linkin_park/new_divide_tabs_828006" TargetMode="External"/><Relationship Id="rId200" Type="http://schemas.openxmlformats.org/officeDocument/2006/relationships/hyperlink" Target="https://tabs.ultimate-guitar.com/tab/megadeth/peace_sells_tabs_521851" TargetMode="External"/><Relationship Id="rId16" Type="http://schemas.openxmlformats.org/officeDocument/2006/relationships/hyperlink" Target="http://tabs.ultimate-guitar.com/tab/eric_clapton/tears_in_heaven_tabs_16131" TargetMode="External"/><Relationship Id="rId221" Type="http://schemas.openxmlformats.org/officeDocument/2006/relationships/hyperlink" Target="https://tabs.ultimate-guitar.com/tab/arctic_monkeys/when_the_sun_goes_down_tabs_329694" TargetMode="External"/><Relationship Id="rId242" Type="http://schemas.openxmlformats.org/officeDocument/2006/relationships/hyperlink" Target="https://tabs.ultimate-guitar.com/tab/led_zeppelin/the_wanton_song_tabs_689216" TargetMode="External"/><Relationship Id="rId37" Type="http://schemas.openxmlformats.org/officeDocument/2006/relationships/hyperlink" Target="http://tabs.ultimate-guitar.com/tab/michael_jackson/billie_jean_tabs_1481746" TargetMode="External"/><Relationship Id="rId58" Type="http://schemas.openxmlformats.org/officeDocument/2006/relationships/hyperlink" Target="http://tabs.ultimate-guitar.com/tab/the_police/every_breath_you_take_tabs_43141" TargetMode="External"/><Relationship Id="rId79" Type="http://schemas.openxmlformats.org/officeDocument/2006/relationships/hyperlink" Target="https://www.songsterr.com/a/wsa/opeth-bleak-tab-s15099t0" TargetMode="External"/><Relationship Id="rId102" Type="http://schemas.openxmlformats.org/officeDocument/2006/relationships/hyperlink" Target="https://tabs.ultimate-guitar.com/tab/metallica/master_of_puppets_tabs_47673" TargetMode="External"/><Relationship Id="rId123" Type="http://schemas.openxmlformats.org/officeDocument/2006/relationships/hyperlink" Target="https://tabs.ultimate-guitar.com/tab/the_beatles/dizzy_miss_lizzy_tabs_740234" TargetMode="External"/><Relationship Id="rId144" Type="http://schemas.openxmlformats.org/officeDocument/2006/relationships/hyperlink" Target="https://tabs.ultimate-guitar.com/tab/slash/gotten_tabs_942357" TargetMode="External"/><Relationship Id="rId90" Type="http://schemas.openxmlformats.org/officeDocument/2006/relationships/hyperlink" Target="http://tabs.ultimate-guitar.com/tab/guns_n_roses/welcome_to_the_jungle_tabs_577140" TargetMode="External"/><Relationship Id="rId165" Type="http://schemas.openxmlformats.org/officeDocument/2006/relationships/hyperlink" Target="https://www.songsterr.com/a/wsa/metallica-king-nothing-tab-s12147t1" TargetMode="External"/><Relationship Id="rId186" Type="http://schemas.openxmlformats.org/officeDocument/2006/relationships/hyperlink" Target="https://tabs.ultimate-guitar.com/tab/oasis/wonderwall_tabs_165916" TargetMode="External"/><Relationship Id="rId211" Type="http://schemas.openxmlformats.org/officeDocument/2006/relationships/hyperlink" Target="https://tabs.ultimate-guitar.com/tab/john_mayer/who_did_you_think_i_was_tabs_790844" TargetMode="External"/><Relationship Id="rId232" Type="http://schemas.openxmlformats.org/officeDocument/2006/relationships/hyperlink" Target="https://tabs.ultimate-guitar.com/tab/alice_in_chains/put_you_down_tabs_200296" TargetMode="External"/><Relationship Id="rId253" Type="http://schemas.openxmlformats.org/officeDocument/2006/relationships/hyperlink" Target="https://tabs.ultimate-guitar.com/tab/the_offspring/come_out_and_play_tabs_149379" TargetMode="External"/><Relationship Id="rId27" Type="http://schemas.openxmlformats.org/officeDocument/2006/relationships/hyperlink" Target="http://tabs.ultimate-guitar.com/tab/metallica/seek_and_destroy_tabs_24413" TargetMode="External"/><Relationship Id="rId48" Type="http://schemas.openxmlformats.org/officeDocument/2006/relationships/hyperlink" Target="http://tabs.ultimate-guitar.com/tab/slayer/raining_blood_tabs_29266" TargetMode="External"/><Relationship Id="rId69" Type="http://schemas.openxmlformats.org/officeDocument/2006/relationships/hyperlink" Target="http://tabs.ultimate-guitar.com/tab/the_offspring/pretty_fly_for_a_white_guy_tabs_42776" TargetMode="External"/><Relationship Id="rId113" Type="http://schemas.openxmlformats.org/officeDocument/2006/relationships/hyperlink" Target="https://tabs.ultimate-guitar.com/tab/iron_maiden/the_trooper_tabs_71439" TargetMode="External"/><Relationship Id="rId134" Type="http://schemas.openxmlformats.org/officeDocument/2006/relationships/hyperlink" Target="https://tabs.ultimate-guitar.com/tab/rise_against/savior_tabs_746060" TargetMode="External"/><Relationship Id="rId80" Type="http://schemas.openxmlformats.org/officeDocument/2006/relationships/hyperlink" Target="http://tabs.ultimate-guitar.com/tab/jimi_hendrix/foxy_lady_tabs_28416" TargetMode="External"/><Relationship Id="rId155" Type="http://schemas.openxmlformats.org/officeDocument/2006/relationships/hyperlink" Target="https://tabs.ultimate-guitar.com/tab/rammstein/engel_tabs_26284" TargetMode="External"/><Relationship Id="rId176" Type="http://schemas.openxmlformats.org/officeDocument/2006/relationships/hyperlink" Target="https://www.youtube.com/watch?v=mybLzpJPnKY" TargetMode="External"/><Relationship Id="rId197" Type="http://schemas.openxmlformats.org/officeDocument/2006/relationships/hyperlink" Target="https://tabs.ultimate-guitar.com/tab/system_of_a_down/toxicity_tabs_2919" TargetMode="External"/><Relationship Id="rId201" Type="http://schemas.openxmlformats.org/officeDocument/2006/relationships/hyperlink" Target="https://tabs.ultimate-guitar.com/tab/megadeth/mastermind_tabs_163606" TargetMode="External"/><Relationship Id="rId222" Type="http://schemas.openxmlformats.org/officeDocument/2006/relationships/hyperlink" Target="https://tabs.ultimate-guitar.com/tab/arctic_monkeys/fake_tales_of_san_francisco_tabs_267552" TargetMode="External"/><Relationship Id="rId243" Type="http://schemas.openxmlformats.org/officeDocument/2006/relationships/hyperlink" Target="https://tabs.ultimate-guitar.com/tab/led_zeppelin/immigrant_song_tabs_94985" TargetMode="External"/><Relationship Id="rId17" Type="http://schemas.openxmlformats.org/officeDocument/2006/relationships/hyperlink" Target="http://tabs.ultimate-guitar.com/tab/europe/the_final_countdown_tabs_67384" TargetMode="External"/><Relationship Id="rId38" Type="http://schemas.openxmlformats.org/officeDocument/2006/relationships/hyperlink" Target="http://tabs.ultimate-guitar.com/tab/eurythmics/sweet_dreams_are_made_of_this_tabs_1012978" TargetMode="External"/><Relationship Id="rId59" Type="http://schemas.openxmlformats.org/officeDocument/2006/relationships/hyperlink" Target="http://tabs.ultimate-guitar.com/tab/foo_fighters/learn_to_fly_tabs_45213" TargetMode="External"/><Relationship Id="rId103" Type="http://schemas.openxmlformats.org/officeDocument/2006/relationships/hyperlink" Target="https://tabs.ultimate-guitar.com/tab/pantera/cemetery_gates_tabs_156251" TargetMode="External"/><Relationship Id="rId124" Type="http://schemas.openxmlformats.org/officeDocument/2006/relationships/hyperlink" Target="https://tabs.ultimate-guitar.com/tab/the_beatles/come_together_tabs_30081" TargetMode="External"/><Relationship Id="rId70" Type="http://schemas.openxmlformats.org/officeDocument/2006/relationships/hyperlink" Target="http://tabs.ultimate-guitar.com/tab/bob_dylan/knockin_on_heavens_door_chords_66587" TargetMode="External"/><Relationship Id="rId91" Type="http://schemas.openxmlformats.org/officeDocument/2006/relationships/hyperlink" Target="http://tabs.ultimate-guitar.com/tab/red_hot_chili_peppers/give_it_away_tabs_321969" TargetMode="External"/><Relationship Id="rId145" Type="http://schemas.openxmlformats.org/officeDocument/2006/relationships/hyperlink" Target="https://tabs.ultimate-guitar.com/tab/van_halen/panama_tabs_170836" TargetMode="External"/><Relationship Id="rId166" Type="http://schemas.openxmlformats.org/officeDocument/2006/relationships/hyperlink" Target="https://tabs.ultimate-guitar.com/tab/metallica/for_whom_the_bell_tolls_tabs_390313" TargetMode="External"/><Relationship Id="rId187" Type="http://schemas.openxmlformats.org/officeDocument/2006/relationships/hyperlink" Target="https://tabs.ultimate-guitar.com/tab/oasis/dont_look_back_in_anger_tabs_142621" TargetMode="External"/><Relationship Id="rId1" Type="http://schemas.openxmlformats.org/officeDocument/2006/relationships/hyperlink" Target="http://tabs.ultimate-guitar.com/tab/deep_purple/smoke_on_the_water_tabs_57672" TargetMode="External"/><Relationship Id="rId212" Type="http://schemas.openxmlformats.org/officeDocument/2006/relationships/hyperlink" Target="https://tabs.ultimate-guitar.com/tab/john_mayer/slow_dancing_in_a_burning_room_tabs_449994" TargetMode="External"/><Relationship Id="rId233" Type="http://schemas.openxmlformats.org/officeDocument/2006/relationships/hyperlink" Target="https://tabs.ultimate-guitar.com/tab/alice_in_chains/lab_monkey_tabs_1251352" TargetMode="External"/><Relationship Id="rId254" Type="http://schemas.openxmlformats.org/officeDocument/2006/relationships/hyperlink" Target="https://tabs.ultimate-guitar.com/tab/the_offspring/the_kids_arent_alright_tabs_5908" TargetMode="External"/><Relationship Id="rId28" Type="http://schemas.openxmlformats.org/officeDocument/2006/relationships/hyperlink" Target="http://tabs.ultimate-guitar.com/tab/eric_clapton/layla_tabs_162968" TargetMode="External"/><Relationship Id="rId49" Type="http://schemas.openxmlformats.org/officeDocument/2006/relationships/hyperlink" Target="http://tabs.ultimate-guitar.com/tab/pantera/mouth_for_war_tabs_915741" TargetMode="External"/><Relationship Id="rId114" Type="http://schemas.openxmlformats.org/officeDocument/2006/relationships/hyperlink" Target="https://www.songsterr.com/a/wsa/doors-light-my-fire-tab-g-s5400" TargetMode="External"/><Relationship Id="rId60" Type="http://schemas.openxmlformats.org/officeDocument/2006/relationships/hyperlink" Target="http://tabs.ultimate-guitar.com/tab/a-ha/take_on_me_tabs_2402355" TargetMode="External"/><Relationship Id="rId81" Type="http://schemas.openxmlformats.org/officeDocument/2006/relationships/hyperlink" Target="http://tabs.ultimate-guitar.com/tab/muse/supermassive_black_hole_tabs_388216" TargetMode="External"/><Relationship Id="rId135" Type="http://schemas.openxmlformats.org/officeDocument/2006/relationships/hyperlink" Target="https://tabs.ultimate-guitar.com/tab/royal_blood/out_of_the_black_tabs_1664526" TargetMode="External"/><Relationship Id="rId156" Type="http://schemas.openxmlformats.org/officeDocument/2006/relationships/hyperlink" Target="https://tabs.ultimate-guitar.com/tab/metallica/welcome_home_sanitarium_tabs_75014" TargetMode="External"/><Relationship Id="rId177" Type="http://schemas.openxmlformats.org/officeDocument/2006/relationships/hyperlink" Target="https://tabs.ultimate-guitar.com/tab/acdc/beating_around_the_bush_tabs_1801766" TargetMode="External"/><Relationship Id="rId198" Type="http://schemas.openxmlformats.org/officeDocument/2006/relationships/hyperlink" Target="https://tabs.ultimate-guitar.com/tab/system_of_a_down/byob_tabs_181733" TargetMode="External"/><Relationship Id="rId202" Type="http://schemas.openxmlformats.org/officeDocument/2006/relationships/hyperlink" Target="https://tabs.ultimate-guitar.com/tab/snow_patrol/chasing_cars_tabs_349718" TargetMode="External"/><Relationship Id="rId223" Type="http://schemas.openxmlformats.org/officeDocument/2006/relationships/hyperlink" Target="https://tabs.ultimate-guitar.com/tab/arctic_monkeys/knee_socks_tabs_1473317" TargetMode="External"/><Relationship Id="rId244" Type="http://schemas.openxmlformats.org/officeDocument/2006/relationships/hyperlink" Target="https://tabs.ultimate-guitar.com/tab/buddy_holly/words_of_love_tabs_991362" TargetMode="External"/><Relationship Id="rId18" Type="http://schemas.openxmlformats.org/officeDocument/2006/relationships/hyperlink" Target="http://tabs.ultimate-guitar.com/tab/muse/plug_in_baby_tabs_23691" TargetMode="External"/><Relationship Id="rId39" Type="http://schemas.openxmlformats.org/officeDocument/2006/relationships/hyperlink" Target="http://tabs.ultimate-guitar.com/tab/eric_clapton/cocaine_tabs_213446" TargetMode="External"/><Relationship Id="rId50" Type="http://schemas.openxmlformats.org/officeDocument/2006/relationships/hyperlink" Target="http://tabs.ultimate-guitar.com/tab/alice_in_chains/man_in_the_box_tabs_55850" TargetMode="External"/><Relationship Id="rId104" Type="http://schemas.openxmlformats.org/officeDocument/2006/relationships/hyperlink" Target="https://tabs.ultimate-guitar.com/tab/metallica/nothing_else_matters_tabs_8519" TargetMode="External"/><Relationship Id="rId125" Type="http://schemas.openxmlformats.org/officeDocument/2006/relationships/hyperlink" Target="https://tabs.ultimate-guitar.com/tab/black_sabbath/electric_funeral_tabs_24456" TargetMode="External"/><Relationship Id="rId146" Type="http://schemas.openxmlformats.org/officeDocument/2006/relationships/hyperlink" Target="https://tabs.ultimate-guitar.com/tab/rush/the_spirit_of_radio_tabs_55094" TargetMode="External"/><Relationship Id="rId167" Type="http://schemas.openxmlformats.org/officeDocument/2006/relationships/hyperlink" Target="https://tabs.ultimate-guitar.com/tab/metallica/sad_but_true_tabs_140973" TargetMode="External"/><Relationship Id="rId188" Type="http://schemas.openxmlformats.org/officeDocument/2006/relationships/hyperlink" Target="https://tabs.ultimate-guitar.com/tab/oasis/supersonic_tabs_89069" TargetMode="External"/><Relationship Id="rId71" Type="http://schemas.openxmlformats.org/officeDocument/2006/relationships/hyperlink" Target="http://tabs.ultimate-guitar.com/tab/lenny_kravitz/are_you_gonna_go_my_way_tabs_10141" TargetMode="External"/><Relationship Id="rId92" Type="http://schemas.openxmlformats.org/officeDocument/2006/relationships/hyperlink" Target="http://tabs.ultimate-guitar.com/tab/pearl_jam/even_flow_tabs_546491" TargetMode="External"/><Relationship Id="rId213" Type="http://schemas.openxmlformats.org/officeDocument/2006/relationships/hyperlink" Target="https://tabs.ultimate-guitar.com/tab/the_white_stripes/hello_operator_tabs_281652" TargetMode="External"/><Relationship Id="rId234" Type="http://schemas.openxmlformats.org/officeDocument/2006/relationships/hyperlink" Target="https://tabs.ultimate-guitar.com/tab/alice_in_chains/dirt_tabs_18721" TargetMode="External"/><Relationship Id="rId2" Type="http://schemas.openxmlformats.org/officeDocument/2006/relationships/hyperlink" Target="http://tabs.ultimate-guitar.com/tab/the_rolling_stones/i_cant_get_no_satisfaction_tabs_157608" TargetMode="External"/><Relationship Id="rId29" Type="http://schemas.openxmlformats.org/officeDocument/2006/relationships/hyperlink" Target="http://tabs.ultimate-guitar.com/tab/zz_top/la_grange_tabs_172497" TargetMode="External"/><Relationship Id="rId255" Type="http://schemas.openxmlformats.org/officeDocument/2006/relationships/hyperlink" Target="https://tabs.ultimate-guitar.com/tab/muse/pressure_tabs_2480106" TargetMode="External"/><Relationship Id="rId40" Type="http://schemas.openxmlformats.org/officeDocument/2006/relationships/hyperlink" Target="http://tabs.ultimate-guitar.com/tab/scorpions/rock_you_like_a_hurricane_tabs_1706879" TargetMode="External"/><Relationship Id="rId115" Type="http://schemas.openxmlformats.org/officeDocument/2006/relationships/hyperlink" Target="https://tabs.ultimate-guitar.com/tab/red_hot_chili_peppers/snow_hey_oh_tabs_360889" TargetMode="External"/><Relationship Id="rId136" Type="http://schemas.openxmlformats.org/officeDocument/2006/relationships/hyperlink" Target="https://tabs.ultimate-guitar.com/tab/cream/sunshine_of_your_love_tabs_30878" TargetMode="External"/><Relationship Id="rId157" Type="http://schemas.openxmlformats.org/officeDocument/2006/relationships/hyperlink" Target="https://tabs.ultimate-guitar.com/tab/metallica/harvester_of_sorrow_tabs_53538" TargetMode="External"/><Relationship Id="rId178" Type="http://schemas.openxmlformats.org/officeDocument/2006/relationships/hyperlink" Target="https://tabs.ultimate-guitar.com/tab/acdc/jailbreak_tabs_199710" TargetMode="External"/><Relationship Id="rId61" Type="http://schemas.openxmlformats.org/officeDocument/2006/relationships/hyperlink" Target="http://tabs.ultimate-guitar.com/tab/red_hot_chili_peppers/scar_tissue_tabs_20691" TargetMode="External"/><Relationship Id="rId82" Type="http://schemas.openxmlformats.org/officeDocument/2006/relationships/hyperlink" Target="http://tabs.ultimate-guitar.com/tab/ted_nugent/cat_scratch_fever_tabs_86221" TargetMode="External"/><Relationship Id="rId199" Type="http://schemas.openxmlformats.org/officeDocument/2006/relationships/hyperlink" Target="https://tabs.ultimate-guitar.com/tab/megadeth/hangar_18_tabs_328259" TargetMode="External"/><Relationship Id="rId203" Type="http://schemas.openxmlformats.org/officeDocument/2006/relationships/hyperlink" Target="https://tabs.ultimate-guitar.com/tab/marilyn_manson/beautiful_people_tabs_35085" TargetMode="External"/><Relationship Id="rId19" Type="http://schemas.openxmlformats.org/officeDocument/2006/relationships/hyperlink" Target="http://tabs.ultimate-guitar.com/tab/red_hot_chili_peppers/under_the_bridge_tabs_3832" TargetMode="External"/><Relationship Id="rId224" Type="http://schemas.openxmlformats.org/officeDocument/2006/relationships/hyperlink" Target="https://tabs.ultimate-guitar.com/tab/pantera/by_demons_be_driven_tabs_78929" TargetMode="External"/><Relationship Id="rId245" Type="http://schemas.openxmlformats.org/officeDocument/2006/relationships/hyperlink" Target="https://tabs.ultimate-guitar.com/tab/the_rolling_stones/gimme_shelter_tabs_3973" TargetMode="External"/><Relationship Id="rId30" Type="http://schemas.openxmlformats.org/officeDocument/2006/relationships/hyperlink" Target="http://tabs.ultimate-guitar.com/tab/acdc/you_shook_me_all_night_long_tabs_799392" TargetMode="External"/><Relationship Id="rId105" Type="http://schemas.openxmlformats.org/officeDocument/2006/relationships/hyperlink" Target="https://tabs.ultimate-guitar.com/tab/jethro_tull/aqualung_tabs_193316" TargetMode="External"/><Relationship Id="rId126" Type="http://schemas.openxmlformats.org/officeDocument/2006/relationships/hyperlink" Target="https://tabs.ultimate-guitar.com/tab/pink_floyd/another_brick_in_the_wall_part_2_tabs_79176" TargetMode="External"/><Relationship Id="rId147" Type="http://schemas.openxmlformats.org/officeDocument/2006/relationships/hyperlink" Target="https://tabs.ultimate-guitar.com/tab/van_halen/hot_for_teacher_tabs_189680" TargetMode="External"/><Relationship Id="rId168" Type="http://schemas.openxmlformats.org/officeDocument/2006/relationships/hyperlink" Target="https://tabs.ultimate-guitar.com/tab/acdc/rock_n_roll_train_tabs_726341" TargetMode="External"/><Relationship Id="rId51" Type="http://schemas.openxmlformats.org/officeDocument/2006/relationships/hyperlink" Target="http://tabs.ultimate-guitar.com/tab/led_zeppelin/heartbreaker_tabs_116354" TargetMode="External"/><Relationship Id="rId72" Type="http://schemas.openxmlformats.org/officeDocument/2006/relationships/hyperlink" Target="http://tabs.ultimate-guitar.com/tab/roy_orbison/oh_pretty_woman_chords_810517" TargetMode="External"/><Relationship Id="rId93" Type="http://schemas.openxmlformats.org/officeDocument/2006/relationships/hyperlink" Target="http://tabs.ultimate-guitar.com/tab/pearl_jam/alive_tabs_24161" TargetMode="External"/><Relationship Id="rId189" Type="http://schemas.openxmlformats.org/officeDocument/2006/relationships/hyperlink" Target="https://tabs.ultimate-guitar.com/tab/ed_sheeran/shape_of_you_tabs_1928603" TargetMode="External"/><Relationship Id="rId3" Type="http://schemas.openxmlformats.org/officeDocument/2006/relationships/hyperlink" Target="http://tabs.ultimate-guitar.com/tab/michael_jackson/beat_it_tabs_35178" TargetMode="External"/><Relationship Id="rId214" Type="http://schemas.openxmlformats.org/officeDocument/2006/relationships/hyperlink" Target="https://tabs.ultimate-guitar.com/tab/the_white_stripes/ball_and_biscuit_tabs_403172" TargetMode="External"/><Relationship Id="rId235" Type="http://schemas.openxmlformats.org/officeDocument/2006/relationships/hyperlink" Target="https://tabs.ultimate-guitar.com/tab/alice_in_chains/i_know_something_tabs_155299" TargetMode="External"/><Relationship Id="rId116" Type="http://schemas.openxmlformats.org/officeDocument/2006/relationships/hyperlink" Target="https://tabs.ultimate-guitar.com/tab/jerryc/canon_rock_tabs_319905" TargetMode="External"/><Relationship Id="rId137" Type="http://schemas.openxmlformats.org/officeDocument/2006/relationships/hyperlink" Target="https://www.songsterr.com/a/wsa/zz-top-my-heads-in-mississippi-tab-s58828t0" TargetMode="External"/><Relationship Id="rId158" Type="http://schemas.openxmlformats.org/officeDocument/2006/relationships/hyperlink" Target="https://tabs.ultimate-guitar.com/tab/metallica/and_justice_for_all_tabs_202703" TargetMode="External"/><Relationship Id="rId20" Type="http://schemas.openxmlformats.org/officeDocument/2006/relationships/hyperlink" Target="http://www.guitartabsexplorer.com/rage-against-the-machine-Tabs/killing-in-the-name-tab.php" TargetMode="External"/><Relationship Id="rId41" Type="http://schemas.openxmlformats.org/officeDocument/2006/relationships/hyperlink" Target="http://tabs.ultimate-guitar.com/tab/dio/rainbow_in_the_dark_tabs_162743" TargetMode="External"/><Relationship Id="rId62" Type="http://schemas.openxmlformats.org/officeDocument/2006/relationships/hyperlink" Target="http://tabs.ultimate-guitar.com/tab/acdc/hells_bells_tabs_52908" TargetMode="External"/><Relationship Id="rId83" Type="http://schemas.openxmlformats.org/officeDocument/2006/relationships/hyperlink" Target="http://tabs.ultimate-guitar.com/tab/david_bowie/ziggy_stardust_tabs_61266" TargetMode="External"/><Relationship Id="rId179" Type="http://schemas.openxmlformats.org/officeDocument/2006/relationships/hyperlink" Target="https://tabs.ultimate-guitar.com/tab/acdc/given_the_dog_a_bone_tabs_161662" TargetMode="External"/><Relationship Id="rId190" Type="http://schemas.openxmlformats.org/officeDocument/2006/relationships/hyperlink" Target="https://tabs.ultimate-guitar.com/tab/ed_sheeran/thinking_out_loud_tabs_1517140" TargetMode="External"/><Relationship Id="rId204" Type="http://schemas.openxmlformats.org/officeDocument/2006/relationships/hyperlink" Target="https://tabs.ultimate-guitar.com/tab/avenged_sevenfold/welcome_to_the_family_tabs_1020097" TargetMode="External"/><Relationship Id="rId225" Type="http://schemas.openxmlformats.org/officeDocument/2006/relationships/hyperlink" Target="https://tabs.ultimate-guitar.com/tab/van_morrison/brown_eyed_girl_tabs_179799" TargetMode="External"/><Relationship Id="rId246" Type="http://schemas.openxmlformats.org/officeDocument/2006/relationships/hyperlink" Target="https://tabs.ultimate-guitar.com/tab/jet/are_you_gonna_be_my_girl_tabs_202618" TargetMode="External"/><Relationship Id="rId106" Type="http://schemas.openxmlformats.org/officeDocument/2006/relationships/hyperlink" Target="https://www.youtube.com/watch?v=p32b5nNq1zw" TargetMode="External"/><Relationship Id="rId127" Type="http://schemas.openxmlformats.org/officeDocument/2006/relationships/hyperlink" Target="https://tabs.ultimate-guitar.com/tab/aerosmith/same_old_song_and_dance_tabs_18812" TargetMode="External"/><Relationship Id="rId10" Type="http://schemas.openxmlformats.org/officeDocument/2006/relationships/hyperlink" Target="http://tabs.ultimate-guitar.com/tab/metallica/enter_sandman_tabs_29727" TargetMode="External"/><Relationship Id="rId31" Type="http://schemas.openxmlformats.org/officeDocument/2006/relationships/hyperlink" Target="http://tabs.ultimate-guitar.com/tab/free/all_right_now_tabs_271789" TargetMode="External"/><Relationship Id="rId52" Type="http://schemas.openxmlformats.org/officeDocument/2006/relationships/hyperlink" Target="http://tabs.ultimate-guitar.com/tab/muse/uprising_tabs_876472" TargetMode="External"/><Relationship Id="rId73" Type="http://schemas.openxmlformats.org/officeDocument/2006/relationships/hyperlink" Target="http://tabs.ultimate-guitar.com/tab/mr_big/to_be_with_you_chords_38105" TargetMode="External"/><Relationship Id="rId94" Type="http://schemas.openxmlformats.org/officeDocument/2006/relationships/hyperlink" Target="http://tabs.ultimate-guitar.com/tab/rush/tom_sawyer_tabs_55095" TargetMode="External"/><Relationship Id="rId148" Type="http://schemas.openxmlformats.org/officeDocument/2006/relationships/hyperlink" Target="https://tabs.ultimate-guitar.com/tab/system_of_a_down/chop_suey_tabs_2926" TargetMode="External"/><Relationship Id="rId169" Type="http://schemas.openxmlformats.org/officeDocument/2006/relationships/hyperlink" Target="https://tabs.ultimate-guitar.com/tab/acdc/have_a_drink_on_me_tabs_168695" TargetMode="External"/><Relationship Id="rId4" Type="http://schemas.openxmlformats.org/officeDocument/2006/relationships/hyperlink" Target="http://tabs.ultimate-guitar.com/tab/survivor/eye_of_the_tiger_tabs_50888" TargetMode="External"/><Relationship Id="rId180" Type="http://schemas.openxmlformats.org/officeDocument/2006/relationships/hyperlink" Target="https://tabs.ultimate-guitar.com/tab/nirvana/all_apologies_tabs_112704" TargetMode="External"/><Relationship Id="rId215" Type="http://schemas.openxmlformats.org/officeDocument/2006/relationships/hyperlink" Target="https://tabs.ultimate-guitar.com/tab/the_white_stripes/blue_orchid_tabs_178937" TargetMode="External"/><Relationship Id="rId236" Type="http://schemas.openxmlformats.org/officeDocument/2006/relationships/hyperlink" Target="https://tabs.ultimate-guitar.com/tab/alice_in_chains/sunshine_tabs_1874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28"/>
  <sheetViews>
    <sheetView workbookViewId="0">
      <selection activeCell="H21" sqref="H21"/>
    </sheetView>
  </sheetViews>
  <sheetFormatPr defaultColWidth="8.84375" defaultRowHeight="14.6" x14ac:dyDescent="0.4"/>
  <cols>
    <col min="1" max="1" width="6.15234375" customWidth="1"/>
    <col min="2" max="2" width="23.4609375" bestFit="1" customWidth="1"/>
    <col min="3" max="3" width="36.07421875" bestFit="1" customWidth="1"/>
    <col min="5" max="5" width="15.3046875" customWidth="1"/>
    <col min="6" max="6" width="10.3046875" customWidth="1"/>
    <col min="7" max="7" width="10.23046875" bestFit="1" customWidth="1"/>
    <col min="8" max="8" width="9.69140625" bestFit="1" customWidth="1"/>
    <col min="14" max="14" width="11.61328125" bestFit="1" customWidth="1"/>
    <col min="16" max="16" width="11.69140625" bestFit="1" customWidth="1"/>
    <col min="20" max="20" width="9.53515625" bestFit="1" customWidth="1"/>
  </cols>
  <sheetData>
    <row r="1" spans="1:16" x14ac:dyDescent="0.4">
      <c r="A1" s="28" t="s">
        <v>9</v>
      </c>
      <c r="B1" s="32"/>
      <c r="C1" s="29"/>
      <c r="E1" s="28" t="s">
        <v>30</v>
      </c>
      <c r="F1" s="32"/>
      <c r="G1" s="33"/>
      <c r="H1" s="34" t="s">
        <v>917</v>
      </c>
      <c r="I1" s="31" t="s">
        <v>918</v>
      </c>
      <c r="J1" s="34" t="s">
        <v>920</v>
      </c>
      <c r="K1" s="34" t="s">
        <v>919</v>
      </c>
      <c r="M1" s="28" t="s">
        <v>1</v>
      </c>
      <c r="N1" s="29"/>
    </row>
    <row r="2" spans="1:16" x14ac:dyDescent="0.4">
      <c r="A2" s="2">
        <v>1</v>
      </c>
      <c r="B2" s="2" t="s">
        <v>76</v>
      </c>
      <c r="C2" s="2" t="s">
        <v>607</v>
      </c>
      <c r="E2" s="2" t="s">
        <v>10</v>
      </c>
      <c r="F2" s="2" t="s">
        <v>752</v>
      </c>
      <c r="G2" s="23"/>
      <c r="H2" s="2">
        <f>COUNTIF(QuickGuitarRiffs!J:J, E2)</f>
        <v>66</v>
      </c>
      <c r="I2" s="2">
        <f>COUNTIFS(QuickGuitarRiffs!J:J, E2, QuickGuitarRiffs!F:F, 0)</f>
        <v>27</v>
      </c>
      <c r="J2" s="2">
        <v>21</v>
      </c>
      <c r="K2" s="2">
        <f>I2-J2</f>
        <v>6</v>
      </c>
      <c r="M2" s="2">
        <v>1</v>
      </c>
      <c r="N2" s="2" t="s">
        <v>31</v>
      </c>
    </row>
    <row r="3" spans="1:16" x14ac:dyDescent="0.4">
      <c r="A3" s="2">
        <v>2</v>
      </c>
      <c r="B3" s="2" t="s">
        <v>77</v>
      </c>
      <c r="C3" s="2" t="s">
        <v>608</v>
      </c>
      <c r="E3" s="2" t="s">
        <v>13</v>
      </c>
      <c r="F3" s="2" t="s">
        <v>787</v>
      </c>
      <c r="G3" s="26"/>
      <c r="H3" s="2">
        <f>COUNTIF(QuickGuitarRiffs!J:J, E3)</f>
        <v>84</v>
      </c>
      <c r="I3" s="2">
        <f>COUNTIFS(QuickGuitarRiffs!J:J, E3, QuickGuitarRiffs!F:F, 0)</f>
        <v>35</v>
      </c>
      <c r="J3" s="2">
        <v>21</v>
      </c>
      <c r="K3" s="2">
        <f t="shared" ref="K3:K25" si="0">I3-J3</f>
        <v>14</v>
      </c>
      <c r="M3" s="2">
        <v>2</v>
      </c>
      <c r="N3" s="2" t="s">
        <v>32</v>
      </c>
    </row>
    <row r="4" spans="1:16" x14ac:dyDescent="0.4">
      <c r="A4" s="2">
        <v>3</v>
      </c>
      <c r="B4" s="2" t="s">
        <v>618</v>
      </c>
      <c r="C4" s="2" t="s">
        <v>617</v>
      </c>
      <c r="E4" s="2" t="s">
        <v>17</v>
      </c>
      <c r="F4" s="2" t="s">
        <v>786</v>
      </c>
      <c r="G4" s="25"/>
      <c r="H4" s="2">
        <f>COUNTIF(QuickGuitarRiffs!J:J, E4)</f>
        <v>3</v>
      </c>
      <c r="I4" s="2">
        <f>COUNTIFS(QuickGuitarRiffs!J:J, E4, QuickGuitarRiffs!F:F, 0)</f>
        <v>1</v>
      </c>
      <c r="J4" s="2">
        <v>1</v>
      </c>
      <c r="K4" s="2">
        <f t="shared" si="0"/>
        <v>0</v>
      </c>
      <c r="M4" s="2">
        <v>3</v>
      </c>
      <c r="N4" s="2" t="s">
        <v>33</v>
      </c>
    </row>
    <row r="5" spans="1:16" x14ac:dyDescent="0.4">
      <c r="A5" s="2">
        <v>4</v>
      </c>
      <c r="B5" s="2" t="s">
        <v>622</v>
      </c>
      <c r="C5" s="2" t="s">
        <v>623</v>
      </c>
      <c r="E5" s="2" t="s">
        <v>14</v>
      </c>
      <c r="F5" s="2" t="s">
        <v>746</v>
      </c>
      <c r="G5" s="17"/>
      <c r="H5" s="2">
        <f>COUNTIF(QuickGuitarRiffs!J:J, E5)</f>
        <v>8</v>
      </c>
      <c r="I5" s="2">
        <f>COUNTIFS(QuickGuitarRiffs!J:J, E5, QuickGuitarRiffs!F:F, 0)</f>
        <v>4</v>
      </c>
      <c r="J5" s="2">
        <v>4</v>
      </c>
      <c r="K5" s="2">
        <f t="shared" si="0"/>
        <v>0</v>
      </c>
    </row>
    <row r="6" spans="1:16" x14ac:dyDescent="0.4">
      <c r="A6" s="2">
        <v>5</v>
      </c>
      <c r="B6" s="2" t="s">
        <v>625</v>
      </c>
      <c r="C6" s="2" t="s">
        <v>626</v>
      </c>
      <c r="E6" s="2" t="s">
        <v>11</v>
      </c>
      <c r="F6" s="2" t="s">
        <v>747</v>
      </c>
      <c r="G6" s="18"/>
      <c r="H6" s="2">
        <f>COUNTIF(QuickGuitarRiffs!J:J, E6)</f>
        <v>18</v>
      </c>
      <c r="I6" s="2">
        <f>COUNTIFS(QuickGuitarRiffs!J:J, E6, QuickGuitarRiffs!F:F, 0)</f>
        <v>8</v>
      </c>
      <c r="J6" s="2">
        <v>6</v>
      </c>
      <c r="K6" s="2">
        <f t="shared" si="0"/>
        <v>2</v>
      </c>
      <c r="M6" s="2"/>
      <c r="N6" s="34" t="s">
        <v>1512</v>
      </c>
      <c r="O6" s="34" t="s">
        <v>1513</v>
      </c>
      <c r="P6" s="34" t="s">
        <v>922</v>
      </c>
    </row>
    <row r="7" spans="1:16" x14ac:dyDescent="0.4">
      <c r="A7" s="10">
        <v>6</v>
      </c>
      <c r="B7" s="10" t="s">
        <v>629</v>
      </c>
      <c r="C7" s="10" t="s">
        <v>630</v>
      </c>
      <c r="E7" s="2" t="s">
        <v>20</v>
      </c>
      <c r="F7" s="2" t="s">
        <v>748</v>
      </c>
      <c r="G7" s="19"/>
      <c r="H7" s="2">
        <f>COUNTIF(QuickGuitarRiffs!J:J, E7)</f>
        <v>1</v>
      </c>
      <c r="I7" s="2">
        <f>COUNTIFS(QuickGuitarRiffs!J:J, E7, QuickGuitarRiffs!F:F, 0)</f>
        <v>1</v>
      </c>
      <c r="J7" s="2">
        <v>1</v>
      </c>
      <c r="K7" s="2">
        <f t="shared" si="0"/>
        <v>0</v>
      </c>
      <c r="M7" s="35" t="s">
        <v>918</v>
      </c>
      <c r="N7" s="2">
        <v>100</v>
      </c>
      <c r="O7" s="2">
        <v>40</v>
      </c>
      <c r="P7" s="2">
        <f>SUM(N7:O7)</f>
        <v>140</v>
      </c>
    </row>
    <row r="8" spans="1:16" x14ac:dyDescent="0.4">
      <c r="A8" s="10">
        <v>7</v>
      </c>
      <c r="B8" s="10" t="s">
        <v>632</v>
      </c>
      <c r="C8" s="10" t="s">
        <v>633</v>
      </c>
      <c r="E8" s="2" t="s">
        <v>12</v>
      </c>
      <c r="F8" s="2" t="s">
        <v>749</v>
      </c>
      <c r="G8" s="20"/>
      <c r="H8" s="2">
        <f>COUNTIF(QuickGuitarRiffs!J:J, E8)</f>
        <v>4</v>
      </c>
      <c r="I8" s="2">
        <f>COUNTIFS(QuickGuitarRiffs!J:J, E8, QuickGuitarRiffs!F:F, 0)</f>
        <v>2</v>
      </c>
      <c r="J8" s="2">
        <v>2</v>
      </c>
      <c r="K8" s="2">
        <f t="shared" si="0"/>
        <v>0</v>
      </c>
      <c r="M8" s="35" t="s">
        <v>75</v>
      </c>
      <c r="N8" s="2">
        <v>130</v>
      </c>
      <c r="O8" s="2">
        <v>60</v>
      </c>
      <c r="P8" s="2">
        <f>SUM(N8:O8)</f>
        <v>190</v>
      </c>
    </row>
    <row r="9" spans="1:16" x14ac:dyDescent="0.4">
      <c r="A9" s="10">
        <v>8</v>
      </c>
      <c r="B9" s="10" t="s">
        <v>635</v>
      </c>
      <c r="C9" s="10" t="s">
        <v>636</v>
      </c>
      <c r="E9" s="2" t="s">
        <v>21</v>
      </c>
      <c r="F9" s="2" t="s">
        <v>750</v>
      </c>
      <c r="G9" s="21"/>
      <c r="H9" s="2">
        <f>COUNTIF(QuickGuitarRiffs!J:J, E9)</f>
        <v>14</v>
      </c>
      <c r="I9" s="2">
        <f>COUNTIFS(QuickGuitarRiffs!J:J, E9, QuickGuitarRiffs!F:F, 0)</f>
        <v>6</v>
      </c>
      <c r="J9" s="2">
        <v>3</v>
      </c>
      <c r="K9" s="2">
        <f t="shared" si="0"/>
        <v>3</v>
      </c>
      <c r="M9" s="86"/>
    </row>
    <row r="10" spans="1:16" x14ac:dyDescent="0.4">
      <c r="A10" s="2">
        <v>9</v>
      </c>
      <c r="B10" s="2" t="s">
        <v>827</v>
      </c>
      <c r="C10" s="2" t="s">
        <v>934</v>
      </c>
      <c r="E10" s="2" t="s">
        <v>26</v>
      </c>
      <c r="F10" s="2" t="s">
        <v>74</v>
      </c>
      <c r="G10" s="9"/>
      <c r="H10" s="2">
        <f>COUNTIF(QuickGuitarRiffs!J:J, E10)</f>
        <v>2</v>
      </c>
      <c r="I10" s="2">
        <f>COUNTIFS(QuickGuitarRiffs!J:J, E10, QuickGuitarRiffs!F:F, 0)</f>
        <v>1</v>
      </c>
      <c r="J10" s="2">
        <v>1</v>
      </c>
      <c r="K10" s="2">
        <f t="shared" si="0"/>
        <v>0</v>
      </c>
    </row>
    <row r="11" spans="1:16" x14ac:dyDescent="0.4">
      <c r="A11" s="2">
        <v>10</v>
      </c>
      <c r="B11" s="2" t="s">
        <v>81</v>
      </c>
      <c r="C11" s="2" t="s">
        <v>832</v>
      </c>
      <c r="E11" s="2" t="s">
        <v>22</v>
      </c>
      <c r="F11" s="2" t="s">
        <v>751</v>
      </c>
      <c r="G11" s="22"/>
      <c r="H11" s="2">
        <f>COUNTIF(QuickGuitarRiffs!J:J, E11)</f>
        <v>5</v>
      </c>
      <c r="I11" s="2">
        <f>COUNTIFS(QuickGuitarRiffs!J:J, E11, QuickGuitarRiffs!F:F, 0)</f>
        <v>2</v>
      </c>
      <c r="J11" s="2">
        <v>2</v>
      </c>
      <c r="K11" s="2">
        <f t="shared" si="0"/>
        <v>0</v>
      </c>
    </row>
    <row r="12" spans="1:16" x14ac:dyDescent="0.4">
      <c r="A12" s="2">
        <v>11</v>
      </c>
      <c r="B12" s="2" t="s">
        <v>881</v>
      </c>
      <c r="C12" s="2" t="s">
        <v>882</v>
      </c>
      <c r="E12" s="2" t="s">
        <v>373</v>
      </c>
      <c r="F12" s="2" t="s">
        <v>788</v>
      </c>
      <c r="G12" s="27"/>
      <c r="H12" s="2">
        <f>COUNTIF(QuickGuitarRiffs!J:J, E12)</f>
        <v>11</v>
      </c>
      <c r="I12" s="2">
        <f>COUNTIFS(QuickGuitarRiffs!J:J, E12, QuickGuitarRiffs!F:F, 0)</f>
        <v>6</v>
      </c>
      <c r="J12" s="2">
        <v>6</v>
      </c>
      <c r="K12" s="2">
        <f t="shared" si="0"/>
        <v>0</v>
      </c>
    </row>
    <row r="13" spans="1:16" x14ac:dyDescent="0.4">
      <c r="A13" s="10">
        <v>12</v>
      </c>
      <c r="B13" s="10" t="s">
        <v>888</v>
      </c>
      <c r="C13" s="10" t="s">
        <v>889</v>
      </c>
      <c r="E13" s="2" t="s">
        <v>23</v>
      </c>
      <c r="F13" s="2" t="s">
        <v>740</v>
      </c>
      <c r="G13" s="11"/>
      <c r="H13" s="2">
        <f>COUNTIF(QuickGuitarRiffs!J:J, E13)</f>
        <v>2</v>
      </c>
      <c r="I13" s="2">
        <f>COUNTIFS(QuickGuitarRiffs!J:J, E13, QuickGuitarRiffs!F:F, 0)</f>
        <v>1</v>
      </c>
      <c r="J13" s="2">
        <v>1</v>
      </c>
      <c r="K13" s="2">
        <f t="shared" si="0"/>
        <v>0</v>
      </c>
    </row>
    <row r="14" spans="1:16" x14ac:dyDescent="0.4">
      <c r="A14" s="10">
        <v>13</v>
      </c>
      <c r="B14" s="10" t="s">
        <v>912</v>
      </c>
      <c r="C14" s="10" t="s">
        <v>913</v>
      </c>
      <c r="E14" s="2" t="s">
        <v>24</v>
      </c>
      <c r="F14" s="2" t="s">
        <v>740</v>
      </c>
      <c r="G14" s="11"/>
      <c r="H14" s="2">
        <f>COUNTIF(QuickGuitarRiffs!J:J, E14)</f>
        <v>3</v>
      </c>
      <c r="I14" s="2">
        <f>COUNTIFS(QuickGuitarRiffs!J:J, E14, QuickGuitarRiffs!F:F, 0)</f>
        <v>1</v>
      </c>
      <c r="J14" s="2">
        <v>1</v>
      </c>
      <c r="K14" s="2">
        <f t="shared" si="0"/>
        <v>0</v>
      </c>
    </row>
    <row r="15" spans="1:16" x14ac:dyDescent="0.4">
      <c r="A15" s="10">
        <v>14</v>
      </c>
      <c r="B15" s="10" t="s">
        <v>916</v>
      </c>
      <c r="C15" s="10" t="s">
        <v>916</v>
      </c>
      <c r="E15" s="2" t="s">
        <v>27</v>
      </c>
      <c r="F15" s="2" t="s">
        <v>741</v>
      </c>
      <c r="G15" s="12"/>
      <c r="H15" s="2">
        <f>COUNTIF(QuickGuitarRiffs!J:J, E15)</f>
        <v>13</v>
      </c>
      <c r="I15" s="2">
        <f>COUNTIFS(QuickGuitarRiffs!J:J, E15, QuickGuitarRiffs!F:F, 0)</f>
        <v>6</v>
      </c>
      <c r="J15" s="2">
        <v>5</v>
      </c>
      <c r="K15" s="2">
        <f t="shared" si="0"/>
        <v>1</v>
      </c>
    </row>
    <row r="16" spans="1:16" x14ac:dyDescent="0.4">
      <c r="A16" s="10">
        <v>15</v>
      </c>
      <c r="B16" s="10" t="s">
        <v>1444</v>
      </c>
      <c r="C16" s="10" t="s">
        <v>1444</v>
      </c>
      <c r="E16" s="2" t="s">
        <v>29</v>
      </c>
      <c r="F16" s="2" t="s">
        <v>742</v>
      </c>
      <c r="G16" s="13"/>
      <c r="H16" s="2">
        <f>COUNTIF(QuickGuitarRiffs!J:J, E16)</f>
        <v>5</v>
      </c>
      <c r="I16" s="2">
        <f>COUNTIFS(QuickGuitarRiffs!J:J, E16, QuickGuitarRiffs!F:F, 0)</f>
        <v>2</v>
      </c>
      <c r="J16" s="2">
        <v>2</v>
      </c>
      <c r="K16" s="2">
        <f t="shared" si="0"/>
        <v>0</v>
      </c>
    </row>
    <row r="17" spans="1:11" x14ac:dyDescent="0.4">
      <c r="A17" s="10">
        <v>16</v>
      </c>
      <c r="B17" s="10" t="s">
        <v>1478</v>
      </c>
      <c r="C17" s="10" t="s">
        <v>1479</v>
      </c>
      <c r="E17" s="2" t="s">
        <v>15</v>
      </c>
      <c r="F17" s="2" t="s">
        <v>753</v>
      </c>
      <c r="G17" s="24"/>
      <c r="H17" s="2">
        <f>COUNTIF(QuickGuitarRiffs!J:J, E17)</f>
        <v>65</v>
      </c>
      <c r="I17" s="2">
        <f>COUNTIFS(QuickGuitarRiffs!J:J, E17, QuickGuitarRiffs!F:F, 0)</f>
        <v>27</v>
      </c>
      <c r="J17" s="2">
        <v>16</v>
      </c>
      <c r="K17" s="2">
        <f t="shared" si="0"/>
        <v>11</v>
      </c>
    </row>
    <row r="18" spans="1:11" x14ac:dyDescent="0.4">
      <c r="A18" s="10">
        <v>17</v>
      </c>
      <c r="B18" s="10" t="s">
        <v>1495</v>
      </c>
      <c r="C18" s="10" t="s">
        <v>1495</v>
      </c>
      <c r="E18" s="2" t="s">
        <v>25</v>
      </c>
      <c r="F18" s="2" t="s">
        <v>753</v>
      </c>
      <c r="G18" s="24"/>
      <c r="H18" s="2">
        <f>COUNTIF(QuickGuitarRiffs!J:J, E18)</f>
        <v>2</v>
      </c>
      <c r="I18" s="2">
        <f>COUNTIFS(QuickGuitarRiffs!J:J, E18, QuickGuitarRiffs!F:F, 0)</f>
        <v>1</v>
      </c>
      <c r="J18" s="2">
        <v>1</v>
      </c>
      <c r="K18" s="2">
        <f t="shared" si="0"/>
        <v>0</v>
      </c>
    </row>
    <row r="19" spans="1:11" x14ac:dyDescent="0.4">
      <c r="E19" s="2" t="s">
        <v>16</v>
      </c>
      <c r="F19" s="2" t="s">
        <v>753</v>
      </c>
      <c r="G19" s="24"/>
      <c r="H19" s="2">
        <f>COUNTIF(QuickGuitarRiffs!J:J, E19)</f>
        <v>1</v>
      </c>
      <c r="I19" s="2">
        <f>COUNTIFS(QuickGuitarRiffs!J:J, E19, QuickGuitarRiffs!F:F, 0)</f>
        <v>0</v>
      </c>
      <c r="J19" s="2">
        <v>0</v>
      </c>
      <c r="K19" s="2">
        <f t="shared" si="0"/>
        <v>0</v>
      </c>
    </row>
    <row r="20" spans="1:11" x14ac:dyDescent="0.4">
      <c r="E20" s="2" t="s">
        <v>18</v>
      </c>
      <c r="F20" s="2" t="s">
        <v>743</v>
      </c>
      <c r="G20" s="14"/>
      <c r="H20" s="2">
        <f>COUNTIF(QuickGuitarRiffs!J:J, E20)</f>
        <v>1</v>
      </c>
      <c r="I20" s="2">
        <f>COUNTIFS(QuickGuitarRiffs!J:J, E20, QuickGuitarRiffs!F:F, 0)</f>
        <v>0</v>
      </c>
      <c r="J20" s="2">
        <v>0</v>
      </c>
      <c r="K20" s="2">
        <f t="shared" si="0"/>
        <v>0</v>
      </c>
    </row>
    <row r="21" spans="1:11" x14ac:dyDescent="0.4">
      <c r="E21" s="2" t="s">
        <v>19</v>
      </c>
      <c r="F21" s="2" t="s">
        <v>744</v>
      </c>
      <c r="G21" s="15"/>
      <c r="H21" s="2">
        <f>COUNTIF(QuickGuitarRiffs!J:J, E21)</f>
        <v>10</v>
      </c>
      <c r="I21" s="2">
        <f>COUNTIFS(QuickGuitarRiffs!J:J, E21, QuickGuitarRiffs!F:F, 0)</f>
        <v>4</v>
      </c>
      <c r="J21" s="2">
        <v>4</v>
      </c>
      <c r="K21" s="2">
        <f t="shared" si="0"/>
        <v>0</v>
      </c>
    </row>
    <row r="22" spans="1:11" x14ac:dyDescent="0.4">
      <c r="E22" s="2" t="s">
        <v>28</v>
      </c>
      <c r="F22" s="2" t="s">
        <v>745</v>
      </c>
      <c r="G22" s="16"/>
      <c r="H22" s="2">
        <f>COUNTIF(QuickGuitarRiffs!J:J, E22)</f>
        <v>2</v>
      </c>
      <c r="I22" s="2">
        <f>COUNTIFS(QuickGuitarRiffs!J:J, E22, QuickGuitarRiffs!F:F, 0)</f>
        <v>1</v>
      </c>
      <c r="J22" s="2">
        <v>1</v>
      </c>
      <c r="K22" s="2">
        <f t="shared" si="0"/>
        <v>0</v>
      </c>
    </row>
    <row r="23" spans="1:11" x14ac:dyDescent="0.4">
      <c r="E23" s="10" t="s">
        <v>372</v>
      </c>
      <c r="F23" s="2" t="s">
        <v>745</v>
      </c>
      <c r="G23" s="16"/>
      <c r="H23" s="2">
        <f>COUNTIF(QuickGuitarRiffs!J:J, E23)</f>
        <v>3</v>
      </c>
      <c r="I23" s="2">
        <f>COUNTIFS(QuickGuitarRiffs!J:J, E23, QuickGuitarRiffs!F:F, 0)</f>
        <v>1</v>
      </c>
      <c r="J23" s="2">
        <v>1</v>
      </c>
      <c r="K23" s="2">
        <f t="shared" si="0"/>
        <v>0</v>
      </c>
    </row>
    <row r="24" spans="1:11" x14ac:dyDescent="0.4">
      <c r="E24" s="10" t="s">
        <v>371</v>
      </c>
      <c r="F24" s="2" t="s">
        <v>745</v>
      </c>
      <c r="G24" s="16"/>
      <c r="H24" s="2">
        <f>COUNTIF(QuickGuitarRiffs!J:J, E24)</f>
        <v>1</v>
      </c>
      <c r="I24" s="2">
        <f>COUNTIFS(QuickGuitarRiffs!J:J, E24, QuickGuitarRiffs!F:F, 0)</f>
        <v>0</v>
      </c>
      <c r="J24" s="2">
        <v>0</v>
      </c>
      <c r="K24" s="2">
        <f t="shared" si="0"/>
        <v>0</v>
      </c>
    </row>
    <row r="25" spans="1:11" x14ac:dyDescent="0.4">
      <c r="E25" s="10" t="s">
        <v>374</v>
      </c>
      <c r="F25" s="2" t="s">
        <v>745</v>
      </c>
      <c r="G25" s="16"/>
      <c r="H25" s="2">
        <f>COUNTIF(QuickGuitarRiffs!J:J, E25)</f>
        <v>1</v>
      </c>
      <c r="I25" s="2">
        <f>COUNTIFS(QuickGuitarRiffs!J:J, E25, QuickGuitarRiffs!F:F, 0)</f>
        <v>0</v>
      </c>
      <c r="J25" s="2">
        <v>0</v>
      </c>
      <c r="K25" s="2">
        <f t="shared" si="0"/>
        <v>0</v>
      </c>
    </row>
    <row r="26" spans="1:11" x14ac:dyDescent="0.4">
      <c r="E26" s="10" t="s">
        <v>1254</v>
      </c>
      <c r="F26" s="2" t="s">
        <v>745</v>
      </c>
      <c r="G26" s="16"/>
      <c r="H26" s="2">
        <f>COUNTIF(QuickGuitarRiffs!J:J, E26)</f>
        <v>5</v>
      </c>
      <c r="I26" s="2">
        <f>COUNTIFS(QuickGuitarRiffs!J:J, E26, QuickGuitarRiffs!F:F, 0)</f>
        <v>3</v>
      </c>
      <c r="J26" s="2">
        <v>0</v>
      </c>
      <c r="K26" s="2">
        <f t="shared" ref="K26" si="1">I26-J26</f>
        <v>3</v>
      </c>
    </row>
    <row r="27" spans="1:11" x14ac:dyDescent="0.4">
      <c r="H27">
        <f>SUM(H2:H25)</f>
        <v>325</v>
      </c>
      <c r="I27">
        <f>SUM(I2:I26)</f>
        <v>140</v>
      </c>
    </row>
    <row r="28" spans="1:11" x14ac:dyDescent="0.4">
      <c r="I28">
        <v>140</v>
      </c>
    </row>
  </sheetData>
  <sortState ref="F32:F78">
    <sortCondition ref="F31"/>
  </sortState>
  <conditionalFormatting sqref="K2:K25">
    <cfRule type="cellIs" dxfId="1" priority="2" operator="equal">
      <formula>0</formula>
    </cfRule>
  </conditionalFormatting>
  <conditionalFormatting sqref="K26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Guitar">
                <anchor moveWithCells="1" sizeWithCells="1">
                  <from>
                    <xdr:col>12</xdr:col>
                    <xdr:colOff>130629</xdr:colOff>
                    <xdr:row>9</xdr:row>
                    <xdr:rowOff>48986</xdr:rowOff>
                  </from>
                  <to>
                    <xdr:col>13</xdr:col>
                    <xdr:colOff>647700</xdr:colOff>
                    <xdr:row>12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36"/>
  <sheetViews>
    <sheetView workbookViewId="0">
      <selection activeCell="D38" sqref="D38"/>
    </sheetView>
  </sheetViews>
  <sheetFormatPr defaultRowHeight="14.6" x14ac:dyDescent="0.4"/>
  <cols>
    <col min="1" max="1" width="15.3828125" bestFit="1" customWidth="1"/>
    <col min="2" max="9" width="6.3046875" customWidth="1"/>
  </cols>
  <sheetData>
    <row r="1" spans="1:18" x14ac:dyDescent="0.4">
      <c r="B1">
        <v>0</v>
      </c>
      <c r="G1">
        <v>1</v>
      </c>
      <c r="J1">
        <f>SUM(J5:J28)</f>
        <v>267</v>
      </c>
    </row>
    <row r="2" spans="1:18" x14ac:dyDescent="0.4">
      <c r="A2" s="37"/>
      <c r="B2" s="100" t="s">
        <v>918</v>
      </c>
      <c r="C2" s="100"/>
      <c r="D2" s="100"/>
      <c r="E2" s="101"/>
      <c r="F2" s="97" t="s">
        <v>921</v>
      </c>
      <c r="G2" s="98"/>
      <c r="H2" s="98"/>
      <c r="I2" s="99"/>
      <c r="J2" s="88" t="s">
        <v>926</v>
      </c>
      <c r="K2" s="89"/>
      <c r="L2" s="90"/>
      <c r="M2" s="102" t="s">
        <v>1</v>
      </c>
      <c r="N2" s="102"/>
      <c r="O2" s="102"/>
      <c r="P2" s="102"/>
      <c r="Q2" s="102"/>
      <c r="R2" s="102"/>
    </row>
    <row r="3" spans="1:18" x14ac:dyDescent="0.4">
      <c r="A3" s="34"/>
      <c r="B3" s="40" t="s">
        <v>375</v>
      </c>
      <c r="C3" s="40" t="s">
        <v>376</v>
      </c>
      <c r="D3" s="39" t="s">
        <v>377</v>
      </c>
      <c r="E3" s="93" t="s">
        <v>922</v>
      </c>
      <c r="F3" s="38" t="s">
        <v>375</v>
      </c>
      <c r="G3" s="38" t="s">
        <v>376</v>
      </c>
      <c r="H3" s="38" t="s">
        <v>377</v>
      </c>
      <c r="I3" s="95" t="s">
        <v>922</v>
      </c>
      <c r="J3" s="91" t="s">
        <v>922</v>
      </c>
      <c r="K3" s="91" t="s">
        <v>923</v>
      </c>
      <c r="L3" s="91" t="s">
        <v>924</v>
      </c>
      <c r="M3" s="103" t="s">
        <v>925</v>
      </c>
      <c r="N3" s="103" t="s">
        <v>927</v>
      </c>
      <c r="O3" s="103" t="s">
        <v>928</v>
      </c>
      <c r="P3" s="103" t="s">
        <v>929</v>
      </c>
      <c r="Q3" s="103" t="s">
        <v>930</v>
      </c>
      <c r="R3" s="103" t="s">
        <v>931</v>
      </c>
    </row>
    <row r="4" spans="1:18" x14ac:dyDescent="0.4">
      <c r="A4" s="2"/>
      <c r="B4" s="40">
        <v>1</v>
      </c>
      <c r="C4" s="40">
        <v>2</v>
      </c>
      <c r="D4" s="40">
        <v>3</v>
      </c>
      <c r="E4" s="94"/>
      <c r="F4" s="38">
        <v>1</v>
      </c>
      <c r="G4" s="38">
        <v>2</v>
      </c>
      <c r="H4" s="38">
        <v>3</v>
      </c>
      <c r="I4" s="96"/>
      <c r="J4" s="92"/>
      <c r="K4" s="92"/>
      <c r="L4" s="92"/>
      <c r="M4" s="103"/>
      <c r="N4" s="103"/>
      <c r="O4" s="103"/>
      <c r="P4" s="103"/>
      <c r="Q4" s="103"/>
      <c r="R4" s="103"/>
    </row>
    <row r="5" spans="1:18" x14ac:dyDescent="0.4">
      <c r="A5" s="35" t="s">
        <v>10</v>
      </c>
      <c r="B5" s="41">
        <f>COUNTIFS(QuickGuitarRiffs!$J:$J, $A5, QuickGuitarRiffs!$F:$F, $B$1, QuickGuitarRiffs!$B:$B, B$4)</f>
        <v>10</v>
      </c>
      <c r="C5" s="41">
        <f>COUNTIFS(QuickGuitarRiffs!$J:$J, $A5, QuickGuitarRiffs!$F:$F, $B$1, QuickGuitarRiffs!$B:$B, C$4)</f>
        <v>13</v>
      </c>
      <c r="D5" s="41">
        <f>COUNTIFS(QuickGuitarRiffs!$J:$J, $A5, QuickGuitarRiffs!$F:$F, $B$1, QuickGuitarRiffs!$B:$B, D$4)</f>
        <v>4</v>
      </c>
      <c r="E5" s="41">
        <f>SUM(B5:D5)</f>
        <v>27</v>
      </c>
      <c r="F5" s="9">
        <f>COUNTIFS(QuickGuitarRiffs!$J:$J, $A5, QuickGuitarRiffs!$F:$F, $G$1, QuickGuitarRiffs!$B:$B, F$4)</f>
        <v>12</v>
      </c>
      <c r="G5" s="9">
        <f>COUNTIFS(QuickGuitarRiffs!$J:$J, $A5, QuickGuitarRiffs!$F:$F, $G$1, QuickGuitarRiffs!$B:$B, G$4)</f>
        <v>11</v>
      </c>
      <c r="H5" s="9">
        <f>COUNTIFS(QuickGuitarRiffs!$J:$J, $A5, QuickGuitarRiffs!$F:$F, $G$1, QuickGuitarRiffs!$B:$B, H$4)</f>
        <v>5</v>
      </c>
      <c r="I5" s="9">
        <f>SUM(F5:H5)</f>
        <v>28</v>
      </c>
      <c r="J5" s="42">
        <f>E5+I5</f>
        <v>55</v>
      </c>
      <c r="K5" s="42">
        <f>IF(J5=0, 0, E5/J5)</f>
        <v>0.49090909090909091</v>
      </c>
      <c r="L5" s="42">
        <f>IF(I5=0, 0, E5/I5)</f>
        <v>0.9642857142857143</v>
      </c>
      <c r="M5" s="43">
        <f>B5+F5</f>
        <v>22</v>
      </c>
      <c r="N5" s="43">
        <f t="shared" ref="N5" si="0">C5+G5</f>
        <v>24</v>
      </c>
      <c r="O5" s="43">
        <f>D5+H5</f>
        <v>9</v>
      </c>
      <c r="P5" s="43">
        <f>IF(M5=0, 0, B5/M5)</f>
        <v>0.45454545454545453</v>
      </c>
      <c r="Q5" s="43">
        <f>IF(N5=0, 0, C5/N5)</f>
        <v>0.54166666666666663</v>
      </c>
      <c r="R5" s="43">
        <f>IF(O5=0, 0, D5/O5)</f>
        <v>0.44444444444444442</v>
      </c>
    </row>
    <row r="6" spans="1:18" x14ac:dyDescent="0.4">
      <c r="A6" s="35" t="s">
        <v>13</v>
      </c>
      <c r="B6" s="41">
        <f>COUNTIFS(QuickGuitarRiffs!$J:$J, $A6, QuickGuitarRiffs!$F:$F, $B$1, QuickGuitarRiffs!$B:$B, B$4)</f>
        <v>13</v>
      </c>
      <c r="C6" s="41">
        <f>COUNTIFS(QuickGuitarRiffs!$J:$J, $A6, QuickGuitarRiffs!$F:$F, $B$1, QuickGuitarRiffs!$B:$B, C$4)</f>
        <v>19</v>
      </c>
      <c r="D6" s="41">
        <f>COUNTIFS(QuickGuitarRiffs!$J:$J, $A6, QuickGuitarRiffs!$F:$F, $B$1, QuickGuitarRiffs!$B:$B, D$4)</f>
        <v>3</v>
      </c>
      <c r="E6" s="41">
        <f t="shared" ref="E6:E28" si="1">SUM(B6:D6)</f>
        <v>35</v>
      </c>
      <c r="F6" s="9">
        <f>COUNTIFS(QuickGuitarRiffs!$J:$J, $A6, QuickGuitarRiffs!$F:$F, $G$1, QuickGuitarRiffs!$B:$B, F$4)</f>
        <v>12</v>
      </c>
      <c r="G6" s="9">
        <f>COUNTIFS(QuickGuitarRiffs!$J:$J, $A6, QuickGuitarRiffs!$F:$F, $G$1, QuickGuitarRiffs!$B:$B, G$4)</f>
        <v>13</v>
      </c>
      <c r="H6" s="9">
        <f>COUNTIFS(QuickGuitarRiffs!$J:$J, $A6, QuickGuitarRiffs!$F:$F, $G$1, QuickGuitarRiffs!$B:$B, H$4)</f>
        <v>2</v>
      </c>
      <c r="I6" s="9">
        <f t="shared" ref="I6:I28" si="2">SUM(F6:H6)</f>
        <v>27</v>
      </c>
      <c r="J6" s="42">
        <f t="shared" ref="J6:J28" si="3">E6+I6</f>
        <v>62</v>
      </c>
      <c r="K6" s="42">
        <f t="shared" ref="K6:K28" si="4">IF(J6=0, 0, E6/J6)</f>
        <v>0.56451612903225812</v>
      </c>
      <c r="L6" s="42">
        <f t="shared" ref="L6:L28" si="5">IF(I6=0, 0, E6/I6)</f>
        <v>1.2962962962962963</v>
      </c>
      <c r="M6" s="43">
        <f t="shared" ref="M6:M28" si="6">B6+F6</f>
        <v>25</v>
      </c>
      <c r="N6" s="43">
        <f t="shared" ref="N6:N28" si="7">C6+G6</f>
        <v>32</v>
      </c>
      <c r="O6" s="43">
        <f t="shared" ref="O6:O28" si="8">D6+H6</f>
        <v>5</v>
      </c>
      <c r="P6" s="43">
        <f t="shared" ref="P6:P28" si="9">IF(M6=0, 0, B6/M6)</f>
        <v>0.52</v>
      </c>
      <c r="Q6" s="43">
        <f t="shared" ref="Q6:Q28" si="10">IF(N6=0, 0, C6/N6)</f>
        <v>0.59375</v>
      </c>
      <c r="R6" s="43">
        <f t="shared" ref="R6:R28" si="11">IF(O6=0, 0, D6/O6)</f>
        <v>0.6</v>
      </c>
    </row>
    <row r="7" spans="1:18" x14ac:dyDescent="0.4">
      <c r="A7" s="35" t="s">
        <v>17</v>
      </c>
      <c r="B7" s="41">
        <f>COUNTIFS(QuickGuitarRiffs!$J:$J, $A7, QuickGuitarRiffs!$F:$F, $B$1, QuickGuitarRiffs!$B:$B, B$4)</f>
        <v>1</v>
      </c>
      <c r="C7" s="41">
        <f>COUNTIFS(QuickGuitarRiffs!$J:$J, $A7, QuickGuitarRiffs!$F:$F, $B$1, QuickGuitarRiffs!$B:$B, C$4)</f>
        <v>0</v>
      </c>
      <c r="D7" s="41">
        <f>COUNTIFS(QuickGuitarRiffs!$J:$J, $A7, QuickGuitarRiffs!$F:$F, $B$1, QuickGuitarRiffs!$B:$B, D$4)</f>
        <v>0</v>
      </c>
      <c r="E7" s="41">
        <f t="shared" si="1"/>
        <v>1</v>
      </c>
      <c r="F7" s="9">
        <f>COUNTIFS(QuickGuitarRiffs!$J:$J, $A7, QuickGuitarRiffs!$F:$F, $G$1, QuickGuitarRiffs!$B:$B, F$4)</f>
        <v>1</v>
      </c>
      <c r="G7" s="9">
        <f>COUNTIFS(QuickGuitarRiffs!$J:$J, $A7, QuickGuitarRiffs!$F:$F, $G$1, QuickGuitarRiffs!$B:$B, G$4)</f>
        <v>1</v>
      </c>
      <c r="H7" s="9">
        <f>COUNTIFS(QuickGuitarRiffs!$J:$J, $A7, QuickGuitarRiffs!$F:$F, $G$1, QuickGuitarRiffs!$B:$B, H$4)</f>
        <v>0</v>
      </c>
      <c r="I7" s="9">
        <f t="shared" si="2"/>
        <v>2</v>
      </c>
      <c r="J7" s="42">
        <f t="shared" si="3"/>
        <v>3</v>
      </c>
      <c r="K7" s="42">
        <f t="shared" si="4"/>
        <v>0.33333333333333331</v>
      </c>
      <c r="L7" s="42">
        <f t="shared" si="5"/>
        <v>0.5</v>
      </c>
      <c r="M7" s="43">
        <f t="shared" si="6"/>
        <v>2</v>
      </c>
      <c r="N7" s="43">
        <f t="shared" si="7"/>
        <v>1</v>
      </c>
      <c r="O7" s="43">
        <f t="shared" si="8"/>
        <v>0</v>
      </c>
      <c r="P7" s="43">
        <f t="shared" si="9"/>
        <v>0.5</v>
      </c>
      <c r="Q7" s="43">
        <f t="shared" si="10"/>
        <v>0</v>
      </c>
      <c r="R7" s="43">
        <f t="shared" si="11"/>
        <v>0</v>
      </c>
    </row>
    <row r="8" spans="1:18" x14ac:dyDescent="0.4">
      <c r="A8" s="35" t="s">
        <v>14</v>
      </c>
      <c r="B8" s="41">
        <f>COUNTIFS(QuickGuitarRiffs!$J:$J, $A8, QuickGuitarRiffs!$F:$F, $B$1, QuickGuitarRiffs!$B:$B, B$4)</f>
        <v>3</v>
      </c>
      <c r="C8" s="41">
        <f>COUNTIFS(QuickGuitarRiffs!$J:$J, $A8, QuickGuitarRiffs!$F:$F, $B$1, QuickGuitarRiffs!$B:$B, C$4)</f>
        <v>0</v>
      </c>
      <c r="D8" s="41">
        <f>COUNTIFS(QuickGuitarRiffs!$J:$J, $A8, QuickGuitarRiffs!$F:$F, $B$1, QuickGuitarRiffs!$B:$B, D$4)</f>
        <v>1</v>
      </c>
      <c r="E8" s="41">
        <f t="shared" si="1"/>
        <v>4</v>
      </c>
      <c r="F8" s="9">
        <f>COUNTIFS(QuickGuitarRiffs!$J:$J, $A8, QuickGuitarRiffs!$F:$F, $G$1, QuickGuitarRiffs!$B:$B, F$4)</f>
        <v>3</v>
      </c>
      <c r="G8" s="9">
        <f>COUNTIFS(QuickGuitarRiffs!$J:$J, $A8, QuickGuitarRiffs!$F:$F, $G$1, QuickGuitarRiffs!$B:$B, G$4)</f>
        <v>0</v>
      </c>
      <c r="H8" s="9">
        <f>COUNTIFS(QuickGuitarRiffs!$J:$J, $A8, QuickGuitarRiffs!$F:$F, $G$1, QuickGuitarRiffs!$B:$B, H$4)</f>
        <v>1</v>
      </c>
      <c r="I8" s="9">
        <f t="shared" si="2"/>
        <v>4</v>
      </c>
      <c r="J8" s="42">
        <f t="shared" si="3"/>
        <v>8</v>
      </c>
      <c r="K8" s="42">
        <f t="shared" si="4"/>
        <v>0.5</v>
      </c>
      <c r="L8" s="42">
        <f t="shared" si="5"/>
        <v>1</v>
      </c>
      <c r="M8" s="43">
        <f t="shared" si="6"/>
        <v>6</v>
      </c>
      <c r="N8" s="43">
        <f t="shared" si="7"/>
        <v>0</v>
      </c>
      <c r="O8" s="43">
        <f t="shared" si="8"/>
        <v>2</v>
      </c>
      <c r="P8" s="43">
        <f t="shared" si="9"/>
        <v>0.5</v>
      </c>
      <c r="Q8" s="43">
        <f t="shared" si="10"/>
        <v>0</v>
      </c>
      <c r="R8" s="43">
        <f t="shared" si="11"/>
        <v>0.5</v>
      </c>
    </row>
    <row r="9" spans="1:18" x14ac:dyDescent="0.4">
      <c r="A9" s="35" t="s">
        <v>11</v>
      </c>
      <c r="B9" s="41">
        <f>COUNTIFS(QuickGuitarRiffs!$J:$J, $A9, QuickGuitarRiffs!$F:$F, $B$1, QuickGuitarRiffs!$B:$B, B$4)</f>
        <v>3</v>
      </c>
      <c r="C9" s="41">
        <f>COUNTIFS(QuickGuitarRiffs!$J:$J, $A9, QuickGuitarRiffs!$F:$F, $B$1, QuickGuitarRiffs!$B:$B, C$4)</f>
        <v>4</v>
      </c>
      <c r="D9" s="41">
        <f>COUNTIFS(QuickGuitarRiffs!$J:$J, $A9, QuickGuitarRiffs!$F:$F, $B$1, QuickGuitarRiffs!$B:$B, D$4)</f>
        <v>1</v>
      </c>
      <c r="E9" s="41">
        <f t="shared" si="1"/>
        <v>8</v>
      </c>
      <c r="F9" s="9">
        <f>COUNTIFS(QuickGuitarRiffs!$J:$J, $A9, QuickGuitarRiffs!$F:$F, $G$1, QuickGuitarRiffs!$B:$B, F$4)</f>
        <v>6</v>
      </c>
      <c r="G9" s="9">
        <f>COUNTIFS(QuickGuitarRiffs!$J:$J, $A9, QuickGuitarRiffs!$F:$F, $G$1, QuickGuitarRiffs!$B:$B, G$4)</f>
        <v>2</v>
      </c>
      <c r="H9" s="9">
        <f>COUNTIFS(QuickGuitarRiffs!$J:$J, $A9, QuickGuitarRiffs!$F:$F, $G$1, QuickGuitarRiffs!$B:$B, H$4)</f>
        <v>0</v>
      </c>
      <c r="I9" s="9">
        <f t="shared" si="2"/>
        <v>8</v>
      </c>
      <c r="J9" s="42">
        <f t="shared" si="3"/>
        <v>16</v>
      </c>
      <c r="K9" s="42">
        <f t="shared" si="4"/>
        <v>0.5</v>
      </c>
      <c r="L9" s="42">
        <f t="shared" si="5"/>
        <v>1</v>
      </c>
      <c r="M9" s="43">
        <f t="shared" si="6"/>
        <v>9</v>
      </c>
      <c r="N9" s="43">
        <f t="shared" si="7"/>
        <v>6</v>
      </c>
      <c r="O9" s="43">
        <f t="shared" si="8"/>
        <v>1</v>
      </c>
      <c r="P9" s="43">
        <f t="shared" si="9"/>
        <v>0.33333333333333331</v>
      </c>
      <c r="Q9" s="43">
        <f t="shared" si="10"/>
        <v>0.66666666666666663</v>
      </c>
      <c r="R9" s="43">
        <f t="shared" si="11"/>
        <v>1</v>
      </c>
    </row>
    <row r="10" spans="1:18" x14ac:dyDescent="0.4">
      <c r="A10" s="35" t="s">
        <v>20</v>
      </c>
      <c r="B10" s="41">
        <f>COUNTIFS(QuickGuitarRiffs!$J:$J, $A10, QuickGuitarRiffs!$F:$F, $B$1, QuickGuitarRiffs!$B:$B, B$4)</f>
        <v>0</v>
      </c>
      <c r="C10" s="41">
        <f>COUNTIFS(QuickGuitarRiffs!$J:$J, $A10, QuickGuitarRiffs!$F:$F, $B$1, QuickGuitarRiffs!$B:$B, C$4)</f>
        <v>1</v>
      </c>
      <c r="D10" s="41">
        <f>COUNTIFS(QuickGuitarRiffs!$J:$J, $A10, QuickGuitarRiffs!$F:$F, $B$1, QuickGuitarRiffs!$B:$B, D$4)</f>
        <v>0</v>
      </c>
      <c r="E10" s="41">
        <f t="shared" si="1"/>
        <v>1</v>
      </c>
      <c r="F10" s="9">
        <f>COUNTIFS(QuickGuitarRiffs!$J:$J, $A10, QuickGuitarRiffs!$F:$F, $G$1, QuickGuitarRiffs!$B:$B, F$4)</f>
        <v>0</v>
      </c>
      <c r="G10" s="9">
        <f>COUNTIFS(QuickGuitarRiffs!$J:$J, $A10, QuickGuitarRiffs!$F:$F, $G$1, QuickGuitarRiffs!$B:$B, G$4)</f>
        <v>0</v>
      </c>
      <c r="H10" s="9">
        <f>COUNTIFS(QuickGuitarRiffs!$J:$J, $A10, QuickGuitarRiffs!$F:$F, $G$1, QuickGuitarRiffs!$B:$B, H$4)</f>
        <v>0</v>
      </c>
      <c r="I10" s="9">
        <f t="shared" si="2"/>
        <v>0</v>
      </c>
      <c r="J10" s="42">
        <f t="shared" si="3"/>
        <v>1</v>
      </c>
      <c r="K10" s="42">
        <f t="shared" si="4"/>
        <v>1</v>
      </c>
      <c r="L10" s="42">
        <f t="shared" si="5"/>
        <v>0</v>
      </c>
      <c r="M10" s="43">
        <f t="shared" si="6"/>
        <v>0</v>
      </c>
      <c r="N10" s="43">
        <f t="shared" si="7"/>
        <v>1</v>
      </c>
      <c r="O10" s="43">
        <f t="shared" si="8"/>
        <v>0</v>
      </c>
      <c r="P10" s="43">
        <f t="shared" si="9"/>
        <v>0</v>
      </c>
      <c r="Q10" s="43">
        <f t="shared" si="10"/>
        <v>1</v>
      </c>
      <c r="R10" s="43">
        <f t="shared" si="11"/>
        <v>0</v>
      </c>
    </row>
    <row r="11" spans="1:18" x14ac:dyDescent="0.4">
      <c r="A11" s="35" t="s">
        <v>12</v>
      </c>
      <c r="B11" s="41">
        <f>COUNTIFS(QuickGuitarRiffs!$J:$J, $A11, QuickGuitarRiffs!$F:$F, $B$1, QuickGuitarRiffs!$B:$B, B$4)</f>
        <v>1</v>
      </c>
      <c r="C11" s="41">
        <f>COUNTIFS(QuickGuitarRiffs!$J:$J, $A11, QuickGuitarRiffs!$F:$F, $B$1, QuickGuitarRiffs!$B:$B, C$4)</f>
        <v>1</v>
      </c>
      <c r="D11" s="41">
        <f>COUNTIFS(QuickGuitarRiffs!$J:$J, $A11, QuickGuitarRiffs!$F:$F, $B$1, QuickGuitarRiffs!$B:$B, D$4)</f>
        <v>0</v>
      </c>
      <c r="E11" s="41">
        <f t="shared" si="1"/>
        <v>2</v>
      </c>
      <c r="F11" s="9">
        <f>COUNTIFS(QuickGuitarRiffs!$J:$J, $A11, QuickGuitarRiffs!$F:$F, $G$1, QuickGuitarRiffs!$B:$B, F$4)</f>
        <v>1</v>
      </c>
      <c r="G11" s="9">
        <f>COUNTIFS(QuickGuitarRiffs!$J:$J, $A11, QuickGuitarRiffs!$F:$F, $G$1, QuickGuitarRiffs!$B:$B, G$4)</f>
        <v>0</v>
      </c>
      <c r="H11" s="9">
        <f>COUNTIFS(QuickGuitarRiffs!$J:$J, $A11, QuickGuitarRiffs!$F:$F, $G$1, QuickGuitarRiffs!$B:$B, H$4)</f>
        <v>1</v>
      </c>
      <c r="I11" s="9">
        <f t="shared" si="2"/>
        <v>2</v>
      </c>
      <c r="J11" s="42">
        <f t="shared" si="3"/>
        <v>4</v>
      </c>
      <c r="K11" s="42">
        <f t="shared" si="4"/>
        <v>0.5</v>
      </c>
      <c r="L11" s="42">
        <f t="shared" si="5"/>
        <v>1</v>
      </c>
      <c r="M11" s="43">
        <f t="shared" si="6"/>
        <v>2</v>
      </c>
      <c r="N11" s="43">
        <f t="shared" si="7"/>
        <v>1</v>
      </c>
      <c r="O11" s="43">
        <f t="shared" si="8"/>
        <v>1</v>
      </c>
      <c r="P11" s="43">
        <f t="shared" si="9"/>
        <v>0.5</v>
      </c>
      <c r="Q11" s="43">
        <f t="shared" si="10"/>
        <v>1</v>
      </c>
      <c r="R11" s="43">
        <f t="shared" si="11"/>
        <v>0</v>
      </c>
    </row>
    <row r="12" spans="1:18" x14ac:dyDescent="0.4">
      <c r="A12" s="35" t="s">
        <v>21</v>
      </c>
      <c r="B12" s="41">
        <f>COUNTIFS(QuickGuitarRiffs!$J:$J, $A12, QuickGuitarRiffs!$F:$F, $B$1, QuickGuitarRiffs!$B:$B, B$4)</f>
        <v>1</v>
      </c>
      <c r="C12" s="41">
        <f>COUNTIFS(QuickGuitarRiffs!$J:$J, $A12, QuickGuitarRiffs!$F:$F, $B$1, QuickGuitarRiffs!$B:$B, C$4)</f>
        <v>4</v>
      </c>
      <c r="D12" s="41">
        <f>COUNTIFS(QuickGuitarRiffs!$J:$J, $A12, QuickGuitarRiffs!$F:$F, $B$1, QuickGuitarRiffs!$B:$B, D$4)</f>
        <v>1</v>
      </c>
      <c r="E12" s="41">
        <f t="shared" si="1"/>
        <v>6</v>
      </c>
      <c r="F12" s="9">
        <f>COUNTIFS(QuickGuitarRiffs!$J:$J, $A12, QuickGuitarRiffs!$F:$F, $G$1, QuickGuitarRiffs!$B:$B, F$4)</f>
        <v>1</v>
      </c>
      <c r="G12" s="9">
        <f>COUNTIFS(QuickGuitarRiffs!$J:$J, $A12, QuickGuitarRiffs!$F:$F, $G$1, QuickGuitarRiffs!$B:$B, G$4)</f>
        <v>0</v>
      </c>
      <c r="H12" s="9">
        <f>COUNTIFS(QuickGuitarRiffs!$J:$J, $A12, QuickGuitarRiffs!$F:$F, $G$1, QuickGuitarRiffs!$B:$B, H$4)</f>
        <v>2</v>
      </c>
      <c r="I12" s="9">
        <f t="shared" si="2"/>
        <v>3</v>
      </c>
      <c r="J12" s="42">
        <f t="shared" si="3"/>
        <v>9</v>
      </c>
      <c r="K12" s="42">
        <f t="shared" si="4"/>
        <v>0.66666666666666663</v>
      </c>
      <c r="L12" s="42">
        <f t="shared" si="5"/>
        <v>2</v>
      </c>
      <c r="M12" s="43">
        <f t="shared" si="6"/>
        <v>2</v>
      </c>
      <c r="N12" s="43">
        <f t="shared" si="7"/>
        <v>4</v>
      </c>
      <c r="O12" s="43">
        <f t="shared" si="8"/>
        <v>3</v>
      </c>
      <c r="P12" s="43">
        <f t="shared" si="9"/>
        <v>0.5</v>
      </c>
      <c r="Q12" s="43">
        <f t="shared" si="10"/>
        <v>1</v>
      </c>
      <c r="R12" s="43">
        <f t="shared" si="11"/>
        <v>0.33333333333333331</v>
      </c>
    </row>
    <row r="13" spans="1:18" x14ac:dyDescent="0.4">
      <c r="A13" s="35" t="s">
        <v>26</v>
      </c>
      <c r="B13" s="41">
        <f>COUNTIFS(QuickGuitarRiffs!$J:$J, $A13, QuickGuitarRiffs!$F:$F, $B$1, QuickGuitarRiffs!$B:$B, B$4)</f>
        <v>0</v>
      </c>
      <c r="C13" s="41">
        <f>COUNTIFS(QuickGuitarRiffs!$J:$J, $A13, QuickGuitarRiffs!$F:$F, $B$1, QuickGuitarRiffs!$B:$B, C$4)</f>
        <v>0</v>
      </c>
      <c r="D13" s="41">
        <f>COUNTIFS(QuickGuitarRiffs!$J:$J, $A13, QuickGuitarRiffs!$F:$F, $B$1, QuickGuitarRiffs!$B:$B, D$4)</f>
        <v>1</v>
      </c>
      <c r="E13" s="41">
        <f t="shared" si="1"/>
        <v>1</v>
      </c>
      <c r="F13" s="9">
        <f>COUNTIFS(QuickGuitarRiffs!$J:$J, $A13, QuickGuitarRiffs!$F:$F, $G$1, QuickGuitarRiffs!$B:$B, F$4)</f>
        <v>0</v>
      </c>
      <c r="G13" s="9">
        <f>COUNTIFS(QuickGuitarRiffs!$J:$J, $A13, QuickGuitarRiffs!$F:$F, $G$1, QuickGuitarRiffs!$B:$B, G$4)</f>
        <v>1</v>
      </c>
      <c r="H13" s="9">
        <f>COUNTIFS(QuickGuitarRiffs!$J:$J, $A13, QuickGuitarRiffs!$F:$F, $G$1, QuickGuitarRiffs!$B:$B, H$4)</f>
        <v>0</v>
      </c>
      <c r="I13" s="9">
        <f t="shared" si="2"/>
        <v>1</v>
      </c>
      <c r="J13" s="42">
        <f t="shared" si="3"/>
        <v>2</v>
      </c>
      <c r="K13" s="42">
        <f t="shared" si="4"/>
        <v>0.5</v>
      </c>
      <c r="L13" s="42">
        <f t="shared" si="5"/>
        <v>1</v>
      </c>
      <c r="M13" s="43">
        <f t="shared" si="6"/>
        <v>0</v>
      </c>
      <c r="N13" s="43">
        <f t="shared" si="7"/>
        <v>1</v>
      </c>
      <c r="O13" s="43">
        <f t="shared" si="8"/>
        <v>1</v>
      </c>
      <c r="P13" s="43">
        <f t="shared" si="9"/>
        <v>0</v>
      </c>
      <c r="Q13" s="43">
        <f t="shared" si="10"/>
        <v>0</v>
      </c>
      <c r="R13" s="43">
        <f t="shared" si="11"/>
        <v>1</v>
      </c>
    </row>
    <row r="14" spans="1:18" x14ac:dyDescent="0.4">
      <c r="A14" s="35" t="s">
        <v>22</v>
      </c>
      <c r="B14" s="41">
        <f>COUNTIFS(QuickGuitarRiffs!$J:$J, $A14, QuickGuitarRiffs!$F:$F, $B$1, QuickGuitarRiffs!$B:$B, B$4)</f>
        <v>0</v>
      </c>
      <c r="C14" s="41">
        <f>COUNTIFS(QuickGuitarRiffs!$J:$J, $A14, QuickGuitarRiffs!$F:$F, $B$1, QuickGuitarRiffs!$B:$B, C$4)</f>
        <v>1</v>
      </c>
      <c r="D14" s="41">
        <f>COUNTIFS(QuickGuitarRiffs!$J:$J, $A14, QuickGuitarRiffs!$F:$F, $B$1, QuickGuitarRiffs!$B:$B, D$4)</f>
        <v>1</v>
      </c>
      <c r="E14" s="41">
        <f t="shared" si="1"/>
        <v>2</v>
      </c>
      <c r="F14" s="9">
        <f>COUNTIFS(QuickGuitarRiffs!$J:$J, $A14, QuickGuitarRiffs!$F:$F, $G$1, QuickGuitarRiffs!$B:$B, F$4)</f>
        <v>1</v>
      </c>
      <c r="G14" s="9">
        <f>COUNTIFS(QuickGuitarRiffs!$J:$J, $A14, QuickGuitarRiffs!$F:$F, $G$1, QuickGuitarRiffs!$B:$B, G$4)</f>
        <v>2</v>
      </c>
      <c r="H14" s="9">
        <f>COUNTIFS(QuickGuitarRiffs!$J:$J, $A14, QuickGuitarRiffs!$F:$F, $G$1, QuickGuitarRiffs!$B:$B, H$4)</f>
        <v>0</v>
      </c>
      <c r="I14" s="9">
        <f t="shared" si="2"/>
        <v>3</v>
      </c>
      <c r="J14" s="42">
        <f t="shared" si="3"/>
        <v>5</v>
      </c>
      <c r="K14" s="42">
        <f t="shared" si="4"/>
        <v>0.4</v>
      </c>
      <c r="L14" s="42">
        <f t="shared" si="5"/>
        <v>0.66666666666666663</v>
      </c>
      <c r="M14" s="43">
        <f t="shared" si="6"/>
        <v>1</v>
      </c>
      <c r="N14" s="43">
        <f t="shared" si="7"/>
        <v>3</v>
      </c>
      <c r="O14" s="43">
        <f t="shared" si="8"/>
        <v>1</v>
      </c>
      <c r="P14" s="43">
        <f t="shared" si="9"/>
        <v>0</v>
      </c>
      <c r="Q14" s="43">
        <f t="shared" si="10"/>
        <v>0.33333333333333331</v>
      </c>
      <c r="R14" s="43">
        <f t="shared" si="11"/>
        <v>1</v>
      </c>
    </row>
    <row r="15" spans="1:18" x14ac:dyDescent="0.4">
      <c r="A15" s="35" t="s">
        <v>373</v>
      </c>
      <c r="B15" s="41">
        <f>COUNTIFS(QuickGuitarRiffs!$J:$J, $A15, QuickGuitarRiffs!$F:$F, $B$1, QuickGuitarRiffs!$B:$B, B$4)</f>
        <v>3</v>
      </c>
      <c r="C15" s="41">
        <f>COUNTIFS(QuickGuitarRiffs!$J:$J, $A15, QuickGuitarRiffs!$F:$F, $B$1, QuickGuitarRiffs!$B:$B, C$4)</f>
        <v>3</v>
      </c>
      <c r="D15" s="41">
        <f>COUNTIFS(QuickGuitarRiffs!$J:$J, $A15, QuickGuitarRiffs!$F:$F, $B$1, QuickGuitarRiffs!$B:$B, D$4)</f>
        <v>0</v>
      </c>
      <c r="E15" s="41">
        <f t="shared" si="1"/>
        <v>6</v>
      </c>
      <c r="F15" s="9">
        <f>COUNTIFS(QuickGuitarRiffs!$J:$J, $A15, QuickGuitarRiffs!$F:$F, $G$1, QuickGuitarRiffs!$B:$B, F$4)</f>
        <v>1</v>
      </c>
      <c r="G15" s="9">
        <f>COUNTIFS(QuickGuitarRiffs!$J:$J, $A15, QuickGuitarRiffs!$F:$F, $G$1, QuickGuitarRiffs!$B:$B, G$4)</f>
        <v>4</v>
      </c>
      <c r="H15" s="9">
        <f>COUNTIFS(QuickGuitarRiffs!$J:$J, $A15, QuickGuitarRiffs!$F:$F, $G$1, QuickGuitarRiffs!$B:$B, H$4)</f>
        <v>0</v>
      </c>
      <c r="I15" s="9">
        <f t="shared" si="2"/>
        <v>5</v>
      </c>
      <c r="J15" s="42">
        <f t="shared" si="3"/>
        <v>11</v>
      </c>
      <c r="K15" s="42">
        <f t="shared" si="4"/>
        <v>0.54545454545454541</v>
      </c>
      <c r="L15" s="42">
        <f t="shared" si="5"/>
        <v>1.2</v>
      </c>
      <c r="M15" s="43">
        <f t="shared" si="6"/>
        <v>4</v>
      </c>
      <c r="N15" s="43">
        <f t="shared" si="7"/>
        <v>7</v>
      </c>
      <c r="O15" s="43">
        <f t="shared" si="8"/>
        <v>0</v>
      </c>
      <c r="P15" s="43">
        <f t="shared" si="9"/>
        <v>0.75</v>
      </c>
      <c r="Q15" s="43">
        <f t="shared" si="10"/>
        <v>0.42857142857142855</v>
      </c>
      <c r="R15" s="43">
        <f t="shared" si="11"/>
        <v>0</v>
      </c>
    </row>
    <row r="16" spans="1:18" x14ac:dyDescent="0.4">
      <c r="A16" s="35" t="s">
        <v>23</v>
      </c>
      <c r="B16" s="41">
        <f>COUNTIFS(QuickGuitarRiffs!$J:$J, $A16, QuickGuitarRiffs!$F:$F, $B$1, QuickGuitarRiffs!$B:$B, B$4)</f>
        <v>0</v>
      </c>
      <c r="C16" s="41">
        <f>COUNTIFS(QuickGuitarRiffs!$J:$J, $A16, QuickGuitarRiffs!$F:$F, $B$1, QuickGuitarRiffs!$B:$B, C$4)</f>
        <v>1</v>
      </c>
      <c r="D16" s="41">
        <f>COUNTIFS(QuickGuitarRiffs!$J:$J, $A16, QuickGuitarRiffs!$F:$F, $B$1, QuickGuitarRiffs!$B:$B, D$4)</f>
        <v>0</v>
      </c>
      <c r="E16" s="41">
        <f t="shared" si="1"/>
        <v>1</v>
      </c>
      <c r="F16" s="9">
        <f>COUNTIFS(QuickGuitarRiffs!$J:$J, $A16, QuickGuitarRiffs!$F:$F, $G$1, QuickGuitarRiffs!$B:$B, F$4)</f>
        <v>0</v>
      </c>
      <c r="G16" s="9">
        <f>COUNTIFS(QuickGuitarRiffs!$J:$J, $A16, QuickGuitarRiffs!$F:$F, $G$1, QuickGuitarRiffs!$B:$B, G$4)</f>
        <v>0</v>
      </c>
      <c r="H16" s="9">
        <f>COUNTIFS(QuickGuitarRiffs!$J:$J, $A16, QuickGuitarRiffs!$F:$F, $G$1, QuickGuitarRiffs!$B:$B, H$4)</f>
        <v>1</v>
      </c>
      <c r="I16" s="9">
        <f t="shared" si="2"/>
        <v>1</v>
      </c>
      <c r="J16" s="42">
        <f t="shared" si="3"/>
        <v>2</v>
      </c>
      <c r="K16" s="42">
        <f t="shared" si="4"/>
        <v>0.5</v>
      </c>
      <c r="L16" s="42">
        <f t="shared" si="5"/>
        <v>1</v>
      </c>
      <c r="M16" s="43">
        <f t="shared" si="6"/>
        <v>0</v>
      </c>
      <c r="N16" s="43">
        <f t="shared" si="7"/>
        <v>1</v>
      </c>
      <c r="O16" s="43">
        <f t="shared" si="8"/>
        <v>1</v>
      </c>
      <c r="P16" s="43">
        <f t="shared" si="9"/>
        <v>0</v>
      </c>
      <c r="Q16" s="43">
        <f t="shared" si="10"/>
        <v>1</v>
      </c>
      <c r="R16" s="43">
        <f t="shared" si="11"/>
        <v>0</v>
      </c>
    </row>
    <row r="17" spans="1:18" x14ac:dyDescent="0.4">
      <c r="A17" s="35" t="s">
        <v>24</v>
      </c>
      <c r="B17" s="41">
        <f>COUNTIFS(QuickGuitarRiffs!$J:$J, $A17, QuickGuitarRiffs!$F:$F, $B$1, QuickGuitarRiffs!$B:$B, B$4)</f>
        <v>0</v>
      </c>
      <c r="C17" s="41">
        <f>COUNTIFS(QuickGuitarRiffs!$J:$J, $A17, QuickGuitarRiffs!$F:$F, $B$1, QuickGuitarRiffs!$B:$B, C$4)</f>
        <v>1</v>
      </c>
      <c r="D17" s="41">
        <f>COUNTIFS(QuickGuitarRiffs!$J:$J, $A17, QuickGuitarRiffs!$F:$F, $B$1, QuickGuitarRiffs!$B:$B, D$4)</f>
        <v>0</v>
      </c>
      <c r="E17" s="41">
        <f t="shared" si="1"/>
        <v>1</v>
      </c>
      <c r="F17" s="9">
        <f>COUNTIFS(QuickGuitarRiffs!$J:$J, $A17, QuickGuitarRiffs!$F:$F, $G$1, QuickGuitarRiffs!$B:$B, F$4)</f>
        <v>0</v>
      </c>
      <c r="G17" s="9">
        <f>COUNTIFS(QuickGuitarRiffs!$J:$J, $A17, QuickGuitarRiffs!$F:$F, $G$1, QuickGuitarRiffs!$B:$B, G$4)</f>
        <v>2</v>
      </c>
      <c r="H17" s="9">
        <f>COUNTIFS(QuickGuitarRiffs!$J:$J, $A17, QuickGuitarRiffs!$F:$F, $G$1, QuickGuitarRiffs!$B:$B, H$4)</f>
        <v>0</v>
      </c>
      <c r="I17" s="9">
        <f t="shared" si="2"/>
        <v>2</v>
      </c>
      <c r="J17" s="42">
        <f t="shared" si="3"/>
        <v>3</v>
      </c>
      <c r="K17" s="42">
        <f t="shared" si="4"/>
        <v>0.33333333333333331</v>
      </c>
      <c r="L17" s="42">
        <f t="shared" si="5"/>
        <v>0.5</v>
      </c>
      <c r="M17" s="43">
        <f t="shared" si="6"/>
        <v>0</v>
      </c>
      <c r="N17" s="43">
        <f t="shared" si="7"/>
        <v>3</v>
      </c>
      <c r="O17" s="43">
        <f t="shared" si="8"/>
        <v>0</v>
      </c>
      <c r="P17" s="43">
        <f t="shared" si="9"/>
        <v>0</v>
      </c>
      <c r="Q17" s="43">
        <f t="shared" si="10"/>
        <v>0.33333333333333331</v>
      </c>
      <c r="R17" s="43">
        <f t="shared" si="11"/>
        <v>0</v>
      </c>
    </row>
    <row r="18" spans="1:18" x14ac:dyDescent="0.4">
      <c r="A18" s="35" t="s">
        <v>27</v>
      </c>
      <c r="B18" s="41">
        <f>COUNTIFS(QuickGuitarRiffs!$J:$J, $A18, QuickGuitarRiffs!$F:$F, $B$1, QuickGuitarRiffs!$B:$B, B$4)</f>
        <v>3</v>
      </c>
      <c r="C18" s="41">
        <f>COUNTIFS(QuickGuitarRiffs!$J:$J, $A18, QuickGuitarRiffs!$F:$F, $B$1, QuickGuitarRiffs!$B:$B, C$4)</f>
        <v>2</v>
      </c>
      <c r="D18" s="41">
        <f>COUNTIFS(QuickGuitarRiffs!$J:$J, $A18, QuickGuitarRiffs!$F:$F, $B$1, QuickGuitarRiffs!$B:$B, D$4)</f>
        <v>1</v>
      </c>
      <c r="E18" s="41">
        <f t="shared" si="1"/>
        <v>6</v>
      </c>
      <c r="F18" s="9">
        <f>COUNTIFS(QuickGuitarRiffs!$J:$J, $A18, QuickGuitarRiffs!$F:$F, $G$1, QuickGuitarRiffs!$B:$B, F$4)</f>
        <v>4</v>
      </c>
      <c r="G18" s="9">
        <f>COUNTIFS(QuickGuitarRiffs!$J:$J, $A18, QuickGuitarRiffs!$F:$F, $G$1, QuickGuitarRiffs!$B:$B, G$4)</f>
        <v>2</v>
      </c>
      <c r="H18" s="9">
        <f>COUNTIFS(QuickGuitarRiffs!$J:$J, $A18, QuickGuitarRiffs!$F:$F, $G$1, QuickGuitarRiffs!$B:$B, H$4)</f>
        <v>0</v>
      </c>
      <c r="I18" s="9">
        <f t="shared" si="2"/>
        <v>6</v>
      </c>
      <c r="J18" s="42">
        <f t="shared" si="3"/>
        <v>12</v>
      </c>
      <c r="K18" s="42">
        <f t="shared" si="4"/>
        <v>0.5</v>
      </c>
      <c r="L18" s="42">
        <f t="shared" si="5"/>
        <v>1</v>
      </c>
      <c r="M18" s="43">
        <f t="shared" si="6"/>
        <v>7</v>
      </c>
      <c r="N18" s="43">
        <f t="shared" si="7"/>
        <v>4</v>
      </c>
      <c r="O18" s="43">
        <f t="shared" si="8"/>
        <v>1</v>
      </c>
      <c r="P18" s="43">
        <f t="shared" si="9"/>
        <v>0.42857142857142855</v>
      </c>
      <c r="Q18" s="43">
        <f t="shared" si="10"/>
        <v>0.5</v>
      </c>
      <c r="R18" s="43">
        <f t="shared" si="11"/>
        <v>1</v>
      </c>
    </row>
    <row r="19" spans="1:18" x14ac:dyDescent="0.4">
      <c r="A19" s="35" t="s">
        <v>29</v>
      </c>
      <c r="B19" s="41">
        <f>COUNTIFS(QuickGuitarRiffs!$J:$J, $A19, QuickGuitarRiffs!$F:$F, $B$1, QuickGuitarRiffs!$B:$B, B$4)</f>
        <v>1</v>
      </c>
      <c r="C19" s="41">
        <f>COUNTIFS(QuickGuitarRiffs!$J:$J, $A19, QuickGuitarRiffs!$F:$F, $B$1, QuickGuitarRiffs!$B:$B, C$4)</f>
        <v>1</v>
      </c>
      <c r="D19" s="41">
        <f>COUNTIFS(QuickGuitarRiffs!$J:$J, $A19, QuickGuitarRiffs!$F:$F, $B$1, QuickGuitarRiffs!$B:$B, D$4)</f>
        <v>0</v>
      </c>
      <c r="E19" s="41">
        <f t="shared" si="1"/>
        <v>2</v>
      </c>
      <c r="F19" s="9">
        <f>COUNTIFS(QuickGuitarRiffs!$J:$J, $A19, QuickGuitarRiffs!$F:$F, $G$1, QuickGuitarRiffs!$B:$B, F$4)</f>
        <v>0</v>
      </c>
      <c r="G19" s="9">
        <f>COUNTIFS(QuickGuitarRiffs!$J:$J, $A19, QuickGuitarRiffs!$F:$F, $G$1, QuickGuitarRiffs!$B:$B, G$4)</f>
        <v>2</v>
      </c>
      <c r="H19" s="9">
        <f>COUNTIFS(QuickGuitarRiffs!$J:$J, $A19, QuickGuitarRiffs!$F:$F, $G$1, QuickGuitarRiffs!$B:$B, H$4)</f>
        <v>0</v>
      </c>
      <c r="I19" s="9">
        <f t="shared" si="2"/>
        <v>2</v>
      </c>
      <c r="J19" s="42">
        <f t="shared" si="3"/>
        <v>4</v>
      </c>
      <c r="K19" s="42">
        <f t="shared" si="4"/>
        <v>0.5</v>
      </c>
      <c r="L19" s="42">
        <f t="shared" si="5"/>
        <v>1</v>
      </c>
      <c r="M19" s="43">
        <f t="shared" si="6"/>
        <v>1</v>
      </c>
      <c r="N19" s="43">
        <f t="shared" si="7"/>
        <v>3</v>
      </c>
      <c r="O19" s="43">
        <f t="shared" si="8"/>
        <v>0</v>
      </c>
      <c r="P19" s="43">
        <f t="shared" si="9"/>
        <v>1</v>
      </c>
      <c r="Q19" s="43">
        <f t="shared" si="10"/>
        <v>0.33333333333333331</v>
      </c>
      <c r="R19" s="43">
        <f t="shared" si="11"/>
        <v>0</v>
      </c>
    </row>
    <row r="20" spans="1:18" x14ac:dyDescent="0.4">
      <c r="A20" s="35" t="s">
        <v>15</v>
      </c>
      <c r="B20" s="41">
        <f>COUNTIFS(QuickGuitarRiffs!$J:$J, $A20, QuickGuitarRiffs!$F:$F, $B$1, QuickGuitarRiffs!$B:$B, B$4)</f>
        <v>8</v>
      </c>
      <c r="C20" s="41">
        <f>COUNTIFS(QuickGuitarRiffs!$J:$J, $A20, QuickGuitarRiffs!$F:$F, $B$1, QuickGuitarRiffs!$B:$B, C$4)</f>
        <v>11</v>
      </c>
      <c r="D20" s="41">
        <f>COUNTIFS(QuickGuitarRiffs!$J:$J, $A20, QuickGuitarRiffs!$F:$F, $B$1, QuickGuitarRiffs!$B:$B, D$4)</f>
        <v>8</v>
      </c>
      <c r="E20" s="41">
        <f t="shared" si="1"/>
        <v>27</v>
      </c>
      <c r="F20" s="9">
        <f>COUNTIFS(QuickGuitarRiffs!$J:$J, $A20, QuickGuitarRiffs!$F:$F, $G$1, QuickGuitarRiffs!$B:$B, F$4)</f>
        <v>9</v>
      </c>
      <c r="G20" s="9">
        <f>COUNTIFS(QuickGuitarRiffs!$J:$J, $A20, QuickGuitarRiffs!$F:$F, $G$1, QuickGuitarRiffs!$B:$B, G$4)</f>
        <v>6</v>
      </c>
      <c r="H20" s="9">
        <f>COUNTIFS(QuickGuitarRiffs!$J:$J, $A20, QuickGuitarRiffs!$F:$F, $G$1, QuickGuitarRiffs!$B:$B, H$4)</f>
        <v>7</v>
      </c>
      <c r="I20" s="9">
        <f t="shared" si="2"/>
        <v>22</v>
      </c>
      <c r="J20" s="42">
        <f t="shared" si="3"/>
        <v>49</v>
      </c>
      <c r="K20" s="42">
        <f t="shared" si="4"/>
        <v>0.55102040816326525</v>
      </c>
      <c r="L20" s="42">
        <f t="shared" si="5"/>
        <v>1.2272727272727273</v>
      </c>
      <c r="M20" s="43">
        <f t="shared" si="6"/>
        <v>17</v>
      </c>
      <c r="N20" s="43">
        <f t="shared" si="7"/>
        <v>17</v>
      </c>
      <c r="O20" s="43">
        <f t="shared" si="8"/>
        <v>15</v>
      </c>
      <c r="P20" s="43">
        <f t="shared" si="9"/>
        <v>0.47058823529411764</v>
      </c>
      <c r="Q20" s="43">
        <f t="shared" si="10"/>
        <v>0.6470588235294118</v>
      </c>
      <c r="R20" s="43">
        <f t="shared" si="11"/>
        <v>0.53333333333333333</v>
      </c>
    </row>
    <row r="21" spans="1:18" x14ac:dyDescent="0.4">
      <c r="A21" s="35" t="s">
        <v>25</v>
      </c>
      <c r="B21" s="41">
        <f>COUNTIFS(QuickGuitarRiffs!$J:$J, $A21, QuickGuitarRiffs!$F:$F, $B$1, QuickGuitarRiffs!$B:$B, B$4)</f>
        <v>0</v>
      </c>
      <c r="C21" s="41">
        <f>COUNTIFS(QuickGuitarRiffs!$J:$J, $A21, QuickGuitarRiffs!$F:$F, $B$1, QuickGuitarRiffs!$B:$B, C$4)</f>
        <v>0</v>
      </c>
      <c r="D21" s="41">
        <f>COUNTIFS(QuickGuitarRiffs!$J:$J, $A21, QuickGuitarRiffs!$F:$F, $B$1, QuickGuitarRiffs!$B:$B, D$4)</f>
        <v>1</v>
      </c>
      <c r="E21" s="41">
        <f t="shared" si="1"/>
        <v>1</v>
      </c>
      <c r="F21" s="9">
        <f>COUNTIFS(QuickGuitarRiffs!$J:$J, $A21, QuickGuitarRiffs!$F:$F, $G$1, QuickGuitarRiffs!$B:$B, F$4)</f>
        <v>1</v>
      </c>
      <c r="G21" s="9">
        <f>COUNTIFS(QuickGuitarRiffs!$J:$J, $A21, QuickGuitarRiffs!$F:$F, $G$1, QuickGuitarRiffs!$B:$B, G$4)</f>
        <v>0</v>
      </c>
      <c r="H21" s="9">
        <f>COUNTIFS(QuickGuitarRiffs!$J:$J, $A21, QuickGuitarRiffs!$F:$F, $G$1, QuickGuitarRiffs!$B:$B, H$4)</f>
        <v>0</v>
      </c>
      <c r="I21" s="9">
        <f t="shared" si="2"/>
        <v>1</v>
      </c>
      <c r="J21" s="42">
        <f t="shared" si="3"/>
        <v>2</v>
      </c>
      <c r="K21" s="42">
        <f t="shared" si="4"/>
        <v>0.5</v>
      </c>
      <c r="L21" s="42">
        <f t="shared" si="5"/>
        <v>1</v>
      </c>
      <c r="M21" s="43">
        <f t="shared" si="6"/>
        <v>1</v>
      </c>
      <c r="N21" s="43">
        <f t="shared" si="7"/>
        <v>0</v>
      </c>
      <c r="O21" s="43">
        <f t="shared" si="8"/>
        <v>1</v>
      </c>
      <c r="P21" s="43">
        <f t="shared" si="9"/>
        <v>0</v>
      </c>
      <c r="Q21" s="43">
        <f t="shared" si="10"/>
        <v>0</v>
      </c>
      <c r="R21" s="43">
        <f t="shared" si="11"/>
        <v>1</v>
      </c>
    </row>
    <row r="22" spans="1:18" x14ac:dyDescent="0.4">
      <c r="A22" s="35" t="s">
        <v>16</v>
      </c>
      <c r="B22" s="41">
        <f>COUNTIFS(QuickGuitarRiffs!$J:$J, $A22, QuickGuitarRiffs!$F:$F, $B$1, QuickGuitarRiffs!$B:$B, B$4)</f>
        <v>0</v>
      </c>
      <c r="C22" s="41">
        <f>COUNTIFS(QuickGuitarRiffs!$J:$J, $A22, QuickGuitarRiffs!$F:$F, $B$1, QuickGuitarRiffs!$B:$B, C$4)</f>
        <v>0</v>
      </c>
      <c r="D22" s="41">
        <f>COUNTIFS(QuickGuitarRiffs!$J:$J, $A22, QuickGuitarRiffs!$F:$F, $B$1, QuickGuitarRiffs!$B:$B, D$4)</f>
        <v>0</v>
      </c>
      <c r="E22" s="41">
        <f t="shared" si="1"/>
        <v>0</v>
      </c>
      <c r="F22" s="9">
        <f>COUNTIFS(QuickGuitarRiffs!$J:$J, $A22, QuickGuitarRiffs!$F:$F, $G$1, QuickGuitarRiffs!$B:$B, F$4)</f>
        <v>0</v>
      </c>
      <c r="G22" s="9">
        <f>COUNTIFS(QuickGuitarRiffs!$J:$J, $A22, QuickGuitarRiffs!$F:$F, $G$1, QuickGuitarRiffs!$B:$B, G$4)</f>
        <v>1</v>
      </c>
      <c r="H22" s="9">
        <f>COUNTIFS(QuickGuitarRiffs!$J:$J, $A22, QuickGuitarRiffs!$F:$F, $G$1, QuickGuitarRiffs!$B:$B, H$4)</f>
        <v>0</v>
      </c>
      <c r="I22" s="9">
        <f t="shared" si="2"/>
        <v>1</v>
      </c>
      <c r="J22" s="42">
        <f t="shared" si="3"/>
        <v>1</v>
      </c>
      <c r="K22" s="42">
        <f t="shared" si="4"/>
        <v>0</v>
      </c>
      <c r="L22" s="42">
        <f t="shared" si="5"/>
        <v>0</v>
      </c>
      <c r="M22" s="43">
        <f t="shared" si="6"/>
        <v>0</v>
      </c>
      <c r="N22" s="43">
        <f t="shared" si="7"/>
        <v>1</v>
      </c>
      <c r="O22" s="43">
        <f t="shared" si="8"/>
        <v>0</v>
      </c>
      <c r="P22" s="43">
        <f t="shared" si="9"/>
        <v>0</v>
      </c>
      <c r="Q22" s="43">
        <f t="shared" si="10"/>
        <v>0</v>
      </c>
      <c r="R22" s="43">
        <f t="shared" si="11"/>
        <v>0</v>
      </c>
    </row>
    <row r="23" spans="1:18" x14ac:dyDescent="0.4">
      <c r="A23" s="35" t="s">
        <v>18</v>
      </c>
      <c r="B23" s="41">
        <f>COUNTIFS(QuickGuitarRiffs!$J:$J, $A23, QuickGuitarRiffs!$F:$F, $B$1, QuickGuitarRiffs!$B:$B, B$4)</f>
        <v>0</v>
      </c>
      <c r="C23" s="41">
        <f>COUNTIFS(QuickGuitarRiffs!$J:$J, $A23, QuickGuitarRiffs!$F:$F, $B$1, QuickGuitarRiffs!$B:$B, C$4)</f>
        <v>0</v>
      </c>
      <c r="D23" s="41">
        <f>COUNTIFS(QuickGuitarRiffs!$J:$J, $A23, QuickGuitarRiffs!$F:$F, $B$1, QuickGuitarRiffs!$B:$B, D$4)</f>
        <v>0</v>
      </c>
      <c r="E23" s="41">
        <f t="shared" si="1"/>
        <v>0</v>
      </c>
      <c r="F23" s="9">
        <f>COUNTIFS(QuickGuitarRiffs!$J:$J, $A23, QuickGuitarRiffs!$F:$F, $G$1, QuickGuitarRiffs!$B:$B, F$4)</f>
        <v>0</v>
      </c>
      <c r="G23" s="9">
        <f>COUNTIFS(QuickGuitarRiffs!$J:$J, $A23, QuickGuitarRiffs!$F:$F, $G$1, QuickGuitarRiffs!$B:$B, G$4)</f>
        <v>0</v>
      </c>
      <c r="H23" s="9">
        <f>COUNTIFS(QuickGuitarRiffs!$J:$J, $A23, QuickGuitarRiffs!$F:$F, $G$1, QuickGuitarRiffs!$B:$B, H$4)</f>
        <v>1</v>
      </c>
      <c r="I23" s="9">
        <f t="shared" si="2"/>
        <v>1</v>
      </c>
      <c r="J23" s="42">
        <f t="shared" si="3"/>
        <v>1</v>
      </c>
      <c r="K23" s="42">
        <f t="shared" si="4"/>
        <v>0</v>
      </c>
      <c r="L23" s="42">
        <f t="shared" si="5"/>
        <v>0</v>
      </c>
      <c r="M23" s="43">
        <f t="shared" si="6"/>
        <v>0</v>
      </c>
      <c r="N23" s="43">
        <f t="shared" si="7"/>
        <v>0</v>
      </c>
      <c r="O23" s="43">
        <f t="shared" si="8"/>
        <v>1</v>
      </c>
      <c r="P23" s="43">
        <f t="shared" si="9"/>
        <v>0</v>
      </c>
      <c r="Q23" s="43">
        <f t="shared" si="10"/>
        <v>0</v>
      </c>
      <c r="R23" s="43">
        <f t="shared" si="11"/>
        <v>0</v>
      </c>
    </row>
    <row r="24" spans="1:18" x14ac:dyDescent="0.4">
      <c r="A24" s="35" t="s">
        <v>19</v>
      </c>
      <c r="B24" s="41">
        <f>COUNTIFS(QuickGuitarRiffs!$J:$J, $A24, QuickGuitarRiffs!$F:$F, $B$1, QuickGuitarRiffs!$B:$B, B$4)</f>
        <v>0</v>
      </c>
      <c r="C24" s="41">
        <f>COUNTIFS(QuickGuitarRiffs!$J:$J, $A24, QuickGuitarRiffs!$F:$F, $B$1, QuickGuitarRiffs!$B:$B, C$4)</f>
        <v>2</v>
      </c>
      <c r="D24" s="41">
        <f>COUNTIFS(QuickGuitarRiffs!$J:$J, $A24, QuickGuitarRiffs!$F:$F, $B$1, QuickGuitarRiffs!$B:$B, D$4)</f>
        <v>2</v>
      </c>
      <c r="E24" s="41">
        <f t="shared" si="1"/>
        <v>4</v>
      </c>
      <c r="F24" s="9">
        <f>COUNTIFS(QuickGuitarRiffs!$J:$J, $A24, QuickGuitarRiffs!$F:$F, $G$1, QuickGuitarRiffs!$B:$B, F$4)</f>
        <v>0</v>
      </c>
      <c r="G24" s="9">
        <f>COUNTIFS(QuickGuitarRiffs!$J:$J, $A24, QuickGuitarRiffs!$F:$F, $G$1, QuickGuitarRiffs!$B:$B, G$4)</f>
        <v>3</v>
      </c>
      <c r="H24" s="9">
        <f>COUNTIFS(QuickGuitarRiffs!$J:$J, $A24, QuickGuitarRiffs!$F:$F, $G$1, QuickGuitarRiffs!$B:$B, H$4)</f>
        <v>3</v>
      </c>
      <c r="I24" s="9">
        <f t="shared" si="2"/>
        <v>6</v>
      </c>
      <c r="J24" s="42">
        <f t="shared" si="3"/>
        <v>10</v>
      </c>
      <c r="K24" s="42">
        <f t="shared" si="4"/>
        <v>0.4</v>
      </c>
      <c r="L24" s="42">
        <f t="shared" si="5"/>
        <v>0.66666666666666663</v>
      </c>
      <c r="M24" s="43">
        <f t="shared" si="6"/>
        <v>0</v>
      </c>
      <c r="N24" s="43">
        <f t="shared" si="7"/>
        <v>5</v>
      </c>
      <c r="O24" s="43">
        <f t="shared" si="8"/>
        <v>5</v>
      </c>
      <c r="P24" s="43">
        <f t="shared" si="9"/>
        <v>0</v>
      </c>
      <c r="Q24" s="43">
        <f t="shared" si="10"/>
        <v>0.4</v>
      </c>
      <c r="R24" s="43">
        <f t="shared" si="11"/>
        <v>0.4</v>
      </c>
    </row>
    <row r="25" spans="1:18" x14ac:dyDescent="0.4">
      <c r="A25" s="35" t="s">
        <v>28</v>
      </c>
      <c r="B25" s="41">
        <f>COUNTIFS(QuickGuitarRiffs!$J:$J, $A25, QuickGuitarRiffs!$F:$F, $B$1, QuickGuitarRiffs!$B:$B, B$4)</f>
        <v>0</v>
      </c>
      <c r="C25" s="41">
        <f>COUNTIFS(QuickGuitarRiffs!$J:$J, $A25, QuickGuitarRiffs!$F:$F, $B$1, QuickGuitarRiffs!$B:$B, C$4)</f>
        <v>1</v>
      </c>
      <c r="D25" s="41">
        <f>COUNTIFS(QuickGuitarRiffs!$J:$J, $A25, QuickGuitarRiffs!$F:$F, $B$1, QuickGuitarRiffs!$B:$B, D$4)</f>
        <v>0</v>
      </c>
      <c r="E25" s="41">
        <f t="shared" si="1"/>
        <v>1</v>
      </c>
      <c r="F25" s="9">
        <f>COUNTIFS(QuickGuitarRiffs!$J:$J, $A25, QuickGuitarRiffs!$F:$F, $G$1, QuickGuitarRiffs!$B:$B, F$4)</f>
        <v>1</v>
      </c>
      <c r="G25" s="9">
        <f>COUNTIFS(QuickGuitarRiffs!$J:$J, $A25, QuickGuitarRiffs!$F:$F, $G$1, QuickGuitarRiffs!$B:$B, G$4)</f>
        <v>0</v>
      </c>
      <c r="H25" s="9">
        <f>COUNTIFS(QuickGuitarRiffs!$J:$J, $A25, QuickGuitarRiffs!$F:$F, $G$1, QuickGuitarRiffs!$B:$B, H$4)</f>
        <v>0</v>
      </c>
      <c r="I25" s="9">
        <f t="shared" si="2"/>
        <v>1</v>
      </c>
      <c r="J25" s="42">
        <f t="shared" si="3"/>
        <v>2</v>
      </c>
      <c r="K25" s="42">
        <f t="shared" si="4"/>
        <v>0.5</v>
      </c>
      <c r="L25" s="42">
        <f t="shared" si="5"/>
        <v>1</v>
      </c>
      <c r="M25" s="43">
        <f t="shared" si="6"/>
        <v>1</v>
      </c>
      <c r="N25" s="43">
        <f t="shared" si="7"/>
        <v>1</v>
      </c>
      <c r="O25" s="43">
        <f t="shared" si="8"/>
        <v>0</v>
      </c>
      <c r="P25" s="43">
        <f t="shared" si="9"/>
        <v>0</v>
      </c>
      <c r="Q25" s="43">
        <f t="shared" si="10"/>
        <v>1</v>
      </c>
      <c r="R25" s="43">
        <f t="shared" si="11"/>
        <v>0</v>
      </c>
    </row>
    <row r="26" spans="1:18" x14ac:dyDescent="0.4">
      <c r="A26" s="36" t="s">
        <v>372</v>
      </c>
      <c r="B26" s="41">
        <f>COUNTIFS(QuickGuitarRiffs!$J:$J, $A26, QuickGuitarRiffs!$F:$F, $B$1, QuickGuitarRiffs!$B:$B, B$4)</f>
        <v>1</v>
      </c>
      <c r="C26" s="41">
        <f>COUNTIFS(QuickGuitarRiffs!$J:$J, $A26, QuickGuitarRiffs!$F:$F, $B$1, QuickGuitarRiffs!$B:$B, C$4)</f>
        <v>0</v>
      </c>
      <c r="D26" s="41">
        <f>COUNTIFS(QuickGuitarRiffs!$J:$J, $A26, QuickGuitarRiffs!$F:$F, $B$1, QuickGuitarRiffs!$B:$B, D$4)</f>
        <v>0</v>
      </c>
      <c r="E26" s="41">
        <f t="shared" si="1"/>
        <v>1</v>
      </c>
      <c r="F26" s="9">
        <f>COUNTIFS(QuickGuitarRiffs!$J:$J, $A26, QuickGuitarRiffs!$F:$F, $G$1, QuickGuitarRiffs!$B:$B, F$4)</f>
        <v>1</v>
      </c>
      <c r="G26" s="9">
        <f>COUNTIFS(QuickGuitarRiffs!$J:$J, $A26, QuickGuitarRiffs!$F:$F, $G$1, QuickGuitarRiffs!$B:$B, G$4)</f>
        <v>1</v>
      </c>
      <c r="H26" s="9">
        <f>COUNTIFS(QuickGuitarRiffs!$J:$J, $A26, QuickGuitarRiffs!$F:$F, $G$1, QuickGuitarRiffs!$B:$B, H$4)</f>
        <v>0</v>
      </c>
      <c r="I26" s="9">
        <f t="shared" si="2"/>
        <v>2</v>
      </c>
      <c r="J26" s="42">
        <f t="shared" si="3"/>
        <v>3</v>
      </c>
      <c r="K26" s="42">
        <f t="shared" si="4"/>
        <v>0.33333333333333331</v>
      </c>
      <c r="L26" s="42">
        <f t="shared" si="5"/>
        <v>0.5</v>
      </c>
      <c r="M26" s="43">
        <f t="shared" si="6"/>
        <v>2</v>
      </c>
      <c r="N26" s="43">
        <f t="shared" si="7"/>
        <v>1</v>
      </c>
      <c r="O26" s="43">
        <f t="shared" si="8"/>
        <v>0</v>
      </c>
      <c r="P26" s="43">
        <f t="shared" si="9"/>
        <v>0.5</v>
      </c>
      <c r="Q26" s="43">
        <f t="shared" si="10"/>
        <v>0</v>
      </c>
      <c r="R26" s="43">
        <f t="shared" si="11"/>
        <v>0</v>
      </c>
    </row>
    <row r="27" spans="1:18" x14ac:dyDescent="0.4">
      <c r="A27" s="36" t="s">
        <v>371</v>
      </c>
      <c r="B27" s="41">
        <f>COUNTIFS(QuickGuitarRiffs!$J:$J, $A27, QuickGuitarRiffs!$F:$F, $B$1, QuickGuitarRiffs!$B:$B, B$4)</f>
        <v>0</v>
      </c>
      <c r="C27" s="41">
        <f>COUNTIFS(QuickGuitarRiffs!$J:$J, $A27, QuickGuitarRiffs!$F:$F, $B$1, QuickGuitarRiffs!$B:$B, C$4)</f>
        <v>0</v>
      </c>
      <c r="D27" s="41">
        <f>COUNTIFS(QuickGuitarRiffs!$J:$J, $A27, QuickGuitarRiffs!$F:$F, $B$1, QuickGuitarRiffs!$B:$B, D$4)</f>
        <v>0</v>
      </c>
      <c r="E27" s="41">
        <f t="shared" si="1"/>
        <v>0</v>
      </c>
      <c r="F27" s="9">
        <f>COUNTIFS(QuickGuitarRiffs!$J:$J, $A27, QuickGuitarRiffs!$F:$F, $G$1, QuickGuitarRiffs!$B:$B, F$4)</f>
        <v>1</v>
      </c>
      <c r="G27" s="9">
        <f>COUNTIFS(QuickGuitarRiffs!$J:$J, $A27, QuickGuitarRiffs!$F:$F, $G$1, QuickGuitarRiffs!$B:$B, G$4)</f>
        <v>0</v>
      </c>
      <c r="H27" s="9">
        <f>COUNTIFS(QuickGuitarRiffs!$J:$J, $A27, QuickGuitarRiffs!$F:$F, $G$1, QuickGuitarRiffs!$B:$B, H$4)</f>
        <v>0</v>
      </c>
      <c r="I27" s="9">
        <f t="shared" si="2"/>
        <v>1</v>
      </c>
      <c r="J27" s="42">
        <f t="shared" si="3"/>
        <v>1</v>
      </c>
      <c r="K27" s="42">
        <f t="shared" si="4"/>
        <v>0</v>
      </c>
      <c r="L27" s="42">
        <f t="shared" si="5"/>
        <v>0</v>
      </c>
      <c r="M27" s="43">
        <f t="shared" si="6"/>
        <v>1</v>
      </c>
      <c r="N27" s="43">
        <f t="shared" si="7"/>
        <v>0</v>
      </c>
      <c r="O27" s="43">
        <f t="shared" si="8"/>
        <v>0</v>
      </c>
      <c r="P27" s="43">
        <f t="shared" si="9"/>
        <v>0</v>
      </c>
      <c r="Q27" s="43">
        <f t="shared" si="10"/>
        <v>0</v>
      </c>
      <c r="R27" s="43">
        <f t="shared" si="11"/>
        <v>0</v>
      </c>
    </row>
    <row r="28" spans="1:18" x14ac:dyDescent="0.4">
      <c r="A28" s="36" t="s">
        <v>374</v>
      </c>
      <c r="B28" s="41">
        <f>COUNTIFS(QuickGuitarRiffs!$J:$J, $A28, QuickGuitarRiffs!$F:$F, $B$1, QuickGuitarRiffs!$B:$B, B$4)</f>
        <v>0</v>
      </c>
      <c r="C28" s="41">
        <f>COUNTIFS(QuickGuitarRiffs!$J:$J, $A28, QuickGuitarRiffs!$F:$F, $B$1, QuickGuitarRiffs!$B:$B, C$4)</f>
        <v>0</v>
      </c>
      <c r="D28" s="41">
        <f>COUNTIFS(QuickGuitarRiffs!$J:$J, $A28, QuickGuitarRiffs!$F:$F, $B$1, QuickGuitarRiffs!$B:$B, D$4)</f>
        <v>0</v>
      </c>
      <c r="E28" s="41">
        <f t="shared" si="1"/>
        <v>0</v>
      </c>
      <c r="F28" s="9">
        <f>COUNTIFS(QuickGuitarRiffs!$J:$J, $A28, QuickGuitarRiffs!$F:$F, $G$1, QuickGuitarRiffs!$B:$B, F$4)</f>
        <v>0</v>
      </c>
      <c r="G28" s="9">
        <f>COUNTIFS(QuickGuitarRiffs!$J:$J, $A28, QuickGuitarRiffs!$F:$F, $G$1, QuickGuitarRiffs!$B:$B, G$4)</f>
        <v>1</v>
      </c>
      <c r="H28" s="9">
        <f>COUNTIFS(QuickGuitarRiffs!$J:$J, $A28, QuickGuitarRiffs!$F:$F, $G$1, QuickGuitarRiffs!$B:$B, H$4)</f>
        <v>0</v>
      </c>
      <c r="I28" s="9">
        <f t="shared" si="2"/>
        <v>1</v>
      </c>
      <c r="J28" s="42">
        <f t="shared" si="3"/>
        <v>1</v>
      </c>
      <c r="K28" s="42">
        <f t="shared" si="4"/>
        <v>0</v>
      </c>
      <c r="L28" s="42">
        <f t="shared" si="5"/>
        <v>0</v>
      </c>
      <c r="M28" s="43">
        <f t="shared" si="6"/>
        <v>0</v>
      </c>
      <c r="N28" s="43">
        <f t="shared" si="7"/>
        <v>1</v>
      </c>
      <c r="O28" s="43">
        <f t="shared" si="8"/>
        <v>0</v>
      </c>
      <c r="P28" s="43">
        <f t="shared" si="9"/>
        <v>0</v>
      </c>
      <c r="Q28" s="43">
        <f t="shared" si="10"/>
        <v>0</v>
      </c>
      <c r="R28" s="43">
        <f t="shared" si="11"/>
        <v>0</v>
      </c>
    </row>
    <row r="29" spans="1:18" x14ac:dyDescent="0.4">
      <c r="A29" s="36" t="s">
        <v>1254</v>
      </c>
      <c r="B29" s="41">
        <f>COUNTIFS(QuickGuitarRiffs!$J:$J, $A29, QuickGuitarRiffs!$F:$F, $B$1, QuickGuitarRiffs!$B:$B, B$4)</f>
        <v>1</v>
      </c>
      <c r="C29" s="41">
        <f>COUNTIFS(QuickGuitarRiffs!$J:$J, $A29, QuickGuitarRiffs!$F:$F, $B$1, QuickGuitarRiffs!$B:$B, C$4)</f>
        <v>2</v>
      </c>
      <c r="D29" s="41">
        <f>COUNTIFS(QuickGuitarRiffs!$J:$J, $A29, QuickGuitarRiffs!$F:$F, $B$1, QuickGuitarRiffs!$B:$B, D$4)</f>
        <v>0</v>
      </c>
      <c r="E29" s="41">
        <f t="shared" ref="E29" si="12">SUM(B29:D29)</f>
        <v>3</v>
      </c>
      <c r="F29" s="9">
        <f>COUNTIFS(QuickGuitarRiffs!$J:$J, $A29, QuickGuitarRiffs!$F:$F, $G$1, QuickGuitarRiffs!$B:$B, F$4)</f>
        <v>0</v>
      </c>
      <c r="G29" s="9">
        <f>COUNTIFS(QuickGuitarRiffs!$J:$J, $A29, QuickGuitarRiffs!$F:$F, $G$1, QuickGuitarRiffs!$B:$B, G$4)</f>
        <v>0</v>
      </c>
      <c r="H29" s="9">
        <f>COUNTIFS(QuickGuitarRiffs!$J:$J, $A29, QuickGuitarRiffs!$F:$F, $G$1, QuickGuitarRiffs!$B:$B, H$4)</f>
        <v>0</v>
      </c>
      <c r="I29" s="9">
        <f t="shared" ref="I29" si="13">SUM(F29:H29)</f>
        <v>0</v>
      </c>
      <c r="J29" s="42">
        <f t="shared" ref="J29" si="14">E29+I29</f>
        <v>3</v>
      </c>
      <c r="K29" s="42">
        <f t="shared" ref="K29" si="15">IF(J29=0, 0, E29/J29)</f>
        <v>1</v>
      </c>
      <c r="L29" s="42">
        <f t="shared" ref="L29" si="16">IF(I29=0, 0, E29/I29)</f>
        <v>0</v>
      </c>
      <c r="M29" s="43">
        <f t="shared" ref="M29" si="17">B29+F29</f>
        <v>1</v>
      </c>
      <c r="N29" s="43">
        <f t="shared" ref="N29" si="18">C29+G29</f>
        <v>2</v>
      </c>
      <c r="O29" s="43">
        <f t="shared" ref="O29" si="19">D29+H29</f>
        <v>0</v>
      </c>
      <c r="P29" s="43">
        <f t="shared" ref="P29" si="20">IF(M29=0, 0, B29/M29)</f>
        <v>1</v>
      </c>
      <c r="Q29" s="43">
        <f t="shared" ref="Q29" si="21">IF(N29=0, 0, C29/N29)</f>
        <v>1</v>
      </c>
      <c r="R29" s="43">
        <f t="shared" ref="R29" si="22">IF(O29=0, 0, D29/O29)</f>
        <v>0</v>
      </c>
    </row>
    <row r="30" spans="1:18" x14ac:dyDescent="0.4">
      <c r="P30" t="s">
        <v>932</v>
      </c>
    </row>
    <row r="36" ht="14.6" customHeight="1" x14ac:dyDescent="0.4"/>
  </sheetData>
  <mergeCells count="15">
    <mergeCell ref="M2:R2"/>
    <mergeCell ref="M3:M4"/>
    <mergeCell ref="N3:N4"/>
    <mergeCell ref="O3:O4"/>
    <mergeCell ref="P3:P4"/>
    <mergeCell ref="Q3:Q4"/>
    <mergeCell ref="R3:R4"/>
    <mergeCell ref="J2:L2"/>
    <mergeCell ref="J3:J4"/>
    <mergeCell ref="K3:K4"/>
    <mergeCell ref="L3:L4"/>
    <mergeCell ref="E3:E4"/>
    <mergeCell ref="I3:I4"/>
    <mergeCell ref="F2:I2"/>
    <mergeCell ref="B2:E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50"/>
  <sheetViews>
    <sheetView tabSelected="1" zoomScale="85" zoomScaleNormal="85" workbookViewId="0">
      <selection activeCell="H4" sqref="H4"/>
    </sheetView>
  </sheetViews>
  <sheetFormatPr defaultColWidth="8.84375" defaultRowHeight="14.6" x14ac:dyDescent="0.4"/>
  <cols>
    <col min="1" max="1" width="6.15234375" customWidth="1"/>
    <col min="2" max="2" width="5.69140625" customWidth="1"/>
    <col min="3" max="3" width="12.69140625" customWidth="1"/>
    <col min="4" max="4" width="21" customWidth="1"/>
    <col min="5" max="5" width="25" customWidth="1"/>
    <col min="6" max="6" width="7" customWidth="1"/>
    <col min="7" max="7" width="4.69140625" customWidth="1"/>
    <col min="8" max="8" width="26.921875" customWidth="1"/>
    <col min="9" max="9" width="6.3046875" customWidth="1"/>
    <col min="10" max="10" width="16" customWidth="1"/>
    <col min="11" max="11" width="8.84375" customWidth="1"/>
    <col min="12" max="14" width="18" customWidth="1"/>
    <col min="15" max="15" width="123.69140625" style="1" customWidth="1"/>
  </cols>
  <sheetData>
    <row r="1" spans="1:15" x14ac:dyDescent="0.4">
      <c r="A1" s="104" t="s">
        <v>0</v>
      </c>
      <c r="B1" s="107" t="s">
        <v>1</v>
      </c>
      <c r="C1" s="108"/>
      <c r="D1" s="104" t="s">
        <v>2</v>
      </c>
      <c r="E1" s="104" t="s">
        <v>3</v>
      </c>
      <c r="F1" s="93" t="s">
        <v>75</v>
      </c>
      <c r="G1" s="105" t="s">
        <v>9</v>
      </c>
      <c r="H1" s="106"/>
      <c r="I1" s="104" t="s">
        <v>8</v>
      </c>
      <c r="J1" s="104" t="s">
        <v>4</v>
      </c>
      <c r="K1" s="104"/>
      <c r="L1" s="104" t="s">
        <v>7</v>
      </c>
      <c r="M1" s="93" t="s">
        <v>614</v>
      </c>
      <c r="N1" s="93" t="s">
        <v>609</v>
      </c>
      <c r="O1" s="104" t="s">
        <v>71</v>
      </c>
    </row>
    <row r="2" spans="1:15" x14ac:dyDescent="0.4">
      <c r="A2" s="104"/>
      <c r="B2" s="109"/>
      <c r="C2" s="110"/>
      <c r="D2" s="104"/>
      <c r="E2" s="104"/>
      <c r="F2" s="94"/>
      <c r="G2" s="8" t="s">
        <v>57</v>
      </c>
      <c r="H2" s="8" t="s">
        <v>58</v>
      </c>
      <c r="I2" s="104"/>
      <c r="J2" s="8" t="s">
        <v>6</v>
      </c>
      <c r="K2" s="8" t="s">
        <v>5</v>
      </c>
      <c r="L2" s="104"/>
      <c r="M2" s="94"/>
      <c r="N2" s="94"/>
      <c r="O2" s="104"/>
    </row>
    <row r="3" spans="1:15" x14ac:dyDescent="0.4">
      <c r="A3" s="4" t="str">
        <f t="shared" ref="A3:O3" si="0">SUBSTITUTE(ADDRESS(ROW(),COLUMN(),4),ROW(),"")</f>
        <v>A</v>
      </c>
      <c r="B3" s="4" t="str">
        <f>SUBSTITUTE(ADDRESS(ROW(),COLUMN(),4),ROW(),"")</f>
        <v>B</v>
      </c>
      <c r="C3" s="4" t="str">
        <f t="shared" si="0"/>
        <v>C</v>
      </c>
      <c r="D3" s="4" t="str">
        <f t="shared" si="0"/>
        <v>D</v>
      </c>
      <c r="E3" s="4" t="str">
        <f t="shared" si="0"/>
        <v>E</v>
      </c>
      <c r="F3" s="4" t="str">
        <f t="shared" si="0"/>
        <v>F</v>
      </c>
      <c r="G3" s="4" t="str">
        <f t="shared" si="0"/>
        <v>G</v>
      </c>
      <c r="H3" s="4" t="str">
        <f t="shared" si="0"/>
        <v>H</v>
      </c>
      <c r="I3" s="4" t="str">
        <f t="shared" si="0"/>
        <v>I</v>
      </c>
      <c r="J3" s="4" t="str">
        <f t="shared" si="0"/>
        <v>J</v>
      </c>
      <c r="K3" s="4" t="str">
        <f t="shared" si="0"/>
        <v>K</v>
      </c>
      <c r="L3" s="4" t="str">
        <f t="shared" si="0"/>
        <v>L</v>
      </c>
      <c r="M3" s="4" t="str">
        <f t="shared" si="0"/>
        <v>M</v>
      </c>
      <c r="N3" s="4" t="str">
        <f t="shared" si="0"/>
        <v>N</v>
      </c>
      <c r="O3" s="4" t="str">
        <f t="shared" si="0"/>
        <v>O</v>
      </c>
    </row>
    <row r="4" spans="1:15" ht="167.15" x14ac:dyDescent="0.4">
      <c r="A4" s="44">
        <v>1</v>
      </c>
      <c r="B4" s="44">
        <v>2</v>
      </c>
      <c r="C4" s="45" t="str">
        <f>INDEX(Helper!$N$2:$N$4, MATCH(B4, Helper!$M$2:$M$4, 0))</f>
        <v>Intermediate</v>
      </c>
      <c r="D4" s="55" t="s">
        <v>237</v>
      </c>
      <c r="E4" s="56" t="s">
        <v>217</v>
      </c>
      <c r="F4" s="5">
        <v>0</v>
      </c>
      <c r="G4" s="44">
        <v>1</v>
      </c>
      <c r="H4" s="44" t="str">
        <f>INDEX(Helper!$C:$C, MATCH(G4, Helper!$A:$A, 0))</f>
        <v>Standard (EADGBE)</v>
      </c>
      <c r="I4" s="44" t="s">
        <v>62</v>
      </c>
      <c r="J4" s="57" t="s">
        <v>21</v>
      </c>
      <c r="K4" s="44" t="str">
        <f>INDEX(Helper!$F:$F, MATCH(J4, Helper!$E:$E, 0))</f>
        <v>#45F0E2</v>
      </c>
      <c r="L4" s="45" t="s">
        <v>739</v>
      </c>
      <c r="M4" s="45" t="s">
        <v>615</v>
      </c>
      <c r="N4" s="46" t="s">
        <v>641</v>
      </c>
      <c r="O4" s="76" t="s">
        <v>940</v>
      </c>
    </row>
    <row r="5" spans="1:15" ht="77.150000000000006" x14ac:dyDescent="0.4">
      <c r="A5" s="44">
        <v>2</v>
      </c>
      <c r="B5" s="44">
        <v>1</v>
      </c>
      <c r="C5" s="45" t="str">
        <f>INDEX(Helper!$N$2:$N$4, MATCH(B5, Helper!$M$2:$M$4, 0))</f>
        <v>Beginner</v>
      </c>
      <c r="D5" s="58" t="s">
        <v>186</v>
      </c>
      <c r="E5" s="56" t="s">
        <v>218</v>
      </c>
      <c r="F5" s="5">
        <v>1</v>
      </c>
      <c r="G5" s="44">
        <v>1</v>
      </c>
      <c r="H5" s="44" t="str">
        <f>INDEX(Helper!$C:$C, MATCH(G5, Helper!$A:$A, 0))</f>
        <v>Standard (EADGBE)</v>
      </c>
      <c r="I5" s="44" t="s">
        <v>59</v>
      </c>
      <c r="J5" s="59" t="s">
        <v>10</v>
      </c>
      <c r="K5" s="44" t="str">
        <f>INDEX(Helper!$F:$F, MATCH(J5, Helper!$E:$E, 0))</f>
        <v>#F5943C</v>
      </c>
      <c r="L5" s="45" t="s">
        <v>398</v>
      </c>
      <c r="M5" s="45" t="s">
        <v>615</v>
      </c>
      <c r="N5" s="46" t="s">
        <v>642</v>
      </c>
      <c r="O5" s="76" t="s">
        <v>941</v>
      </c>
    </row>
    <row r="6" spans="1:15" ht="77.150000000000006" x14ac:dyDescent="0.4">
      <c r="A6" s="44">
        <v>3</v>
      </c>
      <c r="B6" s="44">
        <v>1</v>
      </c>
      <c r="C6" s="45" t="str">
        <f>INDEX(Helper!$N$2:$N$4, MATCH(B6, Helper!$M$2:$M$4, 0))</f>
        <v>Beginner</v>
      </c>
      <c r="D6" s="58" t="s">
        <v>34</v>
      </c>
      <c r="E6" s="56" t="s">
        <v>219</v>
      </c>
      <c r="F6" s="5">
        <v>1</v>
      </c>
      <c r="G6" s="44">
        <v>1</v>
      </c>
      <c r="H6" s="44" t="str">
        <f>INDEX(Helper!$C:$C, MATCH(G6, Helper!$A:$A, 0))</f>
        <v>Standard (EADGBE)</v>
      </c>
      <c r="I6" s="44" t="s">
        <v>65</v>
      </c>
      <c r="J6" s="59" t="s">
        <v>10</v>
      </c>
      <c r="K6" s="44" t="str">
        <f>INDEX(Helper!$F:$F, MATCH(J6, Helper!$E:$E, 0))</f>
        <v>#F5943C</v>
      </c>
      <c r="L6" s="45" t="s">
        <v>392</v>
      </c>
      <c r="M6" s="45" t="s">
        <v>615</v>
      </c>
      <c r="N6" s="46" t="s">
        <v>645</v>
      </c>
      <c r="O6" s="76" t="s">
        <v>942</v>
      </c>
    </row>
    <row r="7" spans="1:15" ht="77.150000000000006" x14ac:dyDescent="0.4">
      <c r="A7" s="44">
        <v>4</v>
      </c>
      <c r="B7" s="44">
        <v>1</v>
      </c>
      <c r="C7" s="45" t="str">
        <f>INDEX(Helper!$N$2:$N$4, MATCH(B7, Helper!$M$2:$M$4, 0))</f>
        <v>Beginner</v>
      </c>
      <c r="D7" s="58" t="s">
        <v>134</v>
      </c>
      <c r="E7" s="56" t="s">
        <v>220</v>
      </c>
      <c r="F7" s="5">
        <v>0</v>
      </c>
      <c r="G7" s="44">
        <v>1</v>
      </c>
      <c r="H7" s="44" t="str">
        <f>INDEX(Helper!$C:$C, MATCH(G7, Helper!$A:$A, 0))</f>
        <v>Standard (EADGBE)</v>
      </c>
      <c r="I7" s="44" t="s">
        <v>67</v>
      </c>
      <c r="J7" s="57" t="s">
        <v>21</v>
      </c>
      <c r="K7" s="44" t="str">
        <f>INDEX(Helper!$F:$F, MATCH(J7, Helper!$E:$E, 0))</f>
        <v>#45F0E2</v>
      </c>
      <c r="L7" s="45" t="s">
        <v>399</v>
      </c>
      <c r="M7" s="45" t="s">
        <v>615</v>
      </c>
      <c r="N7" s="46" t="s">
        <v>646</v>
      </c>
      <c r="O7" s="76" t="s">
        <v>943</v>
      </c>
    </row>
    <row r="8" spans="1:15" ht="77.150000000000006" x14ac:dyDescent="0.4">
      <c r="A8" s="44">
        <v>5</v>
      </c>
      <c r="B8" s="44">
        <v>1</v>
      </c>
      <c r="C8" s="45" t="str">
        <f>INDEX(Helper!$N$2:$N$4, MATCH(B8, Helper!$M$2:$M$4, 0))</f>
        <v>Beginner</v>
      </c>
      <c r="D8" s="58" t="s">
        <v>221</v>
      </c>
      <c r="E8" s="56" t="s">
        <v>400</v>
      </c>
      <c r="F8" s="5">
        <v>0</v>
      </c>
      <c r="G8" s="44">
        <v>1</v>
      </c>
      <c r="H8" s="44" t="str">
        <f>INDEX(Helper!$C:$C, MATCH(G8, Helper!$A:$A, 0))</f>
        <v>Standard (EADGBE)</v>
      </c>
      <c r="I8" s="44" t="s">
        <v>394</v>
      </c>
      <c r="J8" s="59" t="s">
        <v>10</v>
      </c>
      <c r="K8" s="44" t="str">
        <f>INDEX(Helper!$F:$F, MATCH(J8, Helper!$E:$E, 0))</f>
        <v>#F5943C</v>
      </c>
      <c r="L8" s="45" t="s">
        <v>401</v>
      </c>
      <c r="M8" s="45" t="s">
        <v>615</v>
      </c>
      <c r="N8" s="46" t="s">
        <v>647</v>
      </c>
      <c r="O8" s="76" t="s">
        <v>944</v>
      </c>
    </row>
    <row r="9" spans="1:15" ht="77.150000000000006" x14ac:dyDescent="0.4">
      <c r="A9" s="44">
        <v>6</v>
      </c>
      <c r="B9" s="44">
        <v>1</v>
      </c>
      <c r="C9" s="45" t="str">
        <f>INDEX(Helper!$N$2:$N$4, MATCH(B9, Helper!$M$2:$M$4, 0))</f>
        <v>Beginner</v>
      </c>
      <c r="D9" s="58" t="s">
        <v>222</v>
      </c>
      <c r="E9" s="56" t="s">
        <v>223</v>
      </c>
      <c r="F9" s="5">
        <v>0</v>
      </c>
      <c r="G9" s="44">
        <v>1</v>
      </c>
      <c r="H9" s="44" t="str">
        <f>INDEX(Helper!$C:$C, MATCH(G9, Helper!$A:$A, 0))</f>
        <v>Standard (EADGBE)</v>
      </c>
      <c r="I9" s="44" t="s">
        <v>620</v>
      </c>
      <c r="J9" s="60" t="s">
        <v>29</v>
      </c>
      <c r="K9" s="44" t="str">
        <f>INDEX(Helper!$F:$F, MATCH(J9, Helper!$E:$E, 0))</f>
        <v>#66E586</v>
      </c>
      <c r="L9" s="45" t="s">
        <v>402</v>
      </c>
      <c r="M9" s="45" t="s">
        <v>615</v>
      </c>
      <c r="N9" s="46" t="s">
        <v>648</v>
      </c>
      <c r="O9" s="76" t="s">
        <v>945</v>
      </c>
    </row>
    <row r="10" spans="1:15" ht="77.150000000000006" x14ac:dyDescent="0.4">
      <c r="A10" s="44">
        <v>7</v>
      </c>
      <c r="B10" s="44">
        <v>1</v>
      </c>
      <c r="C10" s="45" t="str">
        <f>INDEX(Helper!$N$2:$N$4, MATCH(B10, Helper!$M$2:$M$4, 0))</f>
        <v>Beginner</v>
      </c>
      <c r="D10" s="58" t="s">
        <v>224</v>
      </c>
      <c r="E10" s="50" t="s">
        <v>225</v>
      </c>
      <c r="F10" s="5">
        <v>0</v>
      </c>
      <c r="G10" s="44">
        <v>1</v>
      </c>
      <c r="H10" s="44" t="str">
        <f>INDEX(Helper!$C:$C, MATCH(G10, Helper!$A:$A, 0))</f>
        <v>Standard (EADGBE)</v>
      </c>
      <c r="I10" s="44" t="s">
        <v>63</v>
      </c>
      <c r="J10" s="59" t="s">
        <v>10</v>
      </c>
      <c r="K10" s="44" t="str">
        <f>INDEX(Helper!$F:$F, MATCH(J10, Helper!$E:$E, 0))</f>
        <v>#F5943C</v>
      </c>
      <c r="L10" s="45" t="s">
        <v>393</v>
      </c>
      <c r="M10" s="45" t="s">
        <v>615</v>
      </c>
      <c r="N10" s="46" t="s">
        <v>649</v>
      </c>
      <c r="O10" s="76" t="s">
        <v>946</v>
      </c>
    </row>
    <row r="11" spans="1:15" ht="282.89999999999998" x14ac:dyDescent="0.4">
      <c r="A11" s="44">
        <v>8</v>
      </c>
      <c r="B11" s="44">
        <v>1</v>
      </c>
      <c r="C11" s="45" t="str">
        <f>INDEX(Helper!$N$2:$N$4, MATCH(B11, Helper!$M$2:$M$4, 0))</f>
        <v>Beginner</v>
      </c>
      <c r="D11" s="58" t="s">
        <v>226</v>
      </c>
      <c r="E11" s="50" t="s">
        <v>227</v>
      </c>
      <c r="F11" s="5">
        <v>1</v>
      </c>
      <c r="G11" s="44">
        <v>3</v>
      </c>
      <c r="H11" s="44" t="str">
        <f>INDEX(Helper!$C:$C, MATCH(G11, Helper!$A:$A, 0))</f>
        <v>Half Step Down (D#G#C#F#A#D#)</v>
      </c>
      <c r="I11" s="44" t="s">
        <v>619</v>
      </c>
      <c r="J11" s="61" t="s">
        <v>11</v>
      </c>
      <c r="K11" s="44" t="str">
        <f>INDEX(Helper!$F:$F, MATCH(J11, Helper!$E:$E, 0))</f>
        <v>#E8AD1D</v>
      </c>
      <c r="L11" s="45" t="s">
        <v>386</v>
      </c>
      <c r="M11" s="45" t="s">
        <v>615</v>
      </c>
      <c r="N11" s="46" t="s">
        <v>650</v>
      </c>
      <c r="O11" s="76" t="s">
        <v>947</v>
      </c>
    </row>
    <row r="12" spans="1:15" ht="167.15" x14ac:dyDescent="0.4">
      <c r="A12" s="44">
        <v>9</v>
      </c>
      <c r="B12" s="44">
        <v>1</v>
      </c>
      <c r="C12" s="45" t="str">
        <f>INDEX(Helper!$N$2:$N$4, MATCH(B12, Helper!$M$2:$M$4, 0))</f>
        <v>Beginner</v>
      </c>
      <c r="D12" s="58" t="s">
        <v>34</v>
      </c>
      <c r="E12" s="50" t="s">
        <v>228</v>
      </c>
      <c r="F12" s="5">
        <v>0</v>
      </c>
      <c r="G12" s="44">
        <v>1</v>
      </c>
      <c r="H12" s="44" t="str">
        <f>INDEX(Helper!$C:$C, MATCH(G12, Helper!$A:$A, 0))</f>
        <v>Standard (EADGBE)</v>
      </c>
      <c r="I12" s="44" t="s">
        <v>63</v>
      </c>
      <c r="J12" s="59" t="s">
        <v>10</v>
      </c>
      <c r="K12" s="44" t="str">
        <f>INDEX(Helper!$F:$F, MATCH(J12, Helper!$E:$E, 0))</f>
        <v>#F5943C</v>
      </c>
      <c r="L12" s="45" t="s">
        <v>403</v>
      </c>
      <c r="M12" s="45" t="s">
        <v>615</v>
      </c>
      <c r="N12" s="46" t="s">
        <v>651</v>
      </c>
      <c r="O12" s="76" t="s">
        <v>948</v>
      </c>
    </row>
    <row r="13" spans="1:15" ht="167.15" x14ac:dyDescent="0.4">
      <c r="A13" s="44">
        <v>10</v>
      </c>
      <c r="B13" s="44">
        <v>1</v>
      </c>
      <c r="C13" s="45" t="str">
        <f>INDEX(Helper!$N$2:$N$4, MATCH(B13, Helper!$M$2:$M$4, 0))</f>
        <v>Beginner</v>
      </c>
      <c r="D13" s="58" t="s">
        <v>229</v>
      </c>
      <c r="E13" s="50" t="s">
        <v>230</v>
      </c>
      <c r="F13" s="5">
        <v>1</v>
      </c>
      <c r="G13" s="44">
        <v>1</v>
      </c>
      <c r="H13" s="44" t="str">
        <f>INDEX(Helper!$C:$C, MATCH(G13, Helper!$A:$A, 0))</f>
        <v>Standard (EADGBE)</v>
      </c>
      <c r="I13" s="44" t="s">
        <v>63</v>
      </c>
      <c r="J13" s="59" t="s">
        <v>10</v>
      </c>
      <c r="K13" s="44" t="str">
        <f>INDEX(Helper!$F:$F, MATCH(J13, Helper!$E:$E, 0))</f>
        <v>#F5943C</v>
      </c>
      <c r="L13" s="45" t="s">
        <v>404</v>
      </c>
      <c r="M13" s="45" t="s">
        <v>615</v>
      </c>
      <c r="N13" s="46" t="s">
        <v>652</v>
      </c>
      <c r="O13" s="76" t="s">
        <v>949</v>
      </c>
    </row>
    <row r="14" spans="1:15" ht="77.150000000000006" x14ac:dyDescent="0.4">
      <c r="A14" s="44">
        <v>11</v>
      </c>
      <c r="B14" s="44">
        <v>1</v>
      </c>
      <c r="C14" s="45" t="str">
        <f>INDEX(Helper!$N$2:$N$4, MATCH(B14, Helper!$M$2:$M$4, 0))</f>
        <v>Beginner</v>
      </c>
      <c r="D14" s="62" t="s">
        <v>93</v>
      </c>
      <c r="E14" s="50" t="s">
        <v>231</v>
      </c>
      <c r="F14" s="5">
        <v>0</v>
      </c>
      <c r="G14" s="44">
        <v>1</v>
      </c>
      <c r="H14" s="44" t="str">
        <f>INDEX(Helper!$C:$C, MATCH(G14, Helper!$A:$A, 0))</f>
        <v>Standard (EADGBE)</v>
      </c>
      <c r="I14" s="44" t="s">
        <v>394</v>
      </c>
      <c r="J14" s="61" t="s">
        <v>11</v>
      </c>
      <c r="K14" s="44" t="str">
        <f>INDEX(Helper!$F:$F, MATCH(J14, Helper!$E:$E, 0))</f>
        <v>#E8AD1D</v>
      </c>
      <c r="L14" s="45" t="s">
        <v>405</v>
      </c>
      <c r="M14" s="45" t="s">
        <v>615</v>
      </c>
      <c r="N14" s="46" t="s">
        <v>653</v>
      </c>
      <c r="O14" s="76" t="s">
        <v>950</v>
      </c>
    </row>
    <row r="15" spans="1:15" ht="167.15" x14ac:dyDescent="0.4">
      <c r="A15" s="44">
        <v>12</v>
      </c>
      <c r="B15" s="44">
        <v>2</v>
      </c>
      <c r="C15" s="45" t="str">
        <f>INDEX(Helper!$N$2:$N$4, MATCH(B15, Helper!$M$2:$M$4, 0))</f>
        <v>Intermediate</v>
      </c>
      <c r="D15" s="50" t="s">
        <v>99</v>
      </c>
      <c r="E15" s="50" t="s">
        <v>234</v>
      </c>
      <c r="F15" s="5">
        <v>0</v>
      </c>
      <c r="G15" s="44">
        <v>1</v>
      </c>
      <c r="H15" s="44" t="str">
        <f>INDEX(Helper!$C:$C, MATCH(G15, Helper!$A:$A, 0))</f>
        <v>Standard (EADGBE)</v>
      </c>
      <c r="I15" s="44" t="s">
        <v>61</v>
      </c>
      <c r="J15" s="59" t="s">
        <v>10</v>
      </c>
      <c r="K15" s="44" t="str">
        <f>INDEX(Helper!$F:$F, MATCH(J15, Helper!$E:$E, 0))</f>
        <v>#F5943C</v>
      </c>
      <c r="L15" s="45" t="s">
        <v>406</v>
      </c>
      <c r="M15" s="45" t="s">
        <v>615</v>
      </c>
      <c r="N15" s="46" t="s">
        <v>654</v>
      </c>
      <c r="O15" s="76" t="s">
        <v>951</v>
      </c>
    </row>
    <row r="16" spans="1:15" ht="167.15" x14ac:dyDescent="0.4">
      <c r="A16" s="44">
        <v>13</v>
      </c>
      <c r="B16" s="44">
        <v>1</v>
      </c>
      <c r="C16" s="45" t="str">
        <f>INDEX(Helper!$N$2:$N$4, MATCH(B16, Helper!$M$2:$M$4, 0))</f>
        <v>Beginner</v>
      </c>
      <c r="D16" s="62" t="s">
        <v>235</v>
      </c>
      <c r="E16" s="50" t="s">
        <v>236</v>
      </c>
      <c r="F16" s="5">
        <v>1</v>
      </c>
      <c r="G16" s="44">
        <v>1</v>
      </c>
      <c r="H16" s="44" t="str">
        <f>INDEX(Helper!$C:$C, MATCH(G16, Helper!$A:$A, 0))</f>
        <v>Standard (EADGBE)</v>
      </c>
      <c r="I16" s="44" t="s">
        <v>67</v>
      </c>
      <c r="J16" s="59" t="s">
        <v>10</v>
      </c>
      <c r="K16" s="44" t="str">
        <f>INDEX(Helper!$F:$F, MATCH(J16, Helper!$E:$E, 0))</f>
        <v>#F5943C</v>
      </c>
      <c r="L16" s="45" t="s">
        <v>407</v>
      </c>
      <c r="M16" s="45" t="s">
        <v>615</v>
      </c>
      <c r="N16" s="46" t="s">
        <v>655</v>
      </c>
      <c r="O16" s="76" t="s">
        <v>952</v>
      </c>
    </row>
    <row r="17" spans="1:15" ht="77.150000000000006" x14ac:dyDescent="0.4">
      <c r="A17" s="44">
        <v>14</v>
      </c>
      <c r="B17" s="44">
        <v>1</v>
      </c>
      <c r="C17" s="45" t="str">
        <f>INDEX(Helper!$N$2:$N$4, MATCH(B17, Helper!$M$2:$M$4, 0))</f>
        <v>Beginner</v>
      </c>
      <c r="D17" s="50" t="s">
        <v>237</v>
      </c>
      <c r="E17" s="50" t="s">
        <v>238</v>
      </c>
      <c r="F17" s="5">
        <v>1</v>
      </c>
      <c r="G17" s="44">
        <v>1</v>
      </c>
      <c r="H17" s="44" t="str">
        <f>INDEX(Helper!$C:$C, MATCH(G17, Helper!$A:$A, 0))</f>
        <v>Standard (EADGBE)</v>
      </c>
      <c r="I17" s="44" t="s">
        <v>65</v>
      </c>
      <c r="J17" s="63" t="s">
        <v>22</v>
      </c>
      <c r="K17" s="44" t="str">
        <f>INDEX(Helper!$F:$F, MATCH(J17, Helper!$E:$E, 0))</f>
        <v>#FFDF66</v>
      </c>
      <c r="L17" s="45" t="s">
        <v>408</v>
      </c>
      <c r="M17" s="45" t="s">
        <v>615</v>
      </c>
      <c r="N17" s="46" t="s">
        <v>656</v>
      </c>
      <c r="O17" s="76" t="s">
        <v>953</v>
      </c>
    </row>
    <row r="18" spans="1:15" ht="347.15" x14ac:dyDescent="0.4">
      <c r="A18" s="44">
        <v>15</v>
      </c>
      <c r="B18" s="44">
        <v>1</v>
      </c>
      <c r="C18" s="45" t="str">
        <f>INDEX(Helper!$N$2:$N$4, MATCH(B18, Helper!$M$2:$M$4, 0))</f>
        <v>Beginner</v>
      </c>
      <c r="D18" s="55" t="s">
        <v>36</v>
      </c>
      <c r="E18" s="56" t="s">
        <v>55</v>
      </c>
      <c r="F18" s="5">
        <v>1</v>
      </c>
      <c r="G18" s="44">
        <v>1</v>
      </c>
      <c r="H18" s="44" t="str">
        <f>INDEX(Helper!$C:$C, MATCH(G18, Helper!$A:$A, 0))</f>
        <v>Standard (EADGBE)</v>
      </c>
      <c r="I18" s="44" t="s">
        <v>619</v>
      </c>
      <c r="J18" s="64" t="s">
        <v>15</v>
      </c>
      <c r="K18" s="44" t="str">
        <f>INDEX(Helper!$F:$F, MATCH(J18, Helper!$E:$E, 0))</f>
        <v>#C2C2A1</v>
      </c>
      <c r="L18" s="45" t="s">
        <v>409</v>
      </c>
      <c r="M18" s="45" t="s">
        <v>615</v>
      </c>
      <c r="N18" s="46" t="s">
        <v>657</v>
      </c>
      <c r="O18" s="76" t="s">
        <v>954</v>
      </c>
    </row>
    <row r="19" spans="1:15" ht="77.150000000000006" x14ac:dyDescent="0.4">
      <c r="A19" s="44">
        <v>16</v>
      </c>
      <c r="B19" s="44">
        <v>1</v>
      </c>
      <c r="C19" s="45" t="str">
        <f>INDEX(Helper!$N$2:$N$4, MATCH(B19, Helper!$M$2:$M$4, 0))</f>
        <v>Beginner</v>
      </c>
      <c r="D19" s="58" t="s">
        <v>125</v>
      </c>
      <c r="E19" s="50" t="s">
        <v>239</v>
      </c>
      <c r="F19" s="5">
        <v>1</v>
      </c>
      <c r="G19" s="44">
        <v>1</v>
      </c>
      <c r="H19" s="44" t="str">
        <f>INDEX(Helper!$C:$C, MATCH(G19, Helper!$A:$A, 0))</f>
        <v>Standard (EADGBE)</v>
      </c>
      <c r="I19" s="44" t="s">
        <v>619</v>
      </c>
      <c r="J19" s="65" t="s">
        <v>13</v>
      </c>
      <c r="K19" s="44" t="str">
        <f>INDEX(Helper!$F:$F, MATCH(J19, Helper!$E:$E, 0))</f>
        <v>#FF4F53</v>
      </c>
      <c r="L19" s="45" t="s">
        <v>410</v>
      </c>
      <c r="M19" s="45" t="s">
        <v>615</v>
      </c>
      <c r="N19" s="46" t="s">
        <v>658</v>
      </c>
      <c r="O19" s="76" t="s">
        <v>955</v>
      </c>
    </row>
    <row r="20" spans="1:15" ht="77.150000000000006" x14ac:dyDescent="0.4">
      <c r="A20" s="44">
        <v>17</v>
      </c>
      <c r="B20" s="44">
        <v>1</v>
      </c>
      <c r="C20" s="45" t="str">
        <f>INDEX(Helper!$N$2:$N$4, MATCH(B20, Helper!$M$2:$M$4, 0))</f>
        <v>Beginner</v>
      </c>
      <c r="D20" s="55" t="s">
        <v>226</v>
      </c>
      <c r="E20" s="56" t="s">
        <v>240</v>
      </c>
      <c r="F20" s="5">
        <v>1</v>
      </c>
      <c r="G20" s="44">
        <v>1</v>
      </c>
      <c r="H20" s="44" t="str">
        <f>INDEX(Helper!$C:$C, MATCH(G20, Helper!$A:$A, 0))</f>
        <v>Standard (EADGBE)</v>
      </c>
      <c r="I20" s="44" t="s">
        <v>620</v>
      </c>
      <c r="J20" s="66" t="s">
        <v>371</v>
      </c>
      <c r="K20" s="44" t="str">
        <f>INDEX(Helper!$F:$F, MATCH(J20, Helper!$E:$E, 0))</f>
        <v>#B3F141</v>
      </c>
      <c r="L20" s="45" t="s">
        <v>411</v>
      </c>
      <c r="M20" s="45" t="s">
        <v>615</v>
      </c>
      <c r="N20" s="46" t="s">
        <v>659</v>
      </c>
      <c r="O20" s="76" t="s">
        <v>956</v>
      </c>
    </row>
    <row r="21" spans="1:15" ht="77.150000000000006" x14ac:dyDescent="0.4">
      <c r="A21" s="44">
        <v>18</v>
      </c>
      <c r="B21" s="44">
        <v>1</v>
      </c>
      <c r="C21" s="45" t="str">
        <f>INDEX(Helper!$N$2:$N$4, MATCH(B21, Helper!$M$2:$M$4, 0))</f>
        <v>Beginner</v>
      </c>
      <c r="D21" s="58" t="s">
        <v>412</v>
      </c>
      <c r="E21" s="50" t="s">
        <v>241</v>
      </c>
      <c r="F21" s="5">
        <v>0</v>
      </c>
      <c r="G21" s="44">
        <v>1</v>
      </c>
      <c r="H21" s="44" t="str">
        <f>INDEX(Helper!$C:$C, MATCH(G21, Helper!$A:$A, 0))</f>
        <v>Standard (EADGBE)</v>
      </c>
      <c r="I21" s="44" t="s">
        <v>621</v>
      </c>
      <c r="J21" s="60" t="s">
        <v>372</v>
      </c>
      <c r="K21" s="44" t="str">
        <f>INDEX(Helper!$F:$F, MATCH(J21, Helper!$E:$E, 0))</f>
        <v>#B3F141</v>
      </c>
      <c r="L21" s="45" t="s">
        <v>413</v>
      </c>
      <c r="M21" s="45" t="s">
        <v>615</v>
      </c>
      <c r="N21" s="47" t="s">
        <v>660</v>
      </c>
      <c r="O21" s="76" t="s">
        <v>957</v>
      </c>
    </row>
    <row r="22" spans="1:15" ht="77.150000000000006" x14ac:dyDescent="0.4">
      <c r="A22" s="44">
        <v>19</v>
      </c>
      <c r="B22" s="44">
        <v>1</v>
      </c>
      <c r="C22" s="45" t="str">
        <f>INDEX(Helper!$N$2:$N$4, MATCH(B22, Helper!$M$2:$M$4, 0))</f>
        <v>Beginner</v>
      </c>
      <c r="D22" s="50" t="s">
        <v>242</v>
      </c>
      <c r="E22" s="50" t="s">
        <v>243</v>
      </c>
      <c r="F22" s="5">
        <v>0</v>
      </c>
      <c r="G22" s="44">
        <v>4</v>
      </c>
      <c r="H22" s="44" t="str">
        <f>INDEX(Helper!$C:$C, MATCH(G22, Helper!$A:$A, 0))</f>
        <v>Open A (EAC#EAE)</v>
      </c>
      <c r="I22" s="44" t="s">
        <v>63</v>
      </c>
      <c r="J22" s="65" t="s">
        <v>13</v>
      </c>
      <c r="K22" s="44" t="str">
        <f>INDEX(Helper!$F:$F, MATCH(J22, Helper!$E:$E, 0))</f>
        <v>#FF4F53</v>
      </c>
      <c r="L22" s="45" t="s">
        <v>414</v>
      </c>
      <c r="M22" s="45" t="s">
        <v>615</v>
      </c>
      <c r="N22" s="47" t="s">
        <v>661</v>
      </c>
      <c r="O22" s="76" t="s">
        <v>958</v>
      </c>
    </row>
    <row r="23" spans="1:15" ht="77.150000000000006" x14ac:dyDescent="0.4">
      <c r="A23" s="44">
        <v>20</v>
      </c>
      <c r="B23" s="44">
        <v>1</v>
      </c>
      <c r="C23" s="45" t="str">
        <f>INDEX(Helper!$N$2:$N$4, MATCH(B23, Helper!$M$2:$M$4, 0))</f>
        <v>Beginner</v>
      </c>
      <c r="D23" s="45" t="s">
        <v>237</v>
      </c>
      <c r="E23" s="45" t="s">
        <v>244</v>
      </c>
      <c r="F23" s="5">
        <v>1</v>
      </c>
      <c r="G23" s="44">
        <v>1</v>
      </c>
      <c r="H23" s="44" t="str">
        <f>INDEX(Helper!$C:$C, MATCH(G23, Helper!$A:$A, 0))</f>
        <v>Standard (EADGBE)</v>
      </c>
      <c r="I23" s="44" t="s">
        <v>394</v>
      </c>
      <c r="J23" s="57" t="s">
        <v>21</v>
      </c>
      <c r="K23" s="44" t="str">
        <f>INDEX(Helper!$F:$F, MATCH(J23, Helper!$E:$E, 0))</f>
        <v>#45F0E2</v>
      </c>
      <c r="L23" s="45" t="s">
        <v>415</v>
      </c>
      <c r="M23" s="45" t="s">
        <v>615</v>
      </c>
      <c r="N23" s="46" t="s">
        <v>662</v>
      </c>
      <c r="O23" s="76" t="s">
        <v>959</v>
      </c>
    </row>
    <row r="24" spans="1:15" ht="77.150000000000006" x14ac:dyDescent="0.4">
      <c r="A24" s="44">
        <v>21</v>
      </c>
      <c r="B24" s="44">
        <v>1</v>
      </c>
      <c r="C24" s="45" t="str">
        <f>INDEX(Helper!$N$2:$N$4, MATCH(B24, Helper!$M$2:$M$4, 0))</f>
        <v>Beginner</v>
      </c>
      <c r="D24" s="45" t="s">
        <v>245</v>
      </c>
      <c r="E24" s="45" t="s">
        <v>246</v>
      </c>
      <c r="F24" s="5">
        <v>1</v>
      </c>
      <c r="G24" s="44">
        <v>1</v>
      </c>
      <c r="H24" s="44" t="str">
        <f>INDEX(Helper!$C:$C, MATCH(G24, Helper!$A:$A, 0))</f>
        <v>Standard (EADGBE)</v>
      </c>
      <c r="I24" s="44" t="s">
        <v>619</v>
      </c>
      <c r="J24" s="64" t="s">
        <v>15</v>
      </c>
      <c r="K24" s="44" t="str">
        <f>INDEX(Helper!$F:$F, MATCH(J24, Helper!$E:$E, 0))</f>
        <v>#C2C2A1</v>
      </c>
      <c r="L24" s="45" t="s">
        <v>416</v>
      </c>
      <c r="M24" s="45" t="s">
        <v>615</v>
      </c>
      <c r="N24" s="46" t="s">
        <v>663</v>
      </c>
      <c r="O24" s="76" t="s">
        <v>960</v>
      </c>
    </row>
    <row r="25" spans="1:15" ht="77.150000000000006" x14ac:dyDescent="0.4">
      <c r="A25" s="44">
        <v>22</v>
      </c>
      <c r="B25" s="44">
        <v>1</v>
      </c>
      <c r="C25" s="45" t="str">
        <f>INDEX(Helper!$N$2:$N$4, MATCH(B25, Helper!$M$2:$M$4, 0))</f>
        <v>Beginner</v>
      </c>
      <c r="D25" s="45" t="s">
        <v>34</v>
      </c>
      <c r="E25" s="45" t="s">
        <v>53</v>
      </c>
      <c r="F25" s="5">
        <v>0</v>
      </c>
      <c r="G25" s="44">
        <v>1</v>
      </c>
      <c r="H25" s="44" t="str">
        <f>INDEX(Helper!$C:$C, MATCH(G25, Helper!$A:$A, 0))</f>
        <v>Standard (EADGBE)</v>
      </c>
      <c r="I25" s="44" t="s">
        <v>394</v>
      </c>
      <c r="J25" s="59" t="s">
        <v>10</v>
      </c>
      <c r="K25" s="44" t="str">
        <f>INDEX(Helper!$F:$F, MATCH(J25, Helper!$E:$E, 0))</f>
        <v>#F5943C</v>
      </c>
      <c r="L25" s="45" t="s">
        <v>417</v>
      </c>
      <c r="M25" s="45" t="s">
        <v>615</v>
      </c>
      <c r="N25" s="46" t="s">
        <v>664</v>
      </c>
      <c r="O25" s="76" t="s">
        <v>961</v>
      </c>
    </row>
    <row r="26" spans="1:15" ht="77.150000000000006" x14ac:dyDescent="0.4">
      <c r="A26" s="44">
        <v>23</v>
      </c>
      <c r="B26" s="44">
        <v>1</v>
      </c>
      <c r="C26" s="45" t="str">
        <f>INDEX(Helper!$N$2:$N$4, MATCH(B26, Helper!$M$2:$M$4, 0))</f>
        <v>Beginner</v>
      </c>
      <c r="D26" s="45" t="s">
        <v>247</v>
      </c>
      <c r="E26" s="45" t="s">
        <v>248</v>
      </c>
      <c r="F26" s="5">
        <v>0</v>
      </c>
      <c r="G26" s="44">
        <v>1</v>
      </c>
      <c r="H26" s="44" t="str">
        <f>INDEX(Helper!$C:$C, MATCH(G26, Helper!$A:$A, 0))</f>
        <v>Standard (EADGBE)</v>
      </c>
      <c r="I26" s="44" t="s">
        <v>59</v>
      </c>
      <c r="J26" s="64" t="s">
        <v>15</v>
      </c>
      <c r="K26" s="44" t="str">
        <f>INDEX(Helper!$F:$F, MATCH(J26, Helper!$E:$E, 0))</f>
        <v>#C2C2A1</v>
      </c>
      <c r="L26" s="45" t="s">
        <v>418</v>
      </c>
      <c r="M26" s="45" t="s">
        <v>615</v>
      </c>
      <c r="N26" s="46" t="s">
        <v>665</v>
      </c>
      <c r="O26" s="76" t="s">
        <v>962</v>
      </c>
    </row>
    <row r="27" spans="1:15" ht="77.150000000000006" x14ac:dyDescent="0.4">
      <c r="A27" s="44">
        <v>24</v>
      </c>
      <c r="B27" s="44">
        <v>1</v>
      </c>
      <c r="C27" s="45" t="str">
        <f>INDEX(Helper!$N$2:$N$4, MATCH(B27, Helper!$M$2:$M$4, 0))</f>
        <v>Beginner</v>
      </c>
      <c r="D27" s="45" t="s">
        <v>249</v>
      </c>
      <c r="E27" s="45" t="s">
        <v>250</v>
      </c>
      <c r="F27" s="5">
        <v>0</v>
      </c>
      <c r="G27" s="44">
        <v>1</v>
      </c>
      <c r="H27" s="44" t="str">
        <f>INDEX(Helper!$C:$C, MATCH(G27, Helper!$A:$A, 0))</f>
        <v>Standard (EADGBE)</v>
      </c>
      <c r="I27" s="44" t="s">
        <v>394</v>
      </c>
      <c r="J27" s="67" t="s">
        <v>12</v>
      </c>
      <c r="K27" s="44" t="str">
        <f>INDEX(Helper!$F:$F, MATCH(J27, Helper!$E:$E, 0))</f>
        <v>#FFE129</v>
      </c>
      <c r="L27" s="45" t="s">
        <v>419</v>
      </c>
      <c r="M27" s="45" t="s">
        <v>615</v>
      </c>
      <c r="N27" s="46" t="s">
        <v>666</v>
      </c>
      <c r="O27" s="76" t="s">
        <v>963</v>
      </c>
    </row>
    <row r="28" spans="1:15" ht="77.150000000000006" x14ac:dyDescent="0.4">
      <c r="A28" s="44">
        <v>25</v>
      </c>
      <c r="B28" s="44">
        <v>1</v>
      </c>
      <c r="C28" s="45" t="str">
        <f>INDEX(Helper!$N$2:$N$4, MATCH(B28, Helper!$M$2:$M$4, 0))</f>
        <v>Beginner</v>
      </c>
      <c r="D28" s="45" t="s">
        <v>252</v>
      </c>
      <c r="E28" s="45" t="s">
        <v>253</v>
      </c>
      <c r="F28" s="5">
        <v>1</v>
      </c>
      <c r="G28" s="44">
        <v>1</v>
      </c>
      <c r="H28" s="44" t="str">
        <f>INDEX(Helper!$C:$C, MATCH(G28, Helper!$A:$A, 0))</f>
        <v>Standard (EADGBE)</v>
      </c>
      <c r="I28" s="44" t="s">
        <v>65</v>
      </c>
      <c r="J28" s="59" t="s">
        <v>10</v>
      </c>
      <c r="K28" s="44" t="str">
        <f>INDEX(Helper!$F:$F, MATCH(J28, Helper!$E:$E, 0))</f>
        <v>#F5943C</v>
      </c>
      <c r="L28" s="45" t="s">
        <v>420</v>
      </c>
      <c r="M28" s="45" t="s">
        <v>615</v>
      </c>
      <c r="N28" s="46" t="s">
        <v>666</v>
      </c>
      <c r="O28" s="76" t="s">
        <v>964</v>
      </c>
    </row>
    <row r="29" spans="1:15" ht="77.150000000000006" x14ac:dyDescent="0.4">
      <c r="A29" s="44">
        <v>26</v>
      </c>
      <c r="B29" s="44">
        <v>1</v>
      </c>
      <c r="C29" s="45" t="str">
        <f>INDEX(Helper!$N$2:$N$4, MATCH(B29, Helper!$M$2:$M$4, 0))</f>
        <v>Beginner</v>
      </c>
      <c r="D29" s="45" t="s">
        <v>257</v>
      </c>
      <c r="E29" s="45" t="s">
        <v>258</v>
      </c>
      <c r="F29" s="5">
        <v>0</v>
      </c>
      <c r="G29" s="44">
        <v>1</v>
      </c>
      <c r="H29" s="44" t="str">
        <f>INDEX(Helper!$C:$C, MATCH(G29, Helper!$A:$A, 0))</f>
        <v>Standard (EADGBE)</v>
      </c>
      <c r="I29" s="44" t="s">
        <v>63</v>
      </c>
      <c r="J29" s="61" t="s">
        <v>11</v>
      </c>
      <c r="K29" s="44" t="str">
        <f>INDEX(Helper!$F:$F, MATCH(J29, Helper!$E:$E, 0))</f>
        <v>#E8AD1D</v>
      </c>
      <c r="L29" s="45" t="s">
        <v>421</v>
      </c>
      <c r="M29" s="45" t="s">
        <v>615</v>
      </c>
      <c r="N29" s="46" t="s">
        <v>667</v>
      </c>
      <c r="O29" s="76" t="s">
        <v>965</v>
      </c>
    </row>
    <row r="30" spans="1:15" ht="77.150000000000006" x14ac:dyDescent="0.4">
      <c r="A30" s="44">
        <v>27</v>
      </c>
      <c r="B30" s="44">
        <v>1</v>
      </c>
      <c r="C30" s="45" t="str">
        <f>INDEX(Helper!$N$2:$N$4, MATCH(B30, Helper!$M$2:$M$4, 0))</f>
        <v>Beginner</v>
      </c>
      <c r="D30" s="45" t="s">
        <v>259</v>
      </c>
      <c r="E30" s="45" t="s">
        <v>260</v>
      </c>
      <c r="F30" s="5">
        <v>0</v>
      </c>
      <c r="G30" s="44">
        <v>3</v>
      </c>
      <c r="H30" s="44" t="str">
        <f>INDEX(Helper!$C:$C, MATCH(G30, Helper!$A:$A, 0))</f>
        <v>Half Step Down (D#G#C#F#A#D#)</v>
      </c>
      <c r="I30" s="44" t="s">
        <v>65</v>
      </c>
      <c r="J30" s="68" t="s">
        <v>14</v>
      </c>
      <c r="K30" s="44" t="str">
        <f>INDEX(Helper!$F:$F, MATCH(J30, Helper!$E:$E, 0))</f>
        <v>#FFE000</v>
      </c>
      <c r="L30" s="45" t="s">
        <v>422</v>
      </c>
      <c r="M30" s="45" t="s">
        <v>615</v>
      </c>
      <c r="N30" s="46" t="s">
        <v>668</v>
      </c>
      <c r="O30" s="76" t="s">
        <v>966</v>
      </c>
    </row>
    <row r="31" spans="1:15" ht="77.150000000000006" x14ac:dyDescent="0.4">
      <c r="A31" s="44">
        <v>28</v>
      </c>
      <c r="B31" s="44">
        <v>1</v>
      </c>
      <c r="C31" s="45" t="str">
        <f>INDEX(Helper!$N$2:$N$4, MATCH(B31, Helper!$M$2:$M$4, 0))</f>
        <v>Beginner</v>
      </c>
      <c r="D31" s="45" t="s">
        <v>261</v>
      </c>
      <c r="E31" s="45" t="s">
        <v>262</v>
      </c>
      <c r="F31" s="5">
        <v>1</v>
      </c>
      <c r="G31" s="44">
        <v>1</v>
      </c>
      <c r="H31" s="44" t="str">
        <f>INDEX(Helper!$C:$C, MATCH(G31, Helper!$A:$A, 0))</f>
        <v>Standard (EADGBE)</v>
      </c>
      <c r="I31" s="44" t="s">
        <v>619</v>
      </c>
      <c r="J31" s="60" t="s">
        <v>372</v>
      </c>
      <c r="K31" s="44" t="str">
        <f>INDEX(Helper!$F:$F, MATCH(J31, Helper!$E:$E, 0))</f>
        <v>#B3F141</v>
      </c>
      <c r="L31" s="45" t="s">
        <v>423</v>
      </c>
      <c r="M31" s="45" t="s">
        <v>615</v>
      </c>
      <c r="N31" s="46" t="s">
        <v>669</v>
      </c>
      <c r="O31" s="76" t="s">
        <v>967</v>
      </c>
    </row>
    <row r="32" spans="1:15" ht="77.150000000000006" x14ac:dyDescent="0.4">
      <c r="A32" s="44">
        <v>29</v>
      </c>
      <c r="B32" s="44">
        <v>1</v>
      </c>
      <c r="C32" s="45" t="str">
        <f>INDEX(Helper!$N$2:$N$4, MATCH(B32, Helper!$M$2:$M$4, 0))</f>
        <v>Beginner</v>
      </c>
      <c r="D32" s="45" t="s">
        <v>263</v>
      </c>
      <c r="E32" s="45" t="s">
        <v>264</v>
      </c>
      <c r="F32" s="5">
        <v>1</v>
      </c>
      <c r="G32" s="44">
        <v>1</v>
      </c>
      <c r="H32" s="44" t="str">
        <f>INDEX(Helper!$C:$C, MATCH(G32, Helper!$A:$A, 0))</f>
        <v>Standard (EADGBE)</v>
      </c>
      <c r="I32" s="44" t="s">
        <v>619</v>
      </c>
      <c r="J32" s="65" t="s">
        <v>13</v>
      </c>
      <c r="K32" s="44" t="str">
        <f>INDEX(Helper!$F:$F, MATCH(J32, Helper!$E:$E, 0))</f>
        <v>#FF4F53</v>
      </c>
      <c r="L32" s="45" t="s">
        <v>424</v>
      </c>
      <c r="M32" s="45" t="s">
        <v>615</v>
      </c>
      <c r="N32" s="46" t="s">
        <v>670</v>
      </c>
      <c r="O32" s="76" t="s">
        <v>968</v>
      </c>
    </row>
    <row r="33" spans="1:15" ht="77.150000000000006" x14ac:dyDescent="0.4">
      <c r="A33" s="44">
        <v>30</v>
      </c>
      <c r="B33" s="44">
        <v>1</v>
      </c>
      <c r="C33" s="45" t="str">
        <f>INDEX(Helper!$N$2:$N$4, MATCH(B33, Helper!$M$2:$M$4, 0))</f>
        <v>Beginner</v>
      </c>
      <c r="D33" s="45" t="s">
        <v>265</v>
      </c>
      <c r="E33" s="45" t="s">
        <v>266</v>
      </c>
      <c r="F33" s="5">
        <v>1</v>
      </c>
      <c r="G33" s="44">
        <v>1</v>
      </c>
      <c r="H33" s="44" t="str">
        <f>INDEX(Helper!$C:$C, MATCH(G33, Helper!$A:$A, 0))</f>
        <v>Standard (EADGBE)</v>
      </c>
      <c r="I33" s="44" t="s">
        <v>63</v>
      </c>
      <c r="J33" s="59" t="s">
        <v>10</v>
      </c>
      <c r="K33" s="44" t="str">
        <f>INDEX(Helper!$F:$F, MATCH(J33, Helper!$E:$E, 0))</f>
        <v>#F5943C</v>
      </c>
      <c r="L33" s="45" t="s">
        <v>937</v>
      </c>
      <c r="M33" s="45" t="s">
        <v>615</v>
      </c>
      <c r="N33" s="46" t="s">
        <v>671</v>
      </c>
      <c r="O33" s="76" t="s">
        <v>969</v>
      </c>
    </row>
    <row r="34" spans="1:15" ht="167.15" x14ac:dyDescent="0.4">
      <c r="A34" s="44">
        <v>31</v>
      </c>
      <c r="B34" s="44">
        <v>3</v>
      </c>
      <c r="C34" s="45" t="str">
        <f>INDEX(Helper!$N$2:$N$4, MATCH(B34, Helper!$M$2:$M$4, 0))</f>
        <v>Advanced</v>
      </c>
      <c r="D34" s="45" t="s">
        <v>267</v>
      </c>
      <c r="E34" s="45" t="s">
        <v>268</v>
      </c>
      <c r="F34" s="5">
        <v>0</v>
      </c>
      <c r="G34" s="44">
        <v>3</v>
      </c>
      <c r="H34" s="44" t="str">
        <f>INDEX(Helper!$C:$C, MATCH(G34, Helper!$A:$A, 0))</f>
        <v>Half Step Down (D#G#C#F#A#D#)</v>
      </c>
      <c r="I34" s="44" t="s">
        <v>69</v>
      </c>
      <c r="J34" s="64" t="s">
        <v>25</v>
      </c>
      <c r="K34" s="44" t="str">
        <f>INDEX(Helper!$F:$F, MATCH(J34, Helper!$E:$E, 0))</f>
        <v>#C2C2A1</v>
      </c>
      <c r="L34" s="45" t="s">
        <v>425</v>
      </c>
      <c r="M34" s="45" t="s">
        <v>615</v>
      </c>
      <c r="N34" s="46" t="s">
        <v>672</v>
      </c>
      <c r="O34" s="76" t="s">
        <v>970</v>
      </c>
    </row>
    <row r="35" spans="1:15" ht="77.150000000000006" x14ac:dyDescent="0.4">
      <c r="A35" s="44">
        <v>32</v>
      </c>
      <c r="B35" s="44">
        <v>1</v>
      </c>
      <c r="C35" s="45" t="str">
        <f>INDEX(Helper!$N$2:$N$4, MATCH(B35, Helper!$M$2:$M$4, 0))</f>
        <v>Beginner</v>
      </c>
      <c r="D35" s="45" t="s">
        <v>269</v>
      </c>
      <c r="E35" s="45" t="s">
        <v>270</v>
      </c>
      <c r="F35" s="5">
        <v>1</v>
      </c>
      <c r="G35" s="44">
        <v>1</v>
      </c>
      <c r="H35" s="44" t="str">
        <f>INDEX(Helper!$C:$C, MATCH(G35, Helper!$A:$A, 0))</f>
        <v>Standard (EADGBE)</v>
      </c>
      <c r="I35" s="44" t="s">
        <v>637</v>
      </c>
      <c r="J35" s="64" t="s">
        <v>25</v>
      </c>
      <c r="K35" s="44" t="str">
        <f>INDEX(Helper!$F:$F, MATCH(J35, Helper!$E:$E, 0))</f>
        <v>#C2C2A1</v>
      </c>
      <c r="L35" s="45" t="s">
        <v>426</v>
      </c>
      <c r="M35" s="45" t="s">
        <v>615</v>
      </c>
      <c r="N35" s="46" t="s">
        <v>673</v>
      </c>
      <c r="O35" s="76" t="s">
        <v>971</v>
      </c>
    </row>
    <row r="36" spans="1:15" ht="77.150000000000006" x14ac:dyDescent="0.4">
      <c r="A36" s="44">
        <v>33</v>
      </c>
      <c r="B36" s="44">
        <v>1</v>
      </c>
      <c r="C36" s="45" t="str">
        <f>INDEX(Helper!$N$2:$N$4, MATCH(B36, Helper!$M$2:$M$4, 0))</f>
        <v>Beginner</v>
      </c>
      <c r="D36" s="45" t="s">
        <v>271</v>
      </c>
      <c r="E36" s="45" t="s">
        <v>272</v>
      </c>
      <c r="F36" s="5">
        <v>0</v>
      </c>
      <c r="G36" s="44">
        <v>1</v>
      </c>
      <c r="H36" s="44" t="str">
        <f>INDEX(Helper!$C:$C, MATCH(G36, Helper!$A:$A, 0))</f>
        <v>Standard (EADGBE)</v>
      </c>
      <c r="I36" s="44" t="s">
        <v>619</v>
      </c>
      <c r="J36" s="64" t="s">
        <v>15</v>
      </c>
      <c r="K36" s="44" t="str">
        <f>INDEX(Helper!$F:$F, MATCH(J36, Helper!$E:$E, 0))</f>
        <v>#C2C2A1</v>
      </c>
      <c r="L36" s="45" t="s">
        <v>427</v>
      </c>
      <c r="M36" s="45" t="s">
        <v>615</v>
      </c>
      <c r="N36" s="46" t="s">
        <v>674</v>
      </c>
      <c r="O36" s="76" t="s">
        <v>972</v>
      </c>
    </row>
    <row r="37" spans="1:15" ht="167.15" x14ac:dyDescent="0.4">
      <c r="A37" s="44">
        <v>34</v>
      </c>
      <c r="B37" s="44">
        <v>1</v>
      </c>
      <c r="C37" s="45" t="str">
        <f>INDEX(Helper!$N$2:$N$4, MATCH(B37, Helper!$M$2:$M$4, 0))</f>
        <v>Beginner</v>
      </c>
      <c r="D37" s="45" t="s">
        <v>38</v>
      </c>
      <c r="E37" s="45" t="s">
        <v>273</v>
      </c>
      <c r="F37" s="5">
        <v>1</v>
      </c>
      <c r="G37" s="44">
        <v>1</v>
      </c>
      <c r="H37" s="44" t="str">
        <f>INDEX(Helper!$C:$C, MATCH(G37, Helper!$A:$A, 0))</f>
        <v>Standard (EADGBE)</v>
      </c>
      <c r="I37" s="44" t="s">
        <v>61</v>
      </c>
      <c r="J37" s="59" t="s">
        <v>10</v>
      </c>
      <c r="K37" s="44" t="str">
        <f>INDEX(Helper!$F:$F, MATCH(J37, Helper!$E:$E, 0))</f>
        <v>#F5943C</v>
      </c>
      <c r="L37" s="45" t="s">
        <v>428</v>
      </c>
      <c r="M37" s="45" t="s">
        <v>615</v>
      </c>
      <c r="N37" s="46" t="s">
        <v>675</v>
      </c>
      <c r="O37" s="76" t="s">
        <v>973</v>
      </c>
    </row>
    <row r="38" spans="1:15" ht="257.14999999999998" x14ac:dyDescent="0.4">
      <c r="A38" s="44">
        <v>35</v>
      </c>
      <c r="B38" s="44">
        <v>1</v>
      </c>
      <c r="C38" s="45" t="str">
        <f>INDEX(Helper!$N$2:$N$4, MATCH(B38, Helper!$M$2:$M$4, 0))</f>
        <v>Beginner</v>
      </c>
      <c r="D38" s="45" t="s">
        <v>39</v>
      </c>
      <c r="E38" s="45" t="s">
        <v>54</v>
      </c>
      <c r="F38" s="5">
        <v>1</v>
      </c>
      <c r="G38" s="44">
        <v>3</v>
      </c>
      <c r="H38" s="44" t="str">
        <f>INDEX(Helper!$C:$C, MATCH(G38, Helper!$A:$A, 0))</f>
        <v>Half Step Down (D#G#C#F#A#D#)</v>
      </c>
      <c r="I38" s="44" t="s">
        <v>68</v>
      </c>
      <c r="J38" s="69" t="s">
        <v>17</v>
      </c>
      <c r="K38" s="44" t="str">
        <f>INDEX(Helper!$F:$F, MATCH(J38, Helper!$E:$E, 0))</f>
        <v>#F75269</v>
      </c>
      <c r="L38" s="45" t="s">
        <v>429</v>
      </c>
      <c r="M38" s="45" t="s">
        <v>615</v>
      </c>
      <c r="N38" s="46" t="s">
        <v>676</v>
      </c>
      <c r="O38" s="76" t="s">
        <v>974</v>
      </c>
    </row>
    <row r="39" spans="1:15" ht="192.9" x14ac:dyDescent="0.4">
      <c r="A39" s="44">
        <v>36</v>
      </c>
      <c r="B39" s="44">
        <v>1</v>
      </c>
      <c r="C39" s="45" t="str">
        <f>INDEX(Helper!$N$2:$N$4, MATCH(B39, Helper!$M$2:$M$4, 0))</f>
        <v>Beginner</v>
      </c>
      <c r="D39" s="45" t="s">
        <v>40</v>
      </c>
      <c r="E39" s="45" t="s">
        <v>56</v>
      </c>
      <c r="F39" s="5">
        <v>0</v>
      </c>
      <c r="G39" s="44">
        <v>2</v>
      </c>
      <c r="H39" s="44" t="str">
        <f>INDEX(Helper!$C:$C, MATCH(G39, Helper!$A:$A, 0))</f>
        <v>Drop D (DADGBE)</v>
      </c>
      <c r="I39" s="44" t="s">
        <v>624</v>
      </c>
      <c r="J39" s="65" t="s">
        <v>13</v>
      </c>
      <c r="K39" s="44" t="str">
        <f>INDEX(Helper!$F:$F, MATCH(J39, Helper!$E:$E, 0))</f>
        <v>#FF4F53</v>
      </c>
      <c r="L39" s="45" t="s">
        <v>430</v>
      </c>
      <c r="M39" s="45" t="s">
        <v>615</v>
      </c>
      <c r="N39" s="46" t="s">
        <v>677</v>
      </c>
      <c r="O39" s="76" t="s">
        <v>975</v>
      </c>
    </row>
    <row r="40" spans="1:15" ht="77.150000000000006" x14ac:dyDescent="0.4">
      <c r="A40" s="44">
        <v>37</v>
      </c>
      <c r="B40" s="44">
        <v>1</v>
      </c>
      <c r="C40" s="45" t="str">
        <f>INDEX(Helper!$N$2:$N$4, MATCH(B40, Helper!$M$2:$M$4, 0))</f>
        <v>Beginner</v>
      </c>
      <c r="D40" s="45" t="s">
        <v>232</v>
      </c>
      <c r="E40" s="45" t="s">
        <v>274</v>
      </c>
      <c r="F40" s="5">
        <v>0</v>
      </c>
      <c r="G40" s="44">
        <v>5</v>
      </c>
      <c r="H40" s="44" t="str">
        <f>INDEX(Helper!$C:$C, MATCH(G40, Helper!$A:$A, 0))</f>
        <v>Whole Step Down (DGCFAD)</v>
      </c>
      <c r="I40" s="44" t="s">
        <v>627</v>
      </c>
      <c r="J40" s="69" t="s">
        <v>17</v>
      </c>
      <c r="K40" s="44" t="str">
        <f>INDEX(Helper!$F:$F, MATCH(J40, Helper!$E:$E, 0))</f>
        <v>#F75269</v>
      </c>
      <c r="L40" s="45" t="s">
        <v>431</v>
      </c>
      <c r="M40" s="45" t="s">
        <v>615</v>
      </c>
      <c r="N40" s="46" t="s">
        <v>678</v>
      </c>
      <c r="O40" s="76" t="s">
        <v>976</v>
      </c>
    </row>
    <row r="41" spans="1:15" ht="257.14999999999998" x14ac:dyDescent="0.4">
      <c r="A41" s="44">
        <v>38</v>
      </c>
      <c r="B41" s="44">
        <v>1</v>
      </c>
      <c r="C41" s="45" t="str">
        <f>INDEX(Helper!$N$2:$N$4, MATCH(B41, Helper!$M$2:$M$4, 0))</f>
        <v>Beginner</v>
      </c>
      <c r="D41" s="45" t="s">
        <v>127</v>
      </c>
      <c r="E41" s="45" t="s">
        <v>275</v>
      </c>
      <c r="F41" s="5">
        <v>0</v>
      </c>
      <c r="G41" s="44">
        <v>1</v>
      </c>
      <c r="H41" s="44" t="str">
        <f>INDEX(Helper!$C:$C, MATCH(G41, Helper!$A:$A, 0))</f>
        <v>Standard (EADGBE)</v>
      </c>
      <c r="I41" s="44" t="s">
        <v>394</v>
      </c>
      <c r="J41" s="59" t="s">
        <v>10</v>
      </c>
      <c r="K41" s="44" t="str">
        <f>INDEX(Helper!$F:$F, MATCH(J41, Helper!$E:$E, 0))</f>
        <v>#F5943C</v>
      </c>
      <c r="L41" s="45" t="s">
        <v>432</v>
      </c>
      <c r="M41" s="45" t="s">
        <v>615</v>
      </c>
      <c r="N41" s="46" t="s">
        <v>679</v>
      </c>
      <c r="O41" s="76" t="s">
        <v>977</v>
      </c>
    </row>
    <row r="42" spans="1:15" ht="167.15" x14ac:dyDescent="0.4">
      <c r="A42" s="44">
        <v>39</v>
      </c>
      <c r="B42" s="44">
        <v>1</v>
      </c>
      <c r="C42" s="45" t="str">
        <f>INDEX(Helper!$N$2:$N$4, MATCH(B42, Helper!$M$2:$M$4, 0))</f>
        <v>Beginner</v>
      </c>
      <c r="D42" s="45" t="s">
        <v>276</v>
      </c>
      <c r="E42" s="45" t="s">
        <v>277</v>
      </c>
      <c r="F42" s="5">
        <v>1</v>
      </c>
      <c r="G42" s="44">
        <v>1</v>
      </c>
      <c r="H42" s="44" t="str">
        <f>INDEX(Helper!$C:$C, MATCH(G42, Helper!$A:$A, 0))</f>
        <v>Standard (EADGBE)</v>
      </c>
      <c r="I42" s="44" t="s">
        <v>638</v>
      </c>
      <c r="J42" s="64" t="s">
        <v>15</v>
      </c>
      <c r="K42" s="44" t="str">
        <f>INDEX(Helper!$F:$F, MATCH(J42, Helper!$E:$E, 0))</f>
        <v>#C2C2A1</v>
      </c>
      <c r="L42" s="45" t="s">
        <v>433</v>
      </c>
      <c r="M42" s="45" t="s">
        <v>615</v>
      </c>
      <c r="N42" s="46" t="s">
        <v>680</v>
      </c>
      <c r="O42" s="76" t="s">
        <v>978</v>
      </c>
    </row>
    <row r="43" spans="1:15" ht="77.150000000000006" x14ac:dyDescent="0.4">
      <c r="A43" s="44">
        <v>40</v>
      </c>
      <c r="B43" s="44">
        <v>1</v>
      </c>
      <c r="C43" s="45" t="str">
        <f>INDEX(Helper!$N$2:$N$4, MATCH(B43, Helper!$M$2:$M$4, 0))</f>
        <v>Beginner</v>
      </c>
      <c r="D43" s="45" t="s">
        <v>140</v>
      </c>
      <c r="E43" s="45" t="s">
        <v>278</v>
      </c>
      <c r="F43" s="5">
        <v>1</v>
      </c>
      <c r="G43" s="44">
        <v>1</v>
      </c>
      <c r="H43" s="44" t="str">
        <f>INDEX(Helper!$C:$C, MATCH(G43, Helper!$A:$A, 0))</f>
        <v>Standard (EADGBE)</v>
      </c>
      <c r="I43" s="44" t="s">
        <v>394</v>
      </c>
      <c r="J43" s="61" t="s">
        <v>11</v>
      </c>
      <c r="K43" s="44" t="str">
        <f>INDEX(Helper!$F:$F, MATCH(J43, Helper!$E:$E, 0))</f>
        <v>#E8AD1D</v>
      </c>
      <c r="L43" s="45" t="s">
        <v>434</v>
      </c>
      <c r="M43" s="45" t="s">
        <v>615</v>
      </c>
      <c r="N43" s="46" t="s">
        <v>681</v>
      </c>
      <c r="O43" s="76" t="s">
        <v>979</v>
      </c>
    </row>
    <row r="44" spans="1:15" ht="167.15" x14ac:dyDescent="0.4">
      <c r="A44" s="44">
        <v>41</v>
      </c>
      <c r="B44" s="44">
        <v>1</v>
      </c>
      <c r="C44" s="45" t="str">
        <f>INDEX(Helper!$N$2:$N$4, MATCH(B44, Helper!$M$2:$M$4, 0))</f>
        <v>Beginner</v>
      </c>
      <c r="D44" s="45" t="s">
        <v>88</v>
      </c>
      <c r="E44" s="45" t="s">
        <v>279</v>
      </c>
      <c r="F44" s="5">
        <v>1</v>
      </c>
      <c r="G44" s="44">
        <v>2</v>
      </c>
      <c r="H44" s="44" t="str">
        <f>INDEX(Helper!$C:$C, MATCH(G44, Helper!$A:$A, 0))</f>
        <v>Drop D (DADGBE)</v>
      </c>
      <c r="I44" s="44" t="s">
        <v>627</v>
      </c>
      <c r="J44" s="65" t="s">
        <v>13</v>
      </c>
      <c r="K44" s="44" t="str">
        <f>INDEX(Helper!$F:$F, MATCH(J44, Helper!$E:$E, 0))</f>
        <v>#FF4F53</v>
      </c>
      <c r="L44" s="45" t="s">
        <v>435</v>
      </c>
      <c r="M44" s="45" t="s">
        <v>615</v>
      </c>
      <c r="N44" s="46" t="s">
        <v>682</v>
      </c>
      <c r="O44" s="76" t="s">
        <v>980</v>
      </c>
    </row>
    <row r="45" spans="1:15" ht="257.14999999999998" x14ac:dyDescent="0.4">
      <c r="A45" s="44">
        <v>42</v>
      </c>
      <c r="B45" s="44">
        <v>1</v>
      </c>
      <c r="C45" s="45" t="str">
        <f>INDEX(Helper!$N$2:$N$4, MATCH(B45, Helper!$M$2:$M$4, 0))</f>
        <v>Beginner</v>
      </c>
      <c r="D45" s="45" t="s">
        <v>78</v>
      </c>
      <c r="E45" s="45" t="s">
        <v>280</v>
      </c>
      <c r="F45" s="5">
        <v>1</v>
      </c>
      <c r="G45" s="44">
        <v>6</v>
      </c>
      <c r="H45" s="44" t="str">
        <f>INDEX(Helper!$C:$C, MATCH(G45, Helper!$A:$A, 0))</f>
        <v>Drop DG (DGDGBE)</v>
      </c>
      <c r="I45" s="44" t="s">
        <v>62</v>
      </c>
      <c r="J45" s="65" t="s">
        <v>13</v>
      </c>
      <c r="K45" s="44" t="str">
        <f>INDEX(Helper!$F:$F, MATCH(J45, Helper!$E:$E, 0))</f>
        <v>#FF4F53</v>
      </c>
      <c r="L45" s="45" t="s">
        <v>436</v>
      </c>
      <c r="M45" s="45" t="s">
        <v>615</v>
      </c>
      <c r="N45" s="46" t="s">
        <v>683</v>
      </c>
      <c r="O45" s="76" t="s">
        <v>981</v>
      </c>
    </row>
    <row r="46" spans="1:15" ht="167.15" x14ac:dyDescent="0.4">
      <c r="A46" s="44">
        <v>43</v>
      </c>
      <c r="B46" s="44">
        <v>1</v>
      </c>
      <c r="C46" s="45" t="str">
        <f>INDEX(Helper!$N$2:$N$4, MATCH(B46, Helper!$M$2:$M$4, 0))</f>
        <v>Beginner</v>
      </c>
      <c r="D46" s="45" t="s">
        <v>281</v>
      </c>
      <c r="E46" s="45" t="s">
        <v>282</v>
      </c>
      <c r="F46" s="5">
        <v>1</v>
      </c>
      <c r="G46" s="44">
        <v>1</v>
      </c>
      <c r="H46" s="44" t="str">
        <f>INDEX(Helper!$C:$C, MATCH(G46, Helper!$A:$A, 0))</f>
        <v>Standard (EADGBE)</v>
      </c>
      <c r="I46" s="44" t="s">
        <v>638</v>
      </c>
      <c r="J46" s="61" t="s">
        <v>11</v>
      </c>
      <c r="K46" s="44" t="str">
        <f>INDEX(Helper!$F:$F, MATCH(J46, Helper!$E:$E, 0))</f>
        <v>#E8AD1D</v>
      </c>
      <c r="L46" s="45" t="s">
        <v>437</v>
      </c>
      <c r="M46" s="45" t="s">
        <v>615</v>
      </c>
      <c r="N46" s="46" t="s">
        <v>684</v>
      </c>
      <c r="O46" s="76" t="s">
        <v>982</v>
      </c>
    </row>
    <row r="47" spans="1:15" ht="77.150000000000006" x14ac:dyDescent="0.4">
      <c r="A47" s="44">
        <v>44</v>
      </c>
      <c r="B47" s="44">
        <v>1</v>
      </c>
      <c r="C47" s="45" t="str">
        <f>INDEX(Helper!$N$2:$N$4, MATCH(B47, Helper!$M$2:$M$4, 0))</f>
        <v>Beginner</v>
      </c>
      <c r="D47" s="45" t="s">
        <v>261</v>
      </c>
      <c r="E47" s="45" t="s">
        <v>283</v>
      </c>
      <c r="F47" s="5">
        <v>1</v>
      </c>
      <c r="G47" s="44">
        <v>1</v>
      </c>
      <c r="H47" s="44" t="str">
        <f>INDEX(Helper!$C:$C, MATCH(G47, Helper!$A:$A, 0))</f>
        <v>Standard (EADGBE)</v>
      </c>
      <c r="I47" s="44" t="s">
        <v>394</v>
      </c>
      <c r="J47" s="59" t="s">
        <v>10</v>
      </c>
      <c r="K47" s="44" t="str">
        <f>INDEX(Helper!$F:$F, MATCH(J47, Helper!$E:$E, 0))</f>
        <v>#F5943C</v>
      </c>
      <c r="L47" s="45" t="s">
        <v>438</v>
      </c>
      <c r="M47" s="45" t="s">
        <v>615</v>
      </c>
      <c r="N47" s="46" t="s">
        <v>685</v>
      </c>
      <c r="O47" s="76" t="s">
        <v>983</v>
      </c>
    </row>
    <row r="48" spans="1:15" ht="347.15" x14ac:dyDescent="0.4">
      <c r="A48" s="44">
        <v>45</v>
      </c>
      <c r="B48" s="44">
        <v>2</v>
      </c>
      <c r="C48" s="45" t="str">
        <f>INDEX(Helper!$N$2:$N$4, MATCH(B48, Helper!$M$2:$M$4, 0))</f>
        <v>Intermediate</v>
      </c>
      <c r="D48" s="45" t="s">
        <v>41</v>
      </c>
      <c r="E48" s="45" t="s">
        <v>737</v>
      </c>
      <c r="F48" s="5">
        <v>0</v>
      </c>
      <c r="G48" s="44">
        <v>3</v>
      </c>
      <c r="H48" s="44" t="str">
        <f>INDEX(Helper!$C:$C, MATCH(G48, Helper!$A:$A, 0))</f>
        <v>Half Step Down (D#G#C#F#A#D#)</v>
      </c>
      <c r="I48" s="44" t="s">
        <v>627</v>
      </c>
      <c r="J48" s="59" t="s">
        <v>10</v>
      </c>
      <c r="K48" s="44" t="str">
        <f>INDEX(Helper!$F:$F, MATCH(J48, Helper!$E:$E, 0))</f>
        <v>#F5943C</v>
      </c>
      <c r="L48" s="45" t="s">
        <v>439</v>
      </c>
      <c r="M48" s="45" t="s">
        <v>615</v>
      </c>
      <c r="N48" s="46" t="s">
        <v>686</v>
      </c>
      <c r="O48" s="76" t="s">
        <v>984</v>
      </c>
    </row>
    <row r="49" spans="1:15" ht="167.15" x14ac:dyDescent="0.4">
      <c r="A49" s="44">
        <v>46</v>
      </c>
      <c r="B49" s="44">
        <v>2</v>
      </c>
      <c r="C49" s="45" t="str">
        <f>INDEX(Helper!$N$2:$N$4, MATCH(B49, Helper!$M$2:$M$4, 0))</f>
        <v>Intermediate</v>
      </c>
      <c r="D49" s="45" t="s">
        <v>284</v>
      </c>
      <c r="E49" s="45" t="s">
        <v>285</v>
      </c>
      <c r="F49" s="5">
        <v>0</v>
      </c>
      <c r="G49" s="44">
        <v>1</v>
      </c>
      <c r="H49" s="44" t="str">
        <f>INDEX(Helper!$C:$C, MATCH(G49, Helper!$A:$A, 0))</f>
        <v>Standard (EADGBE)</v>
      </c>
      <c r="I49" s="44" t="s">
        <v>65</v>
      </c>
      <c r="J49" s="63" t="s">
        <v>24</v>
      </c>
      <c r="K49" s="44" t="str">
        <f>INDEX(Helper!$F:$F, MATCH(J49, Helper!$E:$E, 0))</f>
        <v>#F1D764</v>
      </c>
      <c r="L49" s="45" t="s">
        <v>440</v>
      </c>
      <c r="M49" s="45" t="s">
        <v>615</v>
      </c>
      <c r="N49" s="46" t="s">
        <v>687</v>
      </c>
      <c r="O49" s="76" t="s">
        <v>985</v>
      </c>
    </row>
    <row r="50" spans="1:15" ht="167.15" x14ac:dyDescent="0.4">
      <c r="A50" s="44">
        <v>47</v>
      </c>
      <c r="B50" s="44">
        <v>2</v>
      </c>
      <c r="C50" s="45" t="str">
        <f>INDEX(Helper!$N$2:$N$4, MATCH(B50, Helper!$M$2:$M$4, 0))</f>
        <v>Intermediate</v>
      </c>
      <c r="D50" s="45" t="s">
        <v>245</v>
      </c>
      <c r="E50" s="45" t="s">
        <v>286</v>
      </c>
      <c r="F50" s="5">
        <v>0</v>
      </c>
      <c r="G50" s="44">
        <v>1</v>
      </c>
      <c r="H50" s="44" t="str">
        <f>INDEX(Helper!$C:$C, MATCH(G50, Helper!$A:$A, 0))</f>
        <v>Standard (EADGBE)</v>
      </c>
      <c r="I50" s="44" t="s">
        <v>638</v>
      </c>
      <c r="J50" s="64" t="s">
        <v>15</v>
      </c>
      <c r="K50" s="44" t="str">
        <f>INDEX(Helper!$F:$F, MATCH(J50, Helper!$E:$E, 0))</f>
        <v>#C2C2A1</v>
      </c>
      <c r="L50" s="45" t="s">
        <v>441</v>
      </c>
      <c r="M50" s="45" t="s">
        <v>615</v>
      </c>
      <c r="N50" s="46" t="s">
        <v>688</v>
      </c>
      <c r="O50" s="76" t="s">
        <v>986</v>
      </c>
    </row>
    <row r="51" spans="1:15" ht="77.150000000000006" x14ac:dyDescent="0.4">
      <c r="A51" s="44">
        <v>48</v>
      </c>
      <c r="B51" s="44">
        <v>2</v>
      </c>
      <c r="C51" s="45" t="str">
        <f>INDEX(Helper!$N$2:$N$4, MATCH(B51, Helper!$M$2:$M$4, 0))</f>
        <v>Intermediate</v>
      </c>
      <c r="D51" s="45" t="s">
        <v>99</v>
      </c>
      <c r="E51" s="45" t="s">
        <v>287</v>
      </c>
      <c r="F51" s="5">
        <v>1</v>
      </c>
      <c r="G51" s="44">
        <v>1</v>
      </c>
      <c r="H51" s="44" t="str">
        <f>INDEX(Helper!$C:$C, MATCH(G51, Helper!$A:$A, 0))</f>
        <v>Standard (EADGBE)</v>
      </c>
      <c r="I51" s="44" t="s">
        <v>637</v>
      </c>
      <c r="J51" s="59" t="s">
        <v>10</v>
      </c>
      <c r="K51" s="44" t="str">
        <f>INDEX(Helper!$F:$F, MATCH(J51, Helper!$E:$E, 0))</f>
        <v>#F5943C</v>
      </c>
      <c r="L51" s="45" t="s">
        <v>442</v>
      </c>
      <c r="M51" s="45" t="s">
        <v>615</v>
      </c>
      <c r="N51" s="46" t="s">
        <v>689</v>
      </c>
      <c r="O51" s="76" t="s">
        <v>987</v>
      </c>
    </row>
    <row r="52" spans="1:15" ht="167.15" x14ac:dyDescent="0.4">
      <c r="A52" s="44">
        <v>49</v>
      </c>
      <c r="B52" s="44">
        <v>2</v>
      </c>
      <c r="C52" s="45" t="str">
        <f>INDEX(Helper!$N$2:$N$4, MATCH(B52, Helper!$M$2:$M$4, 0))</f>
        <v>Intermediate</v>
      </c>
      <c r="D52" s="45" t="s">
        <v>288</v>
      </c>
      <c r="E52" s="45" t="s">
        <v>289</v>
      </c>
      <c r="F52" s="5">
        <v>0</v>
      </c>
      <c r="G52" s="44">
        <v>3</v>
      </c>
      <c r="H52" s="44" t="str">
        <f>INDEX(Helper!$C:$C, MATCH(G52, Helper!$A:$A, 0))</f>
        <v>Half Step Down (D#G#C#F#A#D#)</v>
      </c>
      <c r="I52" s="44" t="s">
        <v>394</v>
      </c>
      <c r="J52" s="60" t="s">
        <v>28</v>
      </c>
      <c r="K52" s="44" t="str">
        <f>INDEX(Helper!$F:$F, MATCH(J52, Helper!$E:$E, 0))</f>
        <v>#B3F141</v>
      </c>
      <c r="L52" s="45" t="s">
        <v>443</v>
      </c>
      <c r="M52" s="45" t="s">
        <v>615</v>
      </c>
      <c r="N52" s="46" t="s">
        <v>690</v>
      </c>
      <c r="O52" s="76" t="s">
        <v>988</v>
      </c>
    </row>
    <row r="53" spans="1:15" ht="77.150000000000006" x14ac:dyDescent="0.4">
      <c r="A53" s="44">
        <v>50</v>
      </c>
      <c r="B53" s="44">
        <v>2</v>
      </c>
      <c r="C53" s="45" t="str">
        <f>INDEX(Helper!$N$2:$N$4, MATCH(B53, Helper!$M$2:$M$4, 0))</f>
        <v>Intermediate</v>
      </c>
      <c r="D53" s="45" t="s">
        <v>88</v>
      </c>
      <c r="E53" s="45" t="s">
        <v>290</v>
      </c>
      <c r="F53" s="5">
        <v>0</v>
      </c>
      <c r="G53" s="44">
        <v>1</v>
      </c>
      <c r="H53" s="44" t="str">
        <f>INDEX(Helper!$C:$C, MATCH(G53, Helper!$A:$A, 0))</f>
        <v>Standard (EADGBE)</v>
      </c>
      <c r="I53" s="44" t="s">
        <v>63</v>
      </c>
      <c r="J53" s="65" t="s">
        <v>13</v>
      </c>
      <c r="K53" s="44" t="str">
        <f>INDEX(Helper!$F:$F, MATCH(J53, Helper!$E:$E, 0))</f>
        <v>#FF4F53</v>
      </c>
      <c r="L53" s="45" t="s">
        <v>444</v>
      </c>
      <c r="M53" s="45" t="s">
        <v>615</v>
      </c>
      <c r="N53" s="46" t="s">
        <v>691</v>
      </c>
      <c r="O53" s="76" t="s">
        <v>989</v>
      </c>
    </row>
    <row r="54" spans="1:15" ht="77.150000000000006" x14ac:dyDescent="0.4">
      <c r="A54" s="44">
        <v>51</v>
      </c>
      <c r="B54" s="44">
        <v>2</v>
      </c>
      <c r="C54" s="45" t="str">
        <f>INDEX(Helper!$N$2:$N$4, MATCH(B54, Helper!$M$2:$M$4, 0))</f>
        <v>Intermediate</v>
      </c>
      <c r="D54" s="45" t="s">
        <v>102</v>
      </c>
      <c r="E54" s="45" t="s">
        <v>291</v>
      </c>
      <c r="F54" s="5">
        <v>0</v>
      </c>
      <c r="G54" s="44">
        <v>1</v>
      </c>
      <c r="H54" s="44" t="str">
        <f>INDEX(Helper!$C:$C, MATCH(G54, Helper!$A:$A, 0))</f>
        <v>Standard (EADGBE)</v>
      </c>
      <c r="I54" s="44" t="s">
        <v>394</v>
      </c>
      <c r="J54" s="70" t="s">
        <v>373</v>
      </c>
      <c r="K54" s="44" t="str">
        <f>INDEX(Helper!$F:$F, MATCH(J54, Helper!$E:$E, 0))</f>
        <v>#C476D4</v>
      </c>
      <c r="L54" s="48" t="s">
        <v>445</v>
      </c>
      <c r="M54" s="45" t="s">
        <v>615</v>
      </c>
      <c r="N54" s="48" t="s">
        <v>692</v>
      </c>
      <c r="O54" s="76" t="s">
        <v>990</v>
      </c>
    </row>
    <row r="55" spans="1:15" ht="77.150000000000006" x14ac:dyDescent="0.4">
      <c r="A55" s="44">
        <v>52</v>
      </c>
      <c r="B55" s="44">
        <v>2</v>
      </c>
      <c r="C55" s="45" t="str">
        <f>INDEX(Helper!$N$2:$N$4, MATCH(B55, Helper!$M$2:$M$4, 0))</f>
        <v>Intermediate</v>
      </c>
      <c r="D55" s="45" t="s">
        <v>292</v>
      </c>
      <c r="E55" s="45" t="s">
        <v>293</v>
      </c>
      <c r="F55" s="5">
        <v>1</v>
      </c>
      <c r="G55" s="44">
        <v>1</v>
      </c>
      <c r="H55" s="44" t="str">
        <f>INDEX(Helper!$C:$C, MATCH(G55, Helper!$A:$A, 0))</f>
        <v>Standard (EADGBE)</v>
      </c>
      <c r="I55" s="44" t="s">
        <v>634</v>
      </c>
      <c r="J55" s="60" t="s">
        <v>374</v>
      </c>
      <c r="K55" s="44" t="str">
        <f>INDEX(Helper!$F:$F, MATCH(J55, Helper!$E:$E, 0))</f>
        <v>#B3F141</v>
      </c>
      <c r="L55" s="45" t="s">
        <v>446</v>
      </c>
      <c r="M55" s="45" t="s">
        <v>615</v>
      </c>
      <c r="N55" s="46" t="s">
        <v>693</v>
      </c>
      <c r="O55" s="76" t="s">
        <v>991</v>
      </c>
    </row>
    <row r="56" spans="1:15" ht="77.150000000000006" x14ac:dyDescent="0.4">
      <c r="A56" s="44">
        <v>53</v>
      </c>
      <c r="B56" s="44">
        <v>2</v>
      </c>
      <c r="C56" s="45" t="str">
        <f>INDEX(Helper!$N$2:$N$4, MATCH(B56, Helper!$M$2:$M$4, 0))</f>
        <v>Intermediate</v>
      </c>
      <c r="D56" s="45" t="s">
        <v>90</v>
      </c>
      <c r="E56" s="45" t="s">
        <v>294</v>
      </c>
      <c r="F56" s="5">
        <v>1</v>
      </c>
      <c r="G56" s="44">
        <v>1</v>
      </c>
      <c r="H56" s="44" t="str">
        <f>INDEX(Helper!$C:$C, MATCH(G56, Helper!$A:$A, 0))</f>
        <v>Standard (EADGBE)</v>
      </c>
      <c r="I56" s="44" t="s">
        <v>62</v>
      </c>
      <c r="J56" s="65" t="s">
        <v>13</v>
      </c>
      <c r="K56" s="44" t="str">
        <f>INDEX(Helper!$F:$F, MATCH(J56, Helper!$E:$E, 0))</f>
        <v>#FF4F53</v>
      </c>
      <c r="L56" s="45" t="s">
        <v>447</v>
      </c>
      <c r="M56" s="45" t="s">
        <v>615</v>
      </c>
      <c r="N56" s="46" t="s">
        <v>694</v>
      </c>
      <c r="O56" s="76" t="s">
        <v>992</v>
      </c>
    </row>
    <row r="57" spans="1:15" ht="77.150000000000006" x14ac:dyDescent="0.4">
      <c r="A57" s="44">
        <v>54</v>
      </c>
      <c r="B57" s="44">
        <v>2</v>
      </c>
      <c r="C57" s="45" t="str">
        <f>INDEX(Helper!$N$2:$N$4, MATCH(B57, Helper!$M$2:$M$4, 0))</f>
        <v>Intermediate</v>
      </c>
      <c r="D57" s="45" t="s">
        <v>34</v>
      </c>
      <c r="E57" s="45" t="s">
        <v>295</v>
      </c>
      <c r="F57" s="5">
        <v>1</v>
      </c>
      <c r="G57" s="44">
        <v>1</v>
      </c>
      <c r="H57" s="44" t="str">
        <f>INDEX(Helper!$C:$C, MATCH(G57, Helper!$A:$A, 0))</f>
        <v>Standard (EADGBE)</v>
      </c>
      <c r="I57" s="44" t="s">
        <v>59</v>
      </c>
      <c r="J57" s="59" t="s">
        <v>10</v>
      </c>
      <c r="K57" s="44" t="str">
        <f>INDEX(Helper!$F:$F, MATCH(J57, Helper!$E:$E, 0))</f>
        <v>#F5943C</v>
      </c>
      <c r="L57" s="45" t="s">
        <v>448</v>
      </c>
      <c r="M57" s="45" t="s">
        <v>615</v>
      </c>
      <c r="N57" s="46" t="s">
        <v>695</v>
      </c>
      <c r="O57" s="76" t="s">
        <v>993</v>
      </c>
    </row>
    <row r="58" spans="1:15" ht="167.15" x14ac:dyDescent="0.4">
      <c r="A58" s="44">
        <v>55</v>
      </c>
      <c r="B58" s="44">
        <v>2</v>
      </c>
      <c r="C58" s="45" t="str">
        <f>INDEX(Helper!$N$2:$N$4, MATCH(B58, Helper!$M$2:$M$4, 0))</f>
        <v>Intermediate</v>
      </c>
      <c r="D58" s="45" t="s">
        <v>296</v>
      </c>
      <c r="E58" s="45" t="s">
        <v>297</v>
      </c>
      <c r="F58" s="5">
        <v>0</v>
      </c>
      <c r="G58" s="44">
        <v>1</v>
      </c>
      <c r="H58" s="44" t="str">
        <f>INDEX(Helper!$C:$C, MATCH(G58, Helper!$A:$A, 0))</f>
        <v>Standard (EADGBE)</v>
      </c>
      <c r="I58" s="44" t="s">
        <v>59</v>
      </c>
      <c r="J58" s="61" t="s">
        <v>11</v>
      </c>
      <c r="K58" s="44" t="str">
        <f>INDEX(Helper!$F:$F, MATCH(J58, Helper!$E:$E, 0))</f>
        <v>#E8AD1D</v>
      </c>
      <c r="L58" s="45" t="s">
        <v>449</v>
      </c>
      <c r="M58" s="45" t="s">
        <v>615</v>
      </c>
      <c r="N58" s="46" t="s">
        <v>696</v>
      </c>
      <c r="O58" s="76" t="s">
        <v>994</v>
      </c>
    </row>
    <row r="59" spans="1:15" ht="77.150000000000006" x14ac:dyDescent="0.4">
      <c r="A59" s="44">
        <v>56</v>
      </c>
      <c r="B59" s="44">
        <v>1</v>
      </c>
      <c r="C59" s="45" t="str">
        <f>INDEX(Helper!$N$2:$N$4, MATCH(B59, Helper!$M$2:$M$4, 0))</f>
        <v>Beginner</v>
      </c>
      <c r="D59" s="45" t="s">
        <v>271</v>
      </c>
      <c r="E59" s="45" t="s">
        <v>298</v>
      </c>
      <c r="F59" s="5">
        <v>1</v>
      </c>
      <c r="G59" s="44">
        <v>1</v>
      </c>
      <c r="H59" s="44" t="str">
        <f>INDEX(Helper!$C:$C, MATCH(G59, Helper!$A:$A, 0))</f>
        <v>Standard (EADGBE)</v>
      </c>
      <c r="I59" s="44" t="s">
        <v>394</v>
      </c>
      <c r="J59" s="64" t="s">
        <v>15</v>
      </c>
      <c r="K59" s="44" t="str">
        <f>INDEX(Helper!$F:$F, MATCH(J59, Helper!$E:$E, 0))</f>
        <v>#C2C2A1</v>
      </c>
      <c r="L59" s="45" t="s">
        <v>450</v>
      </c>
      <c r="M59" s="45" t="s">
        <v>615</v>
      </c>
      <c r="N59" s="46" t="s">
        <v>697</v>
      </c>
      <c r="O59" s="76" t="s">
        <v>995</v>
      </c>
    </row>
    <row r="60" spans="1:15" ht="257.14999999999998" x14ac:dyDescent="0.4">
      <c r="A60" s="44">
        <v>57</v>
      </c>
      <c r="B60" s="44">
        <v>2</v>
      </c>
      <c r="C60" s="45" t="str">
        <f>INDEX(Helper!$N$2:$N$4, MATCH(B60, Helper!$M$2:$M$4, 0))</f>
        <v>Intermediate</v>
      </c>
      <c r="D60" s="45" t="s">
        <v>42</v>
      </c>
      <c r="E60" s="45" t="s">
        <v>45</v>
      </c>
      <c r="F60" s="5">
        <v>0</v>
      </c>
      <c r="G60" s="44">
        <v>1</v>
      </c>
      <c r="H60" s="44" t="str">
        <f>INDEX(Helper!$C:$C, MATCH(G60, Helper!$A:$A, 0))</f>
        <v>Standard (EADGBE)</v>
      </c>
      <c r="I60" s="44" t="s">
        <v>65</v>
      </c>
      <c r="J60" s="70" t="s">
        <v>373</v>
      </c>
      <c r="K60" s="44" t="str">
        <f>INDEX(Helper!$F:$F, MATCH(J60, Helper!$E:$E, 0))</f>
        <v>#C476D4</v>
      </c>
      <c r="L60" s="45" t="s">
        <v>72</v>
      </c>
      <c r="M60" s="45" t="s">
        <v>615</v>
      </c>
      <c r="N60" s="46" t="s">
        <v>698</v>
      </c>
      <c r="O60" s="76" t="s">
        <v>996</v>
      </c>
    </row>
    <row r="61" spans="1:15" ht="167.15" x14ac:dyDescent="0.4">
      <c r="A61" s="44">
        <v>58</v>
      </c>
      <c r="B61" s="44">
        <v>1</v>
      </c>
      <c r="C61" s="45" t="str">
        <f>INDEX(Helper!$N$2:$N$4, MATCH(B61, Helper!$M$2:$M$4, 0))</f>
        <v>Beginner</v>
      </c>
      <c r="D61" s="45" t="s">
        <v>299</v>
      </c>
      <c r="E61" s="45" t="s">
        <v>300</v>
      </c>
      <c r="F61" s="5">
        <v>0</v>
      </c>
      <c r="G61" s="44">
        <v>1</v>
      </c>
      <c r="H61" s="44" t="str">
        <f>INDEX(Helper!$C:$C, MATCH(G61, Helper!$A:$A, 0))</f>
        <v>Standard (EADGBE)</v>
      </c>
      <c r="I61" s="44" t="s">
        <v>619</v>
      </c>
      <c r="J61" s="64" t="s">
        <v>15</v>
      </c>
      <c r="K61" s="44" t="str">
        <f>INDEX(Helper!$F:$F, MATCH(J61, Helper!$E:$E, 0))</f>
        <v>#C2C2A1</v>
      </c>
      <c r="L61" s="45" t="s">
        <v>389</v>
      </c>
      <c r="M61" s="45" t="s">
        <v>615</v>
      </c>
      <c r="N61" s="46" t="s">
        <v>643</v>
      </c>
      <c r="O61" s="76" t="s">
        <v>997</v>
      </c>
    </row>
    <row r="62" spans="1:15" ht="77.150000000000006" x14ac:dyDescent="0.4">
      <c r="A62" s="44">
        <v>59</v>
      </c>
      <c r="B62" s="44">
        <v>1</v>
      </c>
      <c r="C62" s="45" t="str">
        <f>INDEX(Helper!$N$2:$N$4, MATCH(B62, Helper!$M$2:$M$4, 0))</f>
        <v>Beginner</v>
      </c>
      <c r="D62" s="45" t="s">
        <v>301</v>
      </c>
      <c r="E62" s="45" t="s">
        <v>302</v>
      </c>
      <c r="F62" s="5">
        <v>1</v>
      </c>
      <c r="G62" s="44">
        <v>1</v>
      </c>
      <c r="H62" s="44" t="str">
        <f>INDEX(Helper!$C:$C, MATCH(G62, Helper!$A:$A, 0))</f>
        <v>Standard (EADGBE)</v>
      </c>
      <c r="I62" s="44" t="s">
        <v>59</v>
      </c>
      <c r="J62" s="59" t="s">
        <v>10</v>
      </c>
      <c r="K62" s="44" t="str">
        <f>INDEX(Helper!$F:$F, MATCH(J62, Helper!$E:$E, 0))</f>
        <v>#F5943C</v>
      </c>
      <c r="L62" s="45" t="s">
        <v>451</v>
      </c>
      <c r="M62" s="45" t="s">
        <v>615</v>
      </c>
      <c r="N62" s="46" t="s">
        <v>644</v>
      </c>
      <c r="O62" s="76" t="s">
        <v>998</v>
      </c>
    </row>
    <row r="63" spans="1:15" ht="167.15" x14ac:dyDescent="0.4">
      <c r="A63" s="44">
        <v>60</v>
      </c>
      <c r="B63" s="44">
        <v>2</v>
      </c>
      <c r="C63" s="45" t="str">
        <f>INDEX(Helper!$N$2:$N$4, MATCH(B63, Helper!$M$2:$M$4, 0))</f>
        <v>Intermediate</v>
      </c>
      <c r="D63" s="45" t="s">
        <v>271</v>
      </c>
      <c r="E63" s="45" t="s">
        <v>303</v>
      </c>
      <c r="F63" s="5">
        <v>1</v>
      </c>
      <c r="G63" s="44">
        <v>1</v>
      </c>
      <c r="H63" s="44" t="str">
        <f>INDEX(Helper!$C:$C, MATCH(G63, Helper!$A:$A, 0))</f>
        <v>Standard (EADGBE)</v>
      </c>
      <c r="I63" s="44" t="s">
        <v>66</v>
      </c>
      <c r="J63" s="64" t="s">
        <v>15</v>
      </c>
      <c r="K63" s="44" t="str">
        <f>INDEX(Helper!$F:$F, MATCH(J63, Helper!$E:$E, 0))</f>
        <v>#C2C2A1</v>
      </c>
      <c r="L63" s="45" t="s">
        <v>452</v>
      </c>
      <c r="M63" s="45" t="s">
        <v>615</v>
      </c>
      <c r="N63" s="46" t="s">
        <v>699</v>
      </c>
      <c r="O63" s="76" t="s">
        <v>999</v>
      </c>
    </row>
    <row r="64" spans="1:15" ht="77.150000000000006" x14ac:dyDescent="0.4">
      <c r="A64" s="44">
        <v>61</v>
      </c>
      <c r="B64" s="44">
        <v>2</v>
      </c>
      <c r="C64" s="45" t="str">
        <f>INDEX(Helper!$N$2:$N$4, MATCH(B64, Helper!$M$2:$M$4, 0))</f>
        <v>Intermediate</v>
      </c>
      <c r="D64" s="45" t="s">
        <v>254</v>
      </c>
      <c r="E64" s="45" t="s">
        <v>255</v>
      </c>
      <c r="F64" s="5">
        <v>1</v>
      </c>
      <c r="G64" s="44">
        <v>1</v>
      </c>
      <c r="H64" s="44" t="str">
        <f>INDEX(Helper!$C:$C, MATCH(G64, Helper!$A:$A, 0))</f>
        <v>Standard (EADGBE)</v>
      </c>
      <c r="I64" s="44" t="s">
        <v>59</v>
      </c>
      <c r="J64" s="64" t="s">
        <v>15</v>
      </c>
      <c r="K64" s="44" t="str">
        <f>INDEX(Helper!$F:$F, MATCH(J64, Helper!$E:$E, 0))</f>
        <v>#C2C2A1</v>
      </c>
      <c r="L64" s="45" t="s">
        <v>453</v>
      </c>
      <c r="M64" s="45" t="s">
        <v>615</v>
      </c>
      <c r="N64" s="46" t="s">
        <v>700</v>
      </c>
      <c r="O64" s="76" t="s">
        <v>1000</v>
      </c>
    </row>
    <row r="65" spans="1:15" ht="167.15" x14ac:dyDescent="0.4">
      <c r="A65" s="44">
        <v>62</v>
      </c>
      <c r="B65" s="44">
        <v>2</v>
      </c>
      <c r="C65" s="45" t="str">
        <f>INDEX(Helper!$N$2:$N$4, MATCH(B65, Helper!$M$2:$M$4, 0))</f>
        <v>Intermediate</v>
      </c>
      <c r="D65" s="45" t="s">
        <v>237</v>
      </c>
      <c r="E65" s="45" t="s">
        <v>304</v>
      </c>
      <c r="F65" s="5">
        <v>0</v>
      </c>
      <c r="G65" s="44">
        <v>1</v>
      </c>
      <c r="H65" s="44" t="str">
        <f>INDEX(Helper!$C:$C, MATCH(G65, Helper!$A:$A, 0))</f>
        <v>Standard (EADGBE)</v>
      </c>
      <c r="I65" s="44" t="s">
        <v>63</v>
      </c>
      <c r="J65" s="63" t="s">
        <v>22</v>
      </c>
      <c r="K65" s="44" t="str">
        <f>INDEX(Helper!$F:$F, MATCH(J65, Helper!$E:$E, 0))</f>
        <v>#FFDF66</v>
      </c>
      <c r="L65" s="45" t="s">
        <v>454</v>
      </c>
      <c r="M65" s="45" t="s">
        <v>615</v>
      </c>
      <c r="N65" s="46" t="s">
        <v>701</v>
      </c>
      <c r="O65" s="76" t="s">
        <v>1001</v>
      </c>
    </row>
    <row r="66" spans="1:15" ht="167.15" x14ac:dyDescent="0.4">
      <c r="A66" s="44">
        <v>63</v>
      </c>
      <c r="B66" s="44">
        <v>2</v>
      </c>
      <c r="C66" s="45" t="str">
        <f>INDEX(Helper!$N$2:$N$4, MATCH(B66, Helper!$M$2:$M$4, 0))</f>
        <v>Intermediate</v>
      </c>
      <c r="D66" s="45" t="s">
        <v>305</v>
      </c>
      <c r="E66" s="45" t="s">
        <v>306</v>
      </c>
      <c r="F66" s="5">
        <v>0</v>
      </c>
      <c r="G66" s="44">
        <v>1</v>
      </c>
      <c r="H66" s="44" t="str">
        <f>INDEX(Helper!$C:$C, MATCH(G66, Helper!$A:$A, 0))</f>
        <v>Standard (EADGBE)</v>
      </c>
      <c r="I66" s="44" t="s">
        <v>620</v>
      </c>
      <c r="J66" s="59" t="s">
        <v>10</v>
      </c>
      <c r="K66" s="44" t="str">
        <f>INDEX(Helper!$F:$F, MATCH(J66, Helper!$E:$E, 0))</f>
        <v>#F5943C</v>
      </c>
      <c r="L66" s="45" t="s">
        <v>455</v>
      </c>
      <c r="M66" s="45" t="s">
        <v>615</v>
      </c>
      <c r="N66" s="46" t="s">
        <v>702</v>
      </c>
      <c r="O66" s="76" t="s">
        <v>1002</v>
      </c>
    </row>
    <row r="67" spans="1:15" ht="167.15" x14ac:dyDescent="0.4">
      <c r="A67" s="44">
        <v>64</v>
      </c>
      <c r="B67" s="44">
        <v>2</v>
      </c>
      <c r="C67" s="45" t="str">
        <f>INDEX(Helper!$N$2:$N$4, MATCH(B67, Helper!$M$2:$M$4, 0))</f>
        <v>Intermediate</v>
      </c>
      <c r="D67" s="45" t="s">
        <v>307</v>
      </c>
      <c r="E67" s="45" t="s">
        <v>457</v>
      </c>
      <c r="F67" s="5">
        <v>1</v>
      </c>
      <c r="G67" s="44">
        <v>1</v>
      </c>
      <c r="H67" s="44" t="str">
        <f>INDEX(Helper!$C:$C, MATCH(G67, Helper!$A:$A, 0))</f>
        <v>Standard (EADGBE)</v>
      </c>
      <c r="I67" s="44" t="s">
        <v>66</v>
      </c>
      <c r="J67" s="71" t="s">
        <v>27</v>
      </c>
      <c r="K67" s="44" t="str">
        <f>INDEX(Helper!$F:$F, MATCH(J67, Helper!$E:$E, 0))</f>
        <v>#B2DB4B</v>
      </c>
      <c r="L67" s="45" t="s">
        <v>456</v>
      </c>
      <c r="M67" s="45" t="s">
        <v>615</v>
      </c>
      <c r="N67" s="46" t="s">
        <v>703</v>
      </c>
      <c r="O67" s="76" t="s">
        <v>1003</v>
      </c>
    </row>
    <row r="68" spans="1:15" ht="77.150000000000006" x14ac:dyDescent="0.4">
      <c r="A68" s="44">
        <v>65</v>
      </c>
      <c r="B68" s="44">
        <v>2</v>
      </c>
      <c r="C68" s="45" t="str">
        <f>INDEX(Helper!$N$2:$N$4, MATCH(B68, Helper!$M$2:$M$4, 0))</f>
        <v>Intermediate</v>
      </c>
      <c r="D68" s="45" t="s">
        <v>631</v>
      </c>
      <c r="E68" s="45" t="s">
        <v>308</v>
      </c>
      <c r="F68" s="5">
        <v>1</v>
      </c>
      <c r="G68" s="44">
        <v>1</v>
      </c>
      <c r="H68" s="44" t="str">
        <f>INDEX(Helper!$C:$C, MATCH(G68, Helper!$A:$A, 0))</f>
        <v>Standard (EADGBE)</v>
      </c>
      <c r="I68" s="44" t="s">
        <v>65</v>
      </c>
      <c r="J68" s="59" t="s">
        <v>10</v>
      </c>
      <c r="K68" s="44" t="str">
        <f>INDEX(Helper!$F:$F, MATCH(J68, Helper!$E:$E, 0))</f>
        <v>#F5943C</v>
      </c>
      <c r="L68" s="45" t="s">
        <v>738</v>
      </c>
      <c r="M68" s="45" t="s">
        <v>615</v>
      </c>
      <c r="N68" s="46" t="s">
        <v>704</v>
      </c>
      <c r="O68" s="76" t="s">
        <v>1004</v>
      </c>
    </row>
    <row r="69" spans="1:15" ht="77.150000000000006" x14ac:dyDescent="0.4">
      <c r="A69" s="44">
        <v>66</v>
      </c>
      <c r="B69" s="44">
        <v>2</v>
      </c>
      <c r="C69" s="45" t="str">
        <f>INDEX(Helper!$N$2:$N$4, MATCH(B69, Helper!$M$2:$M$4, 0))</f>
        <v>Intermediate</v>
      </c>
      <c r="D69" s="45" t="s">
        <v>309</v>
      </c>
      <c r="E69" s="45" t="s">
        <v>310</v>
      </c>
      <c r="F69" s="5">
        <v>1</v>
      </c>
      <c r="G69" s="44">
        <v>1</v>
      </c>
      <c r="H69" s="44" t="str">
        <f>INDEX(Helper!$C:$C, MATCH(G69, Helper!$A:$A, 0))</f>
        <v>Standard (EADGBE)</v>
      </c>
      <c r="I69" s="44" t="s">
        <v>619</v>
      </c>
      <c r="J69" s="61" t="s">
        <v>11</v>
      </c>
      <c r="K69" s="44" t="str">
        <f>INDEX(Helper!$F:$F, MATCH(J69, Helper!$E:$E, 0))</f>
        <v>#E8AD1D</v>
      </c>
      <c r="L69" s="45" t="s">
        <v>458</v>
      </c>
      <c r="M69" s="45" t="s">
        <v>615</v>
      </c>
      <c r="N69" s="46" t="s">
        <v>705</v>
      </c>
      <c r="O69" s="76" t="s">
        <v>1005</v>
      </c>
    </row>
    <row r="70" spans="1:15" ht="167.15" x14ac:dyDescent="0.4">
      <c r="A70" s="44">
        <v>67</v>
      </c>
      <c r="B70" s="44">
        <v>2</v>
      </c>
      <c r="C70" s="45" t="str">
        <f>INDEX(Helper!$N$2:$N$4, MATCH(B70, Helper!$M$2:$M$4, 0))</f>
        <v>Intermediate</v>
      </c>
      <c r="D70" s="45" t="s">
        <v>311</v>
      </c>
      <c r="E70" s="45" t="s">
        <v>312</v>
      </c>
      <c r="F70" s="5">
        <v>1</v>
      </c>
      <c r="G70" s="44">
        <v>1</v>
      </c>
      <c r="H70" s="44" t="str">
        <f>INDEX(Helper!$C:$C, MATCH(G70, Helper!$A:$A, 0))</f>
        <v>Standard (EADGBE)</v>
      </c>
      <c r="I70" s="44" t="s">
        <v>394</v>
      </c>
      <c r="J70" s="63" t="s">
        <v>26</v>
      </c>
      <c r="K70" s="44" t="str">
        <f>INDEX(Helper!$F:$F, MATCH(J70, Helper!$E:$E, 0))</f>
        <v>#FFFFCC</v>
      </c>
      <c r="L70" s="45" t="s">
        <v>459</v>
      </c>
      <c r="M70" s="45" t="s">
        <v>615</v>
      </c>
      <c r="N70" s="46" t="s">
        <v>706</v>
      </c>
      <c r="O70" s="76" t="s">
        <v>1006</v>
      </c>
    </row>
    <row r="71" spans="1:15" ht="167.15" x14ac:dyDescent="0.4">
      <c r="A71" s="44">
        <v>68</v>
      </c>
      <c r="B71" s="44">
        <v>2</v>
      </c>
      <c r="C71" s="45" t="str">
        <f>INDEX(Helper!$N$2:$N$4, MATCH(B71, Helper!$M$2:$M$4, 0))</f>
        <v>Intermediate</v>
      </c>
      <c r="D71" s="45" t="s">
        <v>313</v>
      </c>
      <c r="E71" s="45" t="s">
        <v>314</v>
      </c>
      <c r="F71" s="5">
        <v>1</v>
      </c>
      <c r="G71" s="44">
        <v>1</v>
      </c>
      <c r="H71" s="44" t="str">
        <f>INDEX(Helper!$C:$C, MATCH(G71, Helper!$A:$A, 0))</f>
        <v>Standard (EADGBE)</v>
      </c>
      <c r="I71" s="44" t="s">
        <v>621</v>
      </c>
      <c r="J71" s="63" t="s">
        <v>22</v>
      </c>
      <c r="K71" s="44" t="str">
        <f>INDEX(Helper!$F:$F, MATCH(J71, Helper!$E:$E, 0))</f>
        <v>#FFDF66</v>
      </c>
      <c r="L71" s="45" t="s">
        <v>460</v>
      </c>
      <c r="M71" s="45" t="s">
        <v>615</v>
      </c>
      <c r="N71" s="46" t="s">
        <v>707</v>
      </c>
      <c r="O71" s="76" t="s">
        <v>1007</v>
      </c>
    </row>
    <row r="72" spans="1:15" ht="347.15" x14ac:dyDescent="0.4">
      <c r="A72" s="44">
        <v>69</v>
      </c>
      <c r="B72" s="44">
        <v>2</v>
      </c>
      <c r="C72" s="45" t="str">
        <f>INDEX(Helper!$N$2:$N$4, MATCH(B72, Helper!$M$2:$M$4, 0))</f>
        <v>Intermediate</v>
      </c>
      <c r="D72" s="45" t="s">
        <v>43</v>
      </c>
      <c r="E72" s="45" t="s">
        <v>47</v>
      </c>
      <c r="F72" s="5">
        <v>0</v>
      </c>
      <c r="G72" s="44">
        <v>1</v>
      </c>
      <c r="H72" s="44" t="str">
        <f>INDEX(Helper!$C:$C, MATCH(G72, Helper!$A:$A, 0))</f>
        <v>Standard (EADGBE)</v>
      </c>
      <c r="I72" s="44" t="s">
        <v>61</v>
      </c>
      <c r="J72" s="59" t="s">
        <v>23</v>
      </c>
      <c r="K72" s="44" t="str">
        <f>INDEX(Helper!$F:$F, MATCH(J72, Helper!$E:$E, 0))</f>
        <v>#F1D764</v>
      </c>
      <c r="L72" s="45" t="s">
        <v>461</v>
      </c>
      <c r="M72" s="45" t="s">
        <v>615</v>
      </c>
      <c r="N72" s="46" t="s">
        <v>708</v>
      </c>
      <c r="O72" s="76" t="s">
        <v>1008</v>
      </c>
    </row>
    <row r="73" spans="1:15" ht="409.6" x14ac:dyDescent="0.4">
      <c r="A73" s="44">
        <v>70</v>
      </c>
      <c r="B73" s="44">
        <v>3</v>
      </c>
      <c r="C73" s="45" t="str">
        <f>INDEX(Helper!$N$2:$N$4, MATCH(B73, Helper!$M$2:$M$4, 0))</f>
        <v>Advanced</v>
      </c>
      <c r="D73" s="45" t="s">
        <v>210</v>
      </c>
      <c r="E73" s="45" t="s">
        <v>211</v>
      </c>
      <c r="F73" s="5">
        <v>1</v>
      </c>
      <c r="G73" s="44">
        <v>3</v>
      </c>
      <c r="H73" s="44" t="str">
        <f>INDEX(Helper!$C:$C, MATCH(G73, Helper!$A:$A, 0))</f>
        <v>Half Step Down (D#G#C#F#A#D#)</v>
      </c>
      <c r="I73" s="44" t="s">
        <v>634</v>
      </c>
      <c r="J73" s="57" t="s">
        <v>21</v>
      </c>
      <c r="K73" s="44" t="str">
        <f>INDEX(Helper!$F:$F, MATCH(J73, Helper!$E:$E, 0))</f>
        <v>#45F0E2</v>
      </c>
      <c r="L73" s="45" t="s">
        <v>391</v>
      </c>
      <c r="M73" s="45" t="s">
        <v>615</v>
      </c>
      <c r="N73" s="46" t="s">
        <v>709</v>
      </c>
      <c r="O73" s="76" t="s">
        <v>1009</v>
      </c>
    </row>
    <row r="74" spans="1:15" ht="77.150000000000006" x14ac:dyDescent="0.4">
      <c r="A74" s="44">
        <v>71</v>
      </c>
      <c r="B74" s="44">
        <v>2</v>
      </c>
      <c r="C74" s="45" t="str">
        <f>INDEX(Helper!$N$2:$N$4, MATCH(B74, Helper!$M$2:$M$4, 0))</f>
        <v>Intermediate</v>
      </c>
      <c r="D74" s="45" t="s">
        <v>315</v>
      </c>
      <c r="E74" s="45" t="s">
        <v>316</v>
      </c>
      <c r="F74" s="5">
        <v>1</v>
      </c>
      <c r="G74" s="44">
        <v>1</v>
      </c>
      <c r="H74" s="44" t="str">
        <f>INDEX(Helper!$C:$C, MATCH(G74, Helper!$A:$A, 0))</f>
        <v>Standard (EADGBE)</v>
      </c>
      <c r="I74" s="44" t="s">
        <v>63</v>
      </c>
      <c r="J74" s="60" t="s">
        <v>29</v>
      </c>
      <c r="K74" s="44" t="str">
        <f>INDEX(Helper!$F:$F, MATCH(J74, Helper!$E:$E, 0))</f>
        <v>#66E586</v>
      </c>
      <c r="L74" s="45" t="s">
        <v>462</v>
      </c>
      <c r="M74" s="45" t="s">
        <v>615</v>
      </c>
      <c r="N74" s="46" t="s">
        <v>710</v>
      </c>
      <c r="O74" s="76" t="s">
        <v>1010</v>
      </c>
    </row>
    <row r="75" spans="1:15" ht="167.15" x14ac:dyDescent="0.4">
      <c r="A75" s="44">
        <v>72</v>
      </c>
      <c r="B75" s="44">
        <v>2</v>
      </c>
      <c r="C75" s="45" t="str">
        <f>INDEX(Helper!$N$2:$N$4, MATCH(B75, Helper!$M$2:$M$4, 0))</f>
        <v>Intermediate</v>
      </c>
      <c r="D75" s="45" t="s">
        <v>38</v>
      </c>
      <c r="E75" s="45" t="s">
        <v>317</v>
      </c>
      <c r="F75" s="5">
        <v>0</v>
      </c>
      <c r="G75" s="44">
        <v>1</v>
      </c>
      <c r="H75" s="44" t="str">
        <f>INDEX(Helper!$C:$C, MATCH(G75, Helper!$A:$A, 0))</f>
        <v>Standard (EADGBE)</v>
      </c>
      <c r="I75" s="44" t="s">
        <v>624</v>
      </c>
      <c r="J75" s="59" t="s">
        <v>10</v>
      </c>
      <c r="K75" s="44" t="str">
        <f>INDEX(Helper!$F:$F, MATCH(J75, Helper!$E:$E, 0))</f>
        <v>#F5943C</v>
      </c>
      <c r="L75" s="45" t="s">
        <v>463</v>
      </c>
      <c r="M75" s="45" t="s">
        <v>615</v>
      </c>
      <c r="N75" s="46" t="s">
        <v>711</v>
      </c>
      <c r="O75" s="76" t="s">
        <v>1011</v>
      </c>
    </row>
    <row r="76" spans="1:15" ht="257.14999999999998" x14ac:dyDescent="0.4">
      <c r="A76" s="44">
        <v>73</v>
      </c>
      <c r="B76" s="44">
        <v>2</v>
      </c>
      <c r="C76" s="45" t="str">
        <f>INDEX(Helper!$N$2:$N$4, MATCH(B76, Helper!$M$2:$M$4, 0))</f>
        <v>Intermediate</v>
      </c>
      <c r="D76" s="45" t="s">
        <v>318</v>
      </c>
      <c r="E76" s="45" t="s">
        <v>319</v>
      </c>
      <c r="F76" s="5">
        <v>1</v>
      </c>
      <c r="G76" s="44">
        <v>1</v>
      </c>
      <c r="H76" s="44" t="str">
        <f>INDEX(Helper!$C:$C, MATCH(G76, Helper!$A:$A, 0))</f>
        <v>Standard (EADGBE)</v>
      </c>
      <c r="I76" s="44" t="s">
        <v>63</v>
      </c>
      <c r="J76" s="63" t="s">
        <v>22</v>
      </c>
      <c r="K76" s="44" t="str">
        <f>INDEX(Helper!$F:$F, MATCH(J76, Helper!$E:$E, 0))</f>
        <v>#FFDF66</v>
      </c>
      <c r="L76" s="45" t="s">
        <v>390</v>
      </c>
      <c r="M76" s="45" t="s">
        <v>615</v>
      </c>
      <c r="N76" s="46" t="s">
        <v>712</v>
      </c>
      <c r="O76" s="76" t="s">
        <v>1012</v>
      </c>
    </row>
    <row r="77" spans="1:15" ht="347.15" x14ac:dyDescent="0.4">
      <c r="A77" s="44">
        <v>74</v>
      </c>
      <c r="B77" s="44">
        <v>2</v>
      </c>
      <c r="C77" s="45" t="str">
        <f>INDEX(Helper!$N$2:$N$4, MATCH(B77, Helper!$M$2:$M$4, 0))</f>
        <v>Intermediate</v>
      </c>
      <c r="D77" s="45" t="s">
        <v>320</v>
      </c>
      <c r="E77" s="45" t="s">
        <v>321</v>
      </c>
      <c r="F77" s="5">
        <v>1</v>
      </c>
      <c r="G77" s="44">
        <v>1</v>
      </c>
      <c r="H77" s="44" t="str">
        <f>INDEX(Helper!$C:$C, MATCH(G77, Helper!$A:$A, 0))</f>
        <v>Standard (EADGBE)</v>
      </c>
      <c r="I77" s="44" t="s">
        <v>61</v>
      </c>
      <c r="J77" s="63" t="s">
        <v>19</v>
      </c>
      <c r="K77" s="44" t="str">
        <f>INDEX(Helper!$F:$F, MATCH(J77, Helper!$E:$E, 0))</f>
        <v>#FFDD21</v>
      </c>
      <c r="L77" s="45" t="s">
        <v>464</v>
      </c>
      <c r="M77" s="45" t="s">
        <v>640</v>
      </c>
      <c r="N77" s="46" t="s">
        <v>639</v>
      </c>
      <c r="O77" s="76" t="s">
        <v>1013</v>
      </c>
    </row>
    <row r="78" spans="1:15" ht="77.150000000000006" x14ac:dyDescent="0.4">
      <c r="A78" s="44">
        <v>75</v>
      </c>
      <c r="B78" s="44">
        <v>2</v>
      </c>
      <c r="C78" s="45" t="str">
        <f>INDEX(Helper!$N$2:$N$4, MATCH(B78, Helper!$M$2:$M$4, 0))</f>
        <v>Intermediate</v>
      </c>
      <c r="D78" s="45" t="s">
        <v>42</v>
      </c>
      <c r="E78" s="45" t="s">
        <v>46</v>
      </c>
      <c r="F78" s="5">
        <v>1</v>
      </c>
      <c r="G78" s="44">
        <v>1</v>
      </c>
      <c r="H78" s="44" t="str">
        <f>INDEX(Helper!$C:$C, MATCH(G78, Helper!$A:$A, 0))</f>
        <v>Standard (EADGBE)</v>
      </c>
      <c r="I78" s="44" t="s">
        <v>70</v>
      </c>
      <c r="J78" s="70" t="s">
        <v>373</v>
      </c>
      <c r="K78" s="44" t="str">
        <f>INDEX(Helper!$F:$F, MATCH(J78, Helper!$E:$E, 0))</f>
        <v>#C476D4</v>
      </c>
      <c r="L78" s="45" t="s">
        <v>465</v>
      </c>
      <c r="M78" s="45" t="s">
        <v>615</v>
      </c>
      <c r="N78" s="46" t="s">
        <v>713</v>
      </c>
      <c r="O78" s="76" t="s">
        <v>1014</v>
      </c>
    </row>
    <row r="79" spans="1:15" ht="257.14999999999998" x14ac:dyDescent="0.4">
      <c r="A79" s="44">
        <v>76</v>
      </c>
      <c r="B79" s="44">
        <v>2</v>
      </c>
      <c r="C79" s="45" t="str">
        <f>INDEX(Helper!$N$2:$N$4, MATCH(B79, Helper!$M$2:$M$4, 0))</f>
        <v>Intermediate</v>
      </c>
      <c r="D79" s="45" t="s">
        <v>78</v>
      </c>
      <c r="E79" s="45" t="s">
        <v>322</v>
      </c>
      <c r="F79" s="5">
        <v>1</v>
      </c>
      <c r="G79" s="44">
        <v>1</v>
      </c>
      <c r="H79" s="44" t="str">
        <f>INDEX(Helper!$C:$C, MATCH(G79, Helper!$A:$A, 0))</f>
        <v>Standard (EADGBE)</v>
      </c>
      <c r="I79" s="44" t="s">
        <v>627</v>
      </c>
      <c r="J79" s="65" t="s">
        <v>13</v>
      </c>
      <c r="K79" s="44" t="str">
        <f>INDEX(Helper!$F:$F, MATCH(J79, Helper!$E:$E, 0))</f>
        <v>#FF4F53</v>
      </c>
      <c r="L79" s="45" t="s">
        <v>466</v>
      </c>
      <c r="M79" s="45" t="s">
        <v>615</v>
      </c>
      <c r="N79" s="46" t="s">
        <v>714</v>
      </c>
      <c r="O79" s="76" t="s">
        <v>1015</v>
      </c>
    </row>
    <row r="80" spans="1:15" ht="167.15" x14ac:dyDescent="0.4">
      <c r="A80" s="44">
        <v>77</v>
      </c>
      <c r="B80" s="44">
        <v>2</v>
      </c>
      <c r="C80" s="45" t="str">
        <f>INDEX(Helper!$N$2:$N$4, MATCH(B80, Helper!$M$2:$M$4, 0))</f>
        <v>Intermediate</v>
      </c>
      <c r="D80" s="45" t="s">
        <v>78</v>
      </c>
      <c r="E80" s="45" t="s">
        <v>79</v>
      </c>
      <c r="F80" s="5">
        <v>0</v>
      </c>
      <c r="G80" s="44">
        <v>1</v>
      </c>
      <c r="H80" s="44" t="str">
        <f>INDEX(Helper!$C:$C, MATCH(G80, Helper!$A:$A, 0))</f>
        <v>Standard (EADGBE)</v>
      </c>
      <c r="I80" s="44" t="s">
        <v>65</v>
      </c>
      <c r="J80" s="65" t="s">
        <v>13</v>
      </c>
      <c r="K80" s="44" t="str">
        <f>INDEX(Helper!$F:$F, MATCH(J80, Helper!$E:$E, 0))</f>
        <v>#FF4F53</v>
      </c>
      <c r="L80" s="45" t="s">
        <v>467</v>
      </c>
      <c r="M80" s="45" t="s">
        <v>615</v>
      </c>
      <c r="N80" s="46" t="s">
        <v>715</v>
      </c>
      <c r="O80" s="76" t="s">
        <v>1016</v>
      </c>
    </row>
    <row r="81" spans="1:15" ht="77.150000000000006" x14ac:dyDescent="0.4">
      <c r="A81" s="44">
        <v>78</v>
      </c>
      <c r="B81" s="44">
        <v>2</v>
      </c>
      <c r="C81" s="45" t="str">
        <f>INDEX(Helper!$N$2:$N$4, MATCH(B81, Helper!$M$2:$M$4, 0))</f>
        <v>Intermediate</v>
      </c>
      <c r="D81" s="45" t="s">
        <v>323</v>
      </c>
      <c r="E81" s="45" t="s">
        <v>324</v>
      </c>
      <c r="F81" s="5">
        <v>0</v>
      </c>
      <c r="G81" s="44">
        <v>1</v>
      </c>
      <c r="H81" s="44" t="str">
        <f>INDEX(Helper!$C:$C, MATCH(G81, Helper!$A:$A, 0))</f>
        <v>Standard (EADGBE)</v>
      </c>
      <c r="I81" s="44" t="s">
        <v>619</v>
      </c>
      <c r="J81" s="59" t="s">
        <v>10</v>
      </c>
      <c r="K81" s="44" t="str">
        <f>INDEX(Helper!$F:$F, MATCH(J81, Helper!$E:$E, 0))</f>
        <v>#F5943C</v>
      </c>
      <c r="L81" s="45" t="s">
        <v>468</v>
      </c>
      <c r="M81" s="45" t="s">
        <v>615</v>
      </c>
      <c r="N81" s="46" t="s">
        <v>716</v>
      </c>
      <c r="O81" s="76" t="s">
        <v>1017</v>
      </c>
    </row>
    <row r="82" spans="1:15" ht="77.150000000000006" x14ac:dyDescent="0.4">
      <c r="A82" s="44">
        <v>79</v>
      </c>
      <c r="B82" s="44">
        <v>2</v>
      </c>
      <c r="C82" s="45" t="str">
        <f>INDEX(Helper!$N$2:$N$4, MATCH(B82, Helper!$M$2:$M$4, 0))</f>
        <v>Intermediate</v>
      </c>
      <c r="D82" s="45" t="s">
        <v>140</v>
      </c>
      <c r="E82" s="45" t="s">
        <v>325</v>
      </c>
      <c r="F82" s="5">
        <v>0</v>
      </c>
      <c r="G82" s="44">
        <v>1</v>
      </c>
      <c r="H82" s="44" t="str">
        <f>INDEX(Helper!$C:$C, MATCH(G82, Helper!$A:$A, 0))</f>
        <v>Standard (EADGBE)</v>
      </c>
      <c r="I82" s="44" t="s">
        <v>65</v>
      </c>
      <c r="J82" s="72" t="s">
        <v>20</v>
      </c>
      <c r="K82" s="44" t="str">
        <f>INDEX(Helper!$F:$F, MATCH(J82, Helper!$E:$E, 0))</f>
        <v>#8AF1AA</v>
      </c>
      <c r="L82" s="45" t="s">
        <v>388</v>
      </c>
      <c r="M82" s="45" t="s">
        <v>615</v>
      </c>
      <c r="N82" s="46" t="s">
        <v>717</v>
      </c>
      <c r="O82" s="76" t="s">
        <v>1018</v>
      </c>
    </row>
    <row r="83" spans="1:15" ht="167.15" x14ac:dyDescent="0.4">
      <c r="A83" s="44">
        <v>80</v>
      </c>
      <c r="B83" s="44">
        <v>2</v>
      </c>
      <c r="C83" s="45" t="str">
        <f>INDEX(Helper!$N$2:$N$4, MATCH(B83, Helper!$M$2:$M$4, 0))</f>
        <v>Intermediate</v>
      </c>
      <c r="D83" s="45" t="s">
        <v>252</v>
      </c>
      <c r="E83" s="45" t="s">
        <v>326</v>
      </c>
      <c r="F83" s="5">
        <v>0</v>
      </c>
      <c r="G83" s="44">
        <v>1</v>
      </c>
      <c r="H83" s="44" t="str">
        <f>INDEX(Helper!$C:$C, MATCH(G83, Helper!$A:$A, 0))</f>
        <v>Standard (EADGBE)</v>
      </c>
      <c r="I83" s="44" t="s">
        <v>62</v>
      </c>
      <c r="J83" s="61" t="s">
        <v>11</v>
      </c>
      <c r="K83" s="44" t="str">
        <f>INDEX(Helper!$F:$F, MATCH(J83, Helper!$E:$E, 0))</f>
        <v>#E8AD1D</v>
      </c>
      <c r="L83" s="45" t="s">
        <v>469</v>
      </c>
      <c r="M83" s="45" t="s">
        <v>615</v>
      </c>
      <c r="N83" s="46" t="s">
        <v>718</v>
      </c>
      <c r="O83" s="76" t="s">
        <v>1019</v>
      </c>
    </row>
    <row r="84" spans="1:15" ht="167.15" x14ac:dyDescent="0.4">
      <c r="A84" s="44">
        <v>81</v>
      </c>
      <c r="B84" s="44">
        <v>2</v>
      </c>
      <c r="C84" s="45" t="str">
        <f>INDEX(Helper!$N$2:$N$4, MATCH(B84, Helper!$M$2:$M$4, 0))</f>
        <v>Intermediate</v>
      </c>
      <c r="D84" s="45" t="s">
        <v>327</v>
      </c>
      <c r="E84" s="45" t="s">
        <v>328</v>
      </c>
      <c r="F84" s="5">
        <v>1</v>
      </c>
      <c r="G84" s="44">
        <v>1</v>
      </c>
      <c r="H84" s="44" t="str">
        <f>INDEX(Helper!$C:$C, MATCH(G84, Helper!$A:$A, 0))</f>
        <v>Standard (EADGBE)</v>
      </c>
      <c r="I84" s="44" t="s">
        <v>65</v>
      </c>
      <c r="J84" s="65" t="s">
        <v>13</v>
      </c>
      <c r="K84" s="44" t="str">
        <f>INDEX(Helper!$F:$F, MATCH(J84, Helper!$E:$E, 0))</f>
        <v>#FF4F53</v>
      </c>
      <c r="L84" s="45" t="s">
        <v>471</v>
      </c>
      <c r="M84" s="45" t="s">
        <v>615</v>
      </c>
      <c r="N84" s="46" t="s">
        <v>719</v>
      </c>
      <c r="O84" s="76" t="s">
        <v>1020</v>
      </c>
    </row>
    <row r="85" spans="1:15" ht="257.14999999999998" x14ac:dyDescent="0.4">
      <c r="A85" s="44">
        <v>82</v>
      </c>
      <c r="B85" s="44">
        <v>2</v>
      </c>
      <c r="C85" s="45" t="str">
        <f>INDEX(Helper!$N$2:$N$4, MATCH(B85, Helper!$M$2:$M$4, 0))</f>
        <v>Intermediate</v>
      </c>
      <c r="D85" s="45" t="s">
        <v>329</v>
      </c>
      <c r="E85" s="45" t="s">
        <v>330</v>
      </c>
      <c r="F85" s="5">
        <v>1</v>
      </c>
      <c r="G85" s="44">
        <v>1</v>
      </c>
      <c r="H85" s="44" t="str">
        <f>INDEX(Helper!$C:$C, MATCH(G85, Helper!$A:$A, 0))</f>
        <v>Standard (EADGBE)</v>
      </c>
      <c r="I85" s="44" t="s">
        <v>62</v>
      </c>
      <c r="J85" s="60" t="s">
        <v>372</v>
      </c>
      <c r="K85" s="44" t="str">
        <f>INDEX(Helper!$F:$F, MATCH(J85, Helper!$E:$E, 0))</f>
        <v>#B3F141</v>
      </c>
      <c r="L85" s="45" t="s">
        <v>472</v>
      </c>
      <c r="M85" s="45" t="s">
        <v>615</v>
      </c>
      <c r="N85" s="46" t="s">
        <v>720</v>
      </c>
      <c r="O85" s="77" t="s">
        <v>1021</v>
      </c>
    </row>
    <row r="86" spans="1:15" ht="347.15" x14ac:dyDescent="0.4">
      <c r="A86" s="44">
        <v>83</v>
      </c>
      <c r="B86" s="44">
        <v>2</v>
      </c>
      <c r="C86" s="45" t="str">
        <f>INDEX(Helper!$N$2:$N$4, MATCH(B86, Helper!$M$2:$M$4, 0))</f>
        <v>Intermediate</v>
      </c>
      <c r="D86" s="45" t="s">
        <v>90</v>
      </c>
      <c r="E86" s="49" t="s">
        <v>331</v>
      </c>
      <c r="F86" s="5">
        <v>0</v>
      </c>
      <c r="G86" s="44">
        <v>1</v>
      </c>
      <c r="H86" s="44" t="str">
        <f>INDEX(Helper!$C:$C, MATCH(G86, Helper!$A:$A, 0))</f>
        <v>Standard (EADGBE)</v>
      </c>
      <c r="I86" s="44" t="s">
        <v>63</v>
      </c>
      <c r="J86" s="65" t="s">
        <v>13</v>
      </c>
      <c r="K86" s="44" t="str">
        <f>INDEX(Helper!$F:$F, MATCH(J86, Helper!$E:$E, 0))</f>
        <v>#FF4F53</v>
      </c>
      <c r="L86" s="45" t="s">
        <v>473</v>
      </c>
      <c r="M86" s="45" t="s">
        <v>615</v>
      </c>
      <c r="N86" s="46" t="s">
        <v>721</v>
      </c>
      <c r="O86" s="76" t="s">
        <v>1022</v>
      </c>
    </row>
    <row r="87" spans="1:15" ht="77.150000000000006" x14ac:dyDescent="0.4">
      <c r="A87" s="44">
        <v>84</v>
      </c>
      <c r="B87" s="44">
        <v>2</v>
      </c>
      <c r="C87" s="45" t="str">
        <f>INDEX(Helper!$N$2:$N$4, MATCH(B87, Helper!$M$2:$M$4, 0))</f>
        <v>Intermediate</v>
      </c>
      <c r="D87" s="45" t="s">
        <v>90</v>
      </c>
      <c r="E87" s="45" t="s">
        <v>251</v>
      </c>
      <c r="F87" s="5">
        <v>1</v>
      </c>
      <c r="G87" s="44">
        <v>1</v>
      </c>
      <c r="H87" s="44" t="str">
        <f>INDEX(Helper!$C:$C, MATCH(G87, Helper!$A:$A, 0))</f>
        <v>Standard (EADGBE)</v>
      </c>
      <c r="I87" s="44" t="s">
        <v>59</v>
      </c>
      <c r="J87" s="65" t="s">
        <v>13</v>
      </c>
      <c r="K87" s="44" t="str">
        <f>INDEX(Helper!$F:$F, MATCH(J87, Helper!$E:$E, 0))</f>
        <v>#FF4F53</v>
      </c>
      <c r="L87" s="45" t="s">
        <v>474</v>
      </c>
      <c r="M87" s="45" t="s">
        <v>615</v>
      </c>
      <c r="N87" s="46" t="s">
        <v>722</v>
      </c>
      <c r="O87" s="76" t="s">
        <v>1023</v>
      </c>
    </row>
    <row r="88" spans="1:15" ht="77.150000000000006" x14ac:dyDescent="0.4">
      <c r="A88" s="44">
        <v>85</v>
      </c>
      <c r="B88" s="44">
        <v>2</v>
      </c>
      <c r="C88" s="45" t="str">
        <f>INDEX(Helper!$N$2:$N$4, MATCH(B88, Helper!$M$2:$M$4, 0))</f>
        <v>Intermediate</v>
      </c>
      <c r="D88" s="45" t="s">
        <v>332</v>
      </c>
      <c r="E88" s="45" t="s">
        <v>333</v>
      </c>
      <c r="F88" s="5">
        <v>1</v>
      </c>
      <c r="G88" s="44">
        <v>2</v>
      </c>
      <c r="H88" s="44" t="str">
        <f>INDEX(Helper!$C:$C, MATCH(G88, Helper!$A:$A, 0))</f>
        <v>Drop D (DADGBE)</v>
      </c>
      <c r="I88" s="44" t="s">
        <v>62</v>
      </c>
      <c r="J88" s="64" t="s">
        <v>16</v>
      </c>
      <c r="K88" s="44" t="str">
        <f>INDEX(Helper!$F:$F, MATCH(J88, Helper!$E:$E, 0))</f>
        <v>#C2C2A1</v>
      </c>
      <c r="L88" s="45" t="s">
        <v>475</v>
      </c>
      <c r="M88" s="45" t="s">
        <v>628</v>
      </c>
      <c r="N88" s="46" t="s">
        <v>723</v>
      </c>
      <c r="O88" s="76" t="s">
        <v>1024</v>
      </c>
    </row>
    <row r="89" spans="1:15" ht="347.15" x14ac:dyDescent="0.4">
      <c r="A89" s="44">
        <v>86</v>
      </c>
      <c r="B89" s="44">
        <v>2</v>
      </c>
      <c r="C89" s="45" t="str">
        <f>INDEX(Helper!$N$2:$N$4, MATCH(B89, Helper!$M$2:$M$4, 0))</f>
        <v>Intermediate</v>
      </c>
      <c r="D89" s="45" t="s">
        <v>127</v>
      </c>
      <c r="E89" s="45" t="s">
        <v>334</v>
      </c>
      <c r="F89" s="5">
        <v>0</v>
      </c>
      <c r="G89" s="44">
        <v>7</v>
      </c>
      <c r="H89" s="44" t="str">
        <f>INDEX(Helper!$C:$C, MATCH(G89, Helper!$A:$A, 0))</f>
        <v>(DADGAD)</v>
      </c>
      <c r="I89" s="44" t="s">
        <v>627</v>
      </c>
      <c r="J89" s="59" t="s">
        <v>10</v>
      </c>
      <c r="K89" s="44" t="str">
        <f>INDEX(Helper!$F:$F, MATCH(J89, Helper!$E:$E, 0))</f>
        <v>#F5943C</v>
      </c>
      <c r="L89" s="45" t="s">
        <v>476</v>
      </c>
      <c r="M89" s="45" t="s">
        <v>615</v>
      </c>
      <c r="N89" s="46" t="s">
        <v>724</v>
      </c>
      <c r="O89" s="78" t="s">
        <v>1025</v>
      </c>
    </row>
    <row r="90" spans="1:15" ht="167.15" x14ac:dyDescent="0.4">
      <c r="A90" s="44">
        <v>87</v>
      </c>
      <c r="B90" s="44">
        <v>2</v>
      </c>
      <c r="C90" s="45" t="str">
        <f>INDEX(Helper!$N$2:$N$4, MATCH(B90, Helper!$M$2:$M$4, 0))</f>
        <v>Intermediate</v>
      </c>
      <c r="D90" s="45" t="s">
        <v>335</v>
      </c>
      <c r="E90" s="45" t="s">
        <v>336</v>
      </c>
      <c r="F90" s="5">
        <v>1</v>
      </c>
      <c r="G90" s="44">
        <v>1</v>
      </c>
      <c r="H90" s="44" t="str">
        <f>INDEX(Helper!$C:$C, MATCH(G90, Helper!$A:$A, 0))</f>
        <v>Standard (EADGBE)</v>
      </c>
      <c r="I90" s="44" t="s">
        <v>61</v>
      </c>
      <c r="J90" s="59" t="s">
        <v>10</v>
      </c>
      <c r="K90" s="44" t="str">
        <f>INDEX(Helper!$F:$F, MATCH(J90, Helper!$E:$E, 0))</f>
        <v>#F5943C</v>
      </c>
      <c r="L90" s="45" t="s">
        <v>477</v>
      </c>
      <c r="M90" s="45" t="s">
        <v>615</v>
      </c>
      <c r="N90" s="46" t="s">
        <v>725</v>
      </c>
      <c r="O90" s="76" t="s">
        <v>1026</v>
      </c>
    </row>
    <row r="91" spans="1:15" ht="409.6" x14ac:dyDescent="0.4">
      <c r="A91" s="44">
        <v>88</v>
      </c>
      <c r="B91" s="44">
        <v>3</v>
      </c>
      <c r="C91" s="45" t="str">
        <f>INDEX(Helper!$N$2:$N$4, MATCH(B91, Helper!$M$2:$M$4, 0))</f>
        <v>Advanced</v>
      </c>
      <c r="D91" s="45" t="s">
        <v>318</v>
      </c>
      <c r="E91" s="45" t="s">
        <v>337</v>
      </c>
      <c r="F91" s="5">
        <v>0</v>
      </c>
      <c r="G91" s="44">
        <v>1</v>
      </c>
      <c r="H91" s="44" t="str">
        <f>INDEX(Helper!$C:$C, MATCH(G91, Helper!$A:$A, 0))</f>
        <v>Standard (EADGBE)</v>
      </c>
      <c r="I91" s="44" t="s">
        <v>66</v>
      </c>
      <c r="J91" s="63" t="s">
        <v>22</v>
      </c>
      <c r="K91" s="44" t="str">
        <f>INDEX(Helper!$F:$F, MATCH(J91, Helper!$E:$E, 0))</f>
        <v>#FFDF66</v>
      </c>
      <c r="L91" s="45" t="s">
        <v>478</v>
      </c>
      <c r="M91" s="45" t="s">
        <v>615</v>
      </c>
      <c r="N91" s="46" t="s">
        <v>726</v>
      </c>
      <c r="O91" s="76" t="s">
        <v>1027</v>
      </c>
    </row>
    <row r="92" spans="1:15" ht="167.15" x14ac:dyDescent="0.4">
      <c r="A92" s="44">
        <v>89</v>
      </c>
      <c r="B92" s="44">
        <v>2</v>
      </c>
      <c r="C92" s="45" t="str">
        <f>INDEX(Helper!$N$2:$N$4, MATCH(B92, Helper!$M$2:$M$4, 0))</f>
        <v>Intermediate</v>
      </c>
      <c r="D92" s="45" t="s">
        <v>78</v>
      </c>
      <c r="E92" s="45" t="s">
        <v>80</v>
      </c>
      <c r="F92" s="5">
        <v>0</v>
      </c>
      <c r="G92" s="44">
        <v>1</v>
      </c>
      <c r="H92" s="44" t="str">
        <f>INDEX(Helper!$C:$C, MATCH(G92, Helper!$A:$A, 0))</f>
        <v>Standard (EADGBE)</v>
      </c>
      <c r="I92" s="44" t="s">
        <v>59</v>
      </c>
      <c r="J92" s="65" t="s">
        <v>13</v>
      </c>
      <c r="K92" s="44" t="str">
        <f>INDEX(Helper!$F:$F, MATCH(J92, Helper!$E:$E, 0))</f>
        <v>#FF4F53</v>
      </c>
      <c r="L92" s="45" t="s">
        <v>479</v>
      </c>
      <c r="M92" s="45" t="s">
        <v>615</v>
      </c>
      <c r="N92" s="46" t="s">
        <v>727</v>
      </c>
      <c r="O92" s="76" t="s">
        <v>1028</v>
      </c>
    </row>
    <row r="93" spans="1:15" ht="77.150000000000006" x14ac:dyDescent="0.4">
      <c r="A93" s="44">
        <v>90</v>
      </c>
      <c r="B93" s="44">
        <v>2</v>
      </c>
      <c r="C93" s="45" t="str">
        <f>INDEX(Helper!$N$2:$N$4, MATCH(B93, Helper!$M$2:$M$4, 0))</f>
        <v>Intermediate</v>
      </c>
      <c r="D93" s="50" t="s">
        <v>232</v>
      </c>
      <c r="E93" s="50" t="s">
        <v>233</v>
      </c>
      <c r="F93" s="5">
        <v>1</v>
      </c>
      <c r="G93" s="44">
        <v>1</v>
      </c>
      <c r="H93" s="44" t="str">
        <f>INDEX(Helper!$C:$C, MATCH(G93, Helper!$A:$A, 0))</f>
        <v>Standard (EADGBE)</v>
      </c>
      <c r="I93" s="44" t="s">
        <v>64</v>
      </c>
      <c r="J93" s="69" t="s">
        <v>17</v>
      </c>
      <c r="K93" s="44" t="str">
        <f>INDEX(Helper!$F:$F, MATCH(J93, Helper!$E:$E, 0))</f>
        <v>#F75269</v>
      </c>
      <c r="L93" s="45" t="s">
        <v>482</v>
      </c>
      <c r="M93" s="45" t="s">
        <v>615</v>
      </c>
      <c r="N93" s="46" t="s">
        <v>728</v>
      </c>
      <c r="O93" s="76" t="s">
        <v>1029</v>
      </c>
    </row>
    <row r="94" spans="1:15" ht="167.15" x14ac:dyDescent="0.4">
      <c r="A94" s="44">
        <v>91</v>
      </c>
      <c r="B94" s="44">
        <v>2</v>
      </c>
      <c r="C94" s="45" t="str">
        <f>INDEX(Helper!$N$2:$N$4, MATCH(B94, Helper!$M$2:$M$4, 0))</f>
        <v>Intermediate</v>
      </c>
      <c r="D94" s="45" t="s">
        <v>41</v>
      </c>
      <c r="E94" s="45" t="s">
        <v>44</v>
      </c>
      <c r="F94" s="5">
        <v>1</v>
      </c>
      <c r="G94" s="44">
        <v>3</v>
      </c>
      <c r="H94" s="44" t="str">
        <f>INDEX(Helper!$C:$C, MATCH(G94, Helper!$A:$A, 0))</f>
        <v>Half Step Down (D#G#C#F#A#D#)</v>
      </c>
      <c r="I94" s="44" t="s">
        <v>634</v>
      </c>
      <c r="J94" s="59" t="s">
        <v>10</v>
      </c>
      <c r="K94" s="44" t="str">
        <f>INDEX(Helper!$F:$F, MATCH(J94, Helper!$E:$E, 0))</f>
        <v>#F5943C</v>
      </c>
      <c r="L94" s="45" t="s">
        <v>483</v>
      </c>
      <c r="M94" s="45" t="s">
        <v>615</v>
      </c>
      <c r="N94" s="46" t="s">
        <v>729</v>
      </c>
      <c r="O94" s="76" t="s">
        <v>1030</v>
      </c>
    </row>
    <row r="95" spans="1:15" ht="282.89999999999998" x14ac:dyDescent="0.4">
      <c r="A95" s="44">
        <v>92</v>
      </c>
      <c r="B95" s="44">
        <v>2</v>
      </c>
      <c r="C95" s="45" t="str">
        <f>INDEX(Helper!$N$2:$N$4, MATCH(B95, Helper!$M$2:$M$4, 0))</f>
        <v>Intermediate</v>
      </c>
      <c r="D95" s="45" t="s">
        <v>90</v>
      </c>
      <c r="E95" s="45" t="s">
        <v>338</v>
      </c>
      <c r="F95" s="5">
        <v>1</v>
      </c>
      <c r="G95" s="44">
        <v>1</v>
      </c>
      <c r="H95" s="44" t="str">
        <f>INDEX(Helper!$C:$C, MATCH(G95, Helper!$A:$A, 0))</f>
        <v>Standard (EADGBE)</v>
      </c>
      <c r="I95" s="44" t="s">
        <v>394</v>
      </c>
      <c r="J95" s="65" t="s">
        <v>13</v>
      </c>
      <c r="K95" s="44" t="str">
        <f>INDEX(Helper!$F:$F, MATCH(J95, Helper!$E:$E, 0))</f>
        <v>#FF4F53</v>
      </c>
      <c r="L95" s="45" t="s">
        <v>484</v>
      </c>
      <c r="M95" s="45" t="s">
        <v>615</v>
      </c>
      <c r="N95" s="46" t="s">
        <v>730</v>
      </c>
      <c r="O95" s="76" t="s">
        <v>1031</v>
      </c>
    </row>
    <row r="96" spans="1:15" ht="167.15" x14ac:dyDescent="0.4">
      <c r="A96" s="44">
        <v>93</v>
      </c>
      <c r="B96" s="44">
        <v>2</v>
      </c>
      <c r="C96" s="45" t="str">
        <f>INDEX(Helper!$N$2:$N$4, MATCH(B96, Helper!$M$2:$M$4, 0))</f>
        <v>Intermediate</v>
      </c>
      <c r="D96" s="45" t="s">
        <v>123</v>
      </c>
      <c r="E96" s="45" t="s">
        <v>339</v>
      </c>
      <c r="F96" s="5">
        <v>0</v>
      </c>
      <c r="G96" s="44">
        <v>8</v>
      </c>
      <c r="H96" s="44" t="str">
        <f>INDEX(Helper!$C:$C, MATCH(G96, Helper!$A:$A, 0))</f>
        <v>Open D (DADF#AD)</v>
      </c>
      <c r="I96" s="44" t="s">
        <v>627</v>
      </c>
      <c r="J96" s="65" t="s">
        <v>13</v>
      </c>
      <c r="K96" s="44" t="str">
        <f>INDEX(Helper!$F:$F, MATCH(J96, Helper!$E:$E, 0))</f>
        <v>#FF4F53</v>
      </c>
      <c r="L96" s="45" t="s">
        <v>485</v>
      </c>
      <c r="M96" s="45" t="s">
        <v>615</v>
      </c>
      <c r="N96" s="46" t="s">
        <v>731</v>
      </c>
      <c r="O96" s="76" t="s">
        <v>1032</v>
      </c>
    </row>
    <row r="97" spans="1:15" ht="167.15" x14ac:dyDescent="0.4">
      <c r="A97" s="44">
        <v>94</v>
      </c>
      <c r="B97" s="44">
        <v>2</v>
      </c>
      <c r="C97" s="45" t="str">
        <f>INDEX(Helper!$N$2:$N$4, MATCH(B97, Helper!$M$2:$M$4, 0))</f>
        <v>Intermediate</v>
      </c>
      <c r="D97" s="50" t="s">
        <v>123</v>
      </c>
      <c r="E97" s="45" t="s">
        <v>159</v>
      </c>
      <c r="F97" s="5">
        <v>0</v>
      </c>
      <c r="G97" s="44">
        <v>1</v>
      </c>
      <c r="H97" s="44" t="str">
        <f>INDEX(Helper!$C:$C, MATCH(G97, Helper!$A:$A, 0))</f>
        <v>Standard (EADGBE)</v>
      </c>
      <c r="I97" s="44" t="s">
        <v>59</v>
      </c>
      <c r="J97" s="65" t="s">
        <v>13</v>
      </c>
      <c r="K97" s="44" t="str">
        <f>INDEX(Helper!$F:$F, MATCH(J97, Helper!$E:$E, 0))</f>
        <v>#FF4F53</v>
      </c>
      <c r="L97" s="45" t="s">
        <v>486</v>
      </c>
      <c r="M97" s="45" t="s">
        <v>615</v>
      </c>
      <c r="N97" s="46" t="s">
        <v>732</v>
      </c>
      <c r="O97" s="76" t="s">
        <v>1033</v>
      </c>
    </row>
    <row r="98" spans="1:15" ht="257.14999999999998" x14ac:dyDescent="0.4">
      <c r="A98" s="44">
        <v>95</v>
      </c>
      <c r="B98" s="44">
        <v>2</v>
      </c>
      <c r="C98" s="45" t="str">
        <f>INDEX(Helper!$N$2:$N$4, MATCH(B98, Helper!$M$2:$M$4, 0))</f>
        <v>Intermediate</v>
      </c>
      <c r="D98" s="45" t="s">
        <v>171</v>
      </c>
      <c r="E98" s="45" t="s">
        <v>256</v>
      </c>
      <c r="F98" s="5">
        <v>0</v>
      </c>
      <c r="G98" s="44">
        <v>1</v>
      </c>
      <c r="H98" s="44" t="str">
        <f>INDEX(Helper!$C:$C, MATCH(G98, Helper!$A:$A, 0))</f>
        <v>Standard (EADGBE)</v>
      </c>
      <c r="I98" s="44" t="s">
        <v>63</v>
      </c>
      <c r="J98" s="63" t="s">
        <v>19</v>
      </c>
      <c r="K98" s="44" t="str">
        <f>INDEX(Helper!$F:$F, MATCH(J98, Helper!$E:$E, 0))</f>
        <v>#FFDD21</v>
      </c>
      <c r="L98" s="45" t="s">
        <v>385</v>
      </c>
      <c r="M98" s="45" t="s">
        <v>615</v>
      </c>
      <c r="N98" s="46" t="s">
        <v>733</v>
      </c>
      <c r="O98" s="76" t="s">
        <v>1034</v>
      </c>
    </row>
    <row r="99" spans="1:15" ht="167.15" x14ac:dyDescent="0.4">
      <c r="A99" s="44">
        <v>96</v>
      </c>
      <c r="B99" s="44">
        <v>1</v>
      </c>
      <c r="C99" s="45" t="str">
        <f>INDEX(Helper!$N$2:$N$4, MATCH(B99, Helper!$M$2:$M$4, 0))</f>
        <v>Beginner</v>
      </c>
      <c r="D99" s="45" t="s">
        <v>340</v>
      </c>
      <c r="E99" s="45" t="s">
        <v>341</v>
      </c>
      <c r="F99" s="5">
        <v>1</v>
      </c>
      <c r="G99" s="44">
        <v>1</v>
      </c>
      <c r="H99" s="44" t="str">
        <f>INDEX(Helper!$C:$C, MATCH(G99, Helper!$A:$A, 0))</f>
        <v>Standard (EADGBE)</v>
      </c>
      <c r="I99" s="44" t="s">
        <v>620</v>
      </c>
      <c r="J99" s="64" t="s">
        <v>15</v>
      </c>
      <c r="K99" s="44" t="str">
        <f>INDEX(Helper!$F:$F, MATCH(J99, Helper!$E:$E, 0))</f>
        <v>#C2C2A1</v>
      </c>
      <c r="L99" s="45" t="s">
        <v>487</v>
      </c>
      <c r="M99" s="45" t="s">
        <v>615</v>
      </c>
      <c r="N99" s="46" t="s">
        <v>734</v>
      </c>
      <c r="O99" s="76" t="s">
        <v>1035</v>
      </c>
    </row>
    <row r="100" spans="1:15" ht="77.150000000000006" x14ac:dyDescent="0.4">
      <c r="A100" s="44">
        <v>97</v>
      </c>
      <c r="B100" s="44">
        <v>1</v>
      </c>
      <c r="C100" s="45" t="str">
        <f>INDEX(Helper!$N$2:$N$4, MATCH(B100, Helper!$M$2:$M$4, 0))</f>
        <v>Beginner</v>
      </c>
      <c r="D100" s="45" t="s">
        <v>36</v>
      </c>
      <c r="E100" s="45" t="s">
        <v>51</v>
      </c>
      <c r="F100" s="5">
        <v>1</v>
      </c>
      <c r="G100" s="44">
        <v>1</v>
      </c>
      <c r="H100" s="44" t="str">
        <f>INDEX(Helper!$C:$C, MATCH(G100, Helper!$A:$A, 0))</f>
        <v>Standard (EADGBE)</v>
      </c>
      <c r="I100" s="44" t="s">
        <v>619</v>
      </c>
      <c r="J100" s="64" t="s">
        <v>15</v>
      </c>
      <c r="K100" s="44" t="str">
        <f>INDEX(Helper!$F:$F, MATCH(J100, Helper!$E:$E, 0))</f>
        <v>#C2C2A1</v>
      </c>
      <c r="L100" s="45" t="s">
        <v>488</v>
      </c>
      <c r="M100" s="45" t="s">
        <v>615</v>
      </c>
      <c r="N100" s="47" t="s">
        <v>735</v>
      </c>
      <c r="O100" s="76" t="s">
        <v>1036</v>
      </c>
    </row>
    <row r="101" spans="1:15" ht="347.15" x14ac:dyDescent="0.4">
      <c r="A101" s="44">
        <v>98</v>
      </c>
      <c r="B101" s="44">
        <v>3</v>
      </c>
      <c r="C101" s="45" t="str">
        <f>INDEX(Helper!$N$2:$N$4, MATCH(B101, Helper!$M$2:$M$4, 0))</f>
        <v>Advanced</v>
      </c>
      <c r="D101" s="45" t="s">
        <v>34</v>
      </c>
      <c r="E101" s="45" t="s">
        <v>48</v>
      </c>
      <c r="F101" s="5">
        <v>1</v>
      </c>
      <c r="G101" s="44">
        <v>1</v>
      </c>
      <c r="H101" s="44" t="str">
        <f>INDEX(Helper!$C:$C, MATCH(G101, Helper!$A:$A, 0))</f>
        <v>Standard (EADGBE)</v>
      </c>
      <c r="I101" s="44" t="s">
        <v>60</v>
      </c>
      <c r="J101" s="59" t="s">
        <v>10</v>
      </c>
      <c r="K101" s="44" t="str">
        <f>INDEX(Helper!$F:$F, MATCH(J101, Helper!$E:$E, 0))</f>
        <v>#F5943C</v>
      </c>
      <c r="L101" s="45" t="s">
        <v>489</v>
      </c>
      <c r="M101" s="45" t="s">
        <v>615</v>
      </c>
      <c r="N101" s="46" t="s">
        <v>736</v>
      </c>
      <c r="O101" s="76" t="s">
        <v>1037</v>
      </c>
    </row>
    <row r="102" spans="1:15" ht="77.599999999999994" x14ac:dyDescent="0.4">
      <c r="A102" s="44">
        <v>99</v>
      </c>
      <c r="B102" s="44">
        <v>1</v>
      </c>
      <c r="C102" s="50" t="str">
        <f>INDEX(Helper!$N$2:$N$4, MATCH(B102, Helper!$M$2:$M$4, 0))</f>
        <v>Beginner</v>
      </c>
      <c r="D102" s="50" t="s">
        <v>288</v>
      </c>
      <c r="E102" s="50" t="s">
        <v>342</v>
      </c>
      <c r="F102" s="5">
        <v>1</v>
      </c>
      <c r="G102" s="44">
        <v>1</v>
      </c>
      <c r="H102" s="44" t="str">
        <f>INDEX(Helper!$C:$C, MATCH(G102, Helper!$A:$A, 0))</f>
        <v>Standard (EADGBE)</v>
      </c>
      <c r="I102" s="44" t="s">
        <v>394</v>
      </c>
      <c r="J102" s="60" t="s">
        <v>28</v>
      </c>
      <c r="K102" s="44" t="str">
        <f>INDEX(Helper!$F:$F, MATCH(J102, Helper!$E:$E, 0))</f>
        <v>#B3F141</v>
      </c>
      <c r="L102" s="50" t="s">
        <v>490</v>
      </c>
      <c r="M102" s="50" t="s">
        <v>615</v>
      </c>
      <c r="N102" s="47" t="s">
        <v>754</v>
      </c>
      <c r="O102" s="74" t="s">
        <v>1038</v>
      </c>
    </row>
    <row r="103" spans="1:15" ht="347.6" x14ac:dyDescent="0.4">
      <c r="A103" s="44">
        <v>100</v>
      </c>
      <c r="B103" s="44">
        <v>3</v>
      </c>
      <c r="C103" s="50" t="str">
        <f>INDEX(Helper!$N$2:$N$4, MATCH(B103, Helper!$M$2:$M$4, 0))</f>
        <v>Advanced</v>
      </c>
      <c r="D103" s="50" t="s">
        <v>127</v>
      </c>
      <c r="E103" s="50" t="s">
        <v>343</v>
      </c>
      <c r="F103" s="5">
        <v>1</v>
      </c>
      <c r="G103" s="44">
        <v>1</v>
      </c>
      <c r="H103" s="44" t="str">
        <f>INDEX(Helper!$C:$C, MATCH(G103, Helper!$A:$A, 0))</f>
        <v>Standard (EADGBE)</v>
      </c>
      <c r="I103" s="44" t="s">
        <v>59</v>
      </c>
      <c r="J103" s="59" t="s">
        <v>10</v>
      </c>
      <c r="K103" s="44" t="str">
        <f>INDEX(Helper!$F:$F, MATCH(J103, Helper!$E:$E, 0))</f>
        <v>#F5943C</v>
      </c>
      <c r="L103" s="50" t="s">
        <v>491</v>
      </c>
      <c r="M103" s="50" t="s">
        <v>615</v>
      </c>
      <c r="N103" s="47" t="s">
        <v>755</v>
      </c>
      <c r="O103" s="74" t="s">
        <v>1039</v>
      </c>
    </row>
    <row r="104" spans="1:15" ht="77.599999999999994" x14ac:dyDescent="0.4">
      <c r="A104" s="44">
        <v>101</v>
      </c>
      <c r="B104" s="44">
        <v>3</v>
      </c>
      <c r="C104" s="50" t="str">
        <f>INDEX(Helper!$N$2:$N$4, MATCH(B104, Helper!$M$2:$M$4, 0))</f>
        <v>Advanced</v>
      </c>
      <c r="D104" s="50" t="s">
        <v>344</v>
      </c>
      <c r="E104" s="50" t="s">
        <v>345</v>
      </c>
      <c r="F104" s="5">
        <v>1</v>
      </c>
      <c r="G104" s="44">
        <v>1</v>
      </c>
      <c r="H104" s="44" t="str">
        <f>INDEX(Helper!$C:$C, MATCH(G104, Helper!$A:$A, 0))</f>
        <v>Standard (EADGBE)</v>
      </c>
      <c r="I104" s="44" t="s">
        <v>61</v>
      </c>
      <c r="J104" s="68" t="s">
        <v>14</v>
      </c>
      <c r="K104" s="44" t="str">
        <f>INDEX(Helper!$F:$F, MATCH(J104, Helper!$E:$E, 0))</f>
        <v>#FFE000</v>
      </c>
      <c r="L104" s="50" t="s">
        <v>492</v>
      </c>
      <c r="M104" s="50" t="s">
        <v>615</v>
      </c>
      <c r="N104" s="47" t="s">
        <v>756</v>
      </c>
      <c r="O104" s="74" t="s">
        <v>1040</v>
      </c>
    </row>
    <row r="105" spans="1:15" ht="409.6" x14ac:dyDescent="0.4">
      <c r="A105" s="44">
        <v>102</v>
      </c>
      <c r="B105" s="44">
        <v>3</v>
      </c>
      <c r="C105" s="50" t="str">
        <f>INDEX(Helper!$N$2:$N$4, MATCH(B105, Helper!$M$2:$M$4, 0))</f>
        <v>Advanced</v>
      </c>
      <c r="D105" s="50" t="s">
        <v>43</v>
      </c>
      <c r="E105" s="50" t="s">
        <v>346</v>
      </c>
      <c r="F105" s="5">
        <v>1</v>
      </c>
      <c r="G105" s="44">
        <v>1</v>
      </c>
      <c r="H105" s="44" t="str">
        <f>INDEX(Helper!$C:$C, MATCH(G105, Helper!$A:$A, 0))</f>
        <v>Standard (EADGBE)</v>
      </c>
      <c r="I105" s="44" t="s">
        <v>59</v>
      </c>
      <c r="J105" s="59" t="s">
        <v>23</v>
      </c>
      <c r="K105" s="44" t="str">
        <f>INDEX(Helper!$F:$F, MATCH(J105, Helper!$E:$E, 0))</f>
        <v>#F1D764</v>
      </c>
      <c r="L105" s="50" t="s">
        <v>493</v>
      </c>
      <c r="M105" s="50" t="s">
        <v>615</v>
      </c>
      <c r="N105" s="47" t="s">
        <v>757</v>
      </c>
      <c r="O105" s="74" t="s">
        <v>1041</v>
      </c>
    </row>
    <row r="106" spans="1:15" ht="409.6" x14ac:dyDescent="0.4">
      <c r="A106" s="44">
        <v>103</v>
      </c>
      <c r="B106" s="44">
        <v>3</v>
      </c>
      <c r="C106" s="50" t="str">
        <f>INDEX(Helper!$N$2:$N$4, MATCH(B106, Helper!$M$2:$M$4, 0))</f>
        <v>Advanced</v>
      </c>
      <c r="D106" s="50" t="s">
        <v>271</v>
      </c>
      <c r="E106" s="50" t="s">
        <v>347</v>
      </c>
      <c r="F106" s="5">
        <v>1</v>
      </c>
      <c r="G106" s="44">
        <v>1</v>
      </c>
      <c r="H106" s="44" t="str">
        <f>INDEX(Helper!$C:$C, MATCH(G106, Helper!$A:$A, 0))</f>
        <v>Standard (EADGBE)</v>
      </c>
      <c r="I106" s="44" t="s">
        <v>619</v>
      </c>
      <c r="J106" s="64" t="s">
        <v>15</v>
      </c>
      <c r="K106" s="44" t="str">
        <f>INDEX(Helper!$F:$F, MATCH(J106, Helper!$E:$E, 0))</f>
        <v>#C2C2A1</v>
      </c>
      <c r="L106" s="50" t="s">
        <v>494</v>
      </c>
      <c r="M106" s="50" t="s">
        <v>615</v>
      </c>
      <c r="N106" s="47" t="s">
        <v>758</v>
      </c>
      <c r="O106" s="74" t="s">
        <v>1042</v>
      </c>
    </row>
    <row r="107" spans="1:15" ht="257.60000000000002" x14ac:dyDescent="0.4">
      <c r="A107" s="44">
        <v>104</v>
      </c>
      <c r="B107" s="44">
        <v>3</v>
      </c>
      <c r="C107" s="50" t="str">
        <f>INDEX(Helper!$N$2:$N$4, MATCH(B107, Helper!$M$2:$M$4, 0))</f>
        <v>Advanced</v>
      </c>
      <c r="D107" s="50" t="s">
        <v>269</v>
      </c>
      <c r="E107" s="50" t="s">
        <v>348</v>
      </c>
      <c r="F107" s="5">
        <v>1</v>
      </c>
      <c r="G107" s="44">
        <v>1</v>
      </c>
      <c r="H107" s="44" t="str">
        <f>INDEX(Helper!$C:$C, MATCH(G107, Helper!$A:$A, 0))</f>
        <v>Standard (EADGBE)</v>
      </c>
      <c r="I107" s="44" t="s">
        <v>394</v>
      </c>
      <c r="J107" s="64" t="s">
        <v>15</v>
      </c>
      <c r="K107" s="44" t="str">
        <f>INDEX(Helper!$F:$F, MATCH(J107, Helper!$E:$E, 0))</f>
        <v>#C2C2A1</v>
      </c>
      <c r="L107" s="50" t="s">
        <v>495</v>
      </c>
      <c r="M107" s="50" t="s">
        <v>615</v>
      </c>
      <c r="N107" s="47" t="s">
        <v>759</v>
      </c>
      <c r="O107" s="74" t="s">
        <v>1043</v>
      </c>
    </row>
    <row r="108" spans="1:15" ht="409.6" x14ac:dyDescent="0.4">
      <c r="A108" s="44">
        <v>105</v>
      </c>
      <c r="B108" s="44">
        <v>3</v>
      </c>
      <c r="C108" s="50" t="str">
        <f>INDEX(Helper!$N$2:$N$4, MATCH(B108, Helper!$M$2:$M$4, 0))</f>
        <v>Advanced</v>
      </c>
      <c r="D108" s="50" t="s">
        <v>271</v>
      </c>
      <c r="E108" s="50" t="s">
        <v>349</v>
      </c>
      <c r="F108" s="5">
        <v>0</v>
      </c>
      <c r="G108" s="44">
        <v>1</v>
      </c>
      <c r="H108" s="44" t="str">
        <f>INDEX(Helper!$C:$C, MATCH(G108, Helper!$A:$A, 0))</f>
        <v>Standard (EADGBE)</v>
      </c>
      <c r="I108" s="44" t="s">
        <v>619</v>
      </c>
      <c r="J108" s="64" t="s">
        <v>15</v>
      </c>
      <c r="K108" s="44" t="str">
        <f>INDEX(Helper!$F:$F, MATCH(J108, Helper!$E:$E, 0))</f>
        <v>#C2C2A1</v>
      </c>
      <c r="L108" s="50" t="s">
        <v>496</v>
      </c>
      <c r="M108" s="50" t="s">
        <v>615</v>
      </c>
      <c r="N108" s="47" t="s">
        <v>760</v>
      </c>
      <c r="O108" s="74" t="s">
        <v>1044</v>
      </c>
    </row>
    <row r="109" spans="1:15" ht="257.60000000000002" x14ac:dyDescent="0.4">
      <c r="A109" s="44">
        <v>106</v>
      </c>
      <c r="B109" s="44">
        <v>2</v>
      </c>
      <c r="C109" s="50" t="str">
        <f>INDEX(Helper!$N$2:$N$4, MATCH(B109, Helper!$M$2:$M$4, 0))</f>
        <v>Intermediate</v>
      </c>
      <c r="D109" s="50" t="s">
        <v>350</v>
      </c>
      <c r="E109" s="50" t="s">
        <v>351</v>
      </c>
      <c r="F109" s="5">
        <v>1</v>
      </c>
      <c r="G109" s="44">
        <v>1</v>
      </c>
      <c r="H109" s="44" t="str">
        <f>INDEX(Helper!$C:$C, MATCH(G109, Helper!$A:$A, 0))</f>
        <v>Standard (EADGBE)</v>
      </c>
      <c r="I109" s="44" t="s">
        <v>638</v>
      </c>
      <c r="J109" s="63" t="s">
        <v>19</v>
      </c>
      <c r="K109" s="44" t="str">
        <f>INDEX(Helper!$F:$F, MATCH(J109, Helper!$E:$E, 0))</f>
        <v>#FFDD21</v>
      </c>
      <c r="L109" s="50" t="s">
        <v>497</v>
      </c>
      <c r="M109" s="50" t="s">
        <v>615</v>
      </c>
      <c r="N109" s="47" t="s">
        <v>761</v>
      </c>
      <c r="O109" s="74" t="s">
        <v>1045</v>
      </c>
    </row>
    <row r="110" spans="1:15" ht="257.60000000000002" x14ac:dyDescent="0.4">
      <c r="A110" s="44">
        <v>107</v>
      </c>
      <c r="B110" s="44">
        <v>3</v>
      </c>
      <c r="C110" s="50" t="str">
        <f>INDEX(Helper!$N$2:$N$4, MATCH(B110, Helper!$M$2:$M$4, 0))</f>
        <v>Advanced</v>
      </c>
      <c r="D110" s="50" t="s">
        <v>352</v>
      </c>
      <c r="E110" s="50" t="s">
        <v>353</v>
      </c>
      <c r="F110" s="5">
        <v>1</v>
      </c>
      <c r="G110" s="44">
        <v>1</v>
      </c>
      <c r="H110" s="44" t="str">
        <f>INDEX(Helper!$C:$C, MATCH(G110, Helper!$A:$A, 0))</f>
        <v>Standard (EADGBE)</v>
      </c>
      <c r="I110" s="44" t="s">
        <v>62</v>
      </c>
      <c r="J110" s="64" t="s">
        <v>15</v>
      </c>
      <c r="K110" s="44" t="str">
        <f>INDEX(Helper!$F:$F, MATCH(J110, Helper!$E:$E, 0))</f>
        <v>#C2C2A1</v>
      </c>
      <c r="L110" s="50" t="s">
        <v>498</v>
      </c>
      <c r="M110" s="50" t="s">
        <v>615</v>
      </c>
      <c r="N110" s="47" t="s">
        <v>762</v>
      </c>
      <c r="O110" s="74" t="s">
        <v>1046</v>
      </c>
    </row>
    <row r="111" spans="1:15" ht="347.6" x14ac:dyDescent="0.4">
      <c r="A111" s="44">
        <v>108</v>
      </c>
      <c r="B111" s="44">
        <v>3</v>
      </c>
      <c r="C111" s="50" t="str">
        <f>INDEX(Helper!$N$2:$N$4, MATCH(B111, Helper!$M$2:$M$4, 0))</f>
        <v>Advanced</v>
      </c>
      <c r="D111" s="50" t="s">
        <v>171</v>
      </c>
      <c r="E111" s="50" t="s">
        <v>354</v>
      </c>
      <c r="F111" s="5">
        <v>1</v>
      </c>
      <c r="G111" s="44">
        <v>1</v>
      </c>
      <c r="H111" s="44" t="str">
        <f>INDEX(Helper!$C:$C, MATCH(G111, Helper!$A:$A, 0))</f>
        <v>Standard (EADGBE)</v>
      </c>
      <c r="I111" s="44" t="s">
        <v>65</v>
      </c>
      <c r="J111" s="63" t="s">
        <v>19</v>
      </c>
      <c r="K111" s="44" t="str">
        <f>INDEX(Helper!$F:$F, MATCH(J111, Helper!$E:$E, 0))</f>
        <v>#FFDD21</v>
      </c>
      <c r="L111" s="50" t="s">
        <v>499</v>
      </c>
      <c r="M111" s="50" t="s">
        <v>615</v>
      </c>
      <c r="N111" s="47" t="s">
        <v>763</v>
      </c>
      <c r="O111" s="74" t="s">
        <v>1047</v>
      </c>
    </row>
    <row r="112" spans="1:15" ht="409.6" x14ac:dyDescent="0.4">
      <c r="A112" s="44">
        <v>109</v>
      </c>
      <c r="B112" s="44">
        <v>3</v>
      </c>
      <c r="C112" s="50" t="str">
        <f>INDEX(Helper!$N$2:$N$4, MATCH(B112, Helper!$M$2:$M$4, 0))</f>
        <v>Advanced</v>
      </c>
      <c r="D112" s="50" t="s">
        <v>249</v>
      </c>
      <c r="E112" s="50" t="s">
        <v>355</v>
      </c>
      <c r="F112" s="5">
        <v>1</v>
      </c>
      <c r="G112" s="44">
        <v>1</v>
      </c>
      <c r="H112" s="44" t="str">
        <f>INDEX(Helper!$C:$C, MATCH(G112, Helper!$A:$A, 0))</f>
        <v>Standard (EADGBE)</v>
      </c>
      <c r="I112" s="44" t="s">
        <v>65</v>
      </c>
      <c r="J112" s="67" t="s">
        <v>12</v>
      </c>
      <c r="K112" s="44" t="str">
        <f>INDEX(Helper!$F:$F, MATCH(J112, Helper!$E:$E, 0))</f>
        <v>#FFE129</v>
      </c>
      <c r="L112" s="50" t="s">
        <v>500</v>
      </c>
      <c r="M112" s="50" t="s">
        <v>615</v>
      </c>
      <c r="N112" s="47" t="s">
        <v>764</v>
      </c>
      <c r="O112" s="74" t="s">
        <v>1048</v>
      </c>
    </row>
    <row r="113" spans="1:15" ht="409.6" x14ac:dyDescent="0.4">
      <c r="A113" s="44">
        <v>110</v>
      </c>
      <c r="B113" s="44">
        <v>3</v>
      </c>
      <c r="C113" s="50" t="str">
        <f>INDEX(Helper!$N$2:$N$4, MATCH(B113, Helper!$M$2:$M$4, 0))</f>
        <v>Advanced</v>
      </c>
      <c r="D113" s="50" t="s">
        <v>356</v>
      </c>
      <c r="E113" s="50" t="s">
        <v>357</v>
      </c>
      <c r="F113" s="5">
        <v>0</v>
      </c>
      <c r="G113" s="44">
        <v>1</v>
      </c>
      <c r="H113" s="44" t="str">
        <f>INDEX(Helper!$C:$C, MATCH(G113, Helper!$A:$A, 0))</f>
        <v>Standard (EADGBE)</v>
      </c>
      <c r="I113" s="44" t="s">
        <v>63</v>
      </c>
      <c r="J113" s="63" t="s">
        <v>26</v>
      </c>
      <c r="K113" s="44" t="str">
        <f>INDEX(Helper!$F:$F, MATCH(J113, Helper!$E:$E, 0))</f>
        <v>#FFFFCC</v>
      </c>
      <c r="L113" s="51" t="s">
        <v>501</v>
      </c>
      <c r="M113" s="50" t="s">
        <v>615</v>
      </c>
      <c r="N113" s="52" t="s">
        <v>765</v>
      </c>
      <c r="O113" s="74" t="s">
        <v>1049</v>
      </c>
    </row>
    <row r="114" spans="1:15" ht="409.6" x14ac:dyDescent="0.4">
      <c r="A114" s="44">
        <v>111</v>
      </c>
      <c r="B114" s="44">
        <v>3</v>
      </c>
      <c r="C114" s="50" t="str">
        <f>INDEX(Helper!$N$2:$N$4, MATCH(B114, Helper!$M$2:$M$4, 0))</f>
        <v>Advanced</v>
      </c>
      <c r="D114" s="50" t="s">
        <v>358</v>
      </c>
      <c r="E114" s="50" t="s">
        <v>359</v>
      </c>
      <c r="F114" s="5">
        <v>1</v>
      </c>
      <c r="G114" s="44">
        <v>1</v>
      </c>
      <c r="H114" s="44" t="str">
        <f>INDEX(Helper!$C:$C, MATCH(G114, Helper!$A:$A, 0))</f>
        <v>Standard (EADGBE)</v>
      </c>
      <c r="I114" s="44" t="s">
        <v>63</v>
      </c>
      <c r="J114" s="59" t="s">
        <v>10</v>
      </c>
      <c r="K114" s="44" t="str">
        <f>INDEX(Helper!$F:$F, MATCH(J114, Helper!$E:$E, 0))</f>
        <v>#F5943C</v>
      </c>
      <c r="L114" s="50" t="s">
        <v>502</v>
      </c>
      <c r="M114" s="50" t="s">
        <v>615</v>
      </c>
      <c r="N114" s="47" t="s">
        <v>766</v>
      </c>
      <c r="O114" s="74" t="s">
        <v>1050</v>
      </c>
    </row>
    <row r="115" spans="1:15" ht="347.6" x14ac:dyDescent="0.4">
      <c r="A115" s="44">
        <v>112</v>
      </c>
      <c r="B115" s="44">
        <v>3</v>
      </c>
      <c r="C115" s="50" t="str">
        <f>INDEX(Helper!$N$2:$N$4, MATCH(B115, Helper!$M$2:$M$4, 0))</f>
        <v>Advanced</v>
      </c>
      <c r="D115" s="50" t="s">
        <v>360</v>
      </c>
      <c r="E115" s="50" t="s">
        <v>361</v>
      </c>
      <c r="F115" s="5">
        <v>0</v>
      </c>
      <c r="G115" s="44">
        <v>1</v>
      </c>
      <c r="H115" s="44" t="str">
        <f>INDEX(Helper!$C:$C, MATCH(G115, Helper!$A:$A, 0))</f>
        <v>Standard (EADGBE)</v>
      </c>
      <c r="I115" s="44" t="s">
        <v>64</v>
      </c>
      <c r="J115" s="68" t="s">
        <v>14</v>
      </c>
      <c r="K115" s="44" t="str">
        <f>INDEX(Helper!$F:$F, MATCH(J115, Helper!$E:$E, 0))</f>
        <v>#FFE000</v>
      </c>
      <c r="L115" s="50" t="s">
        <v>503</v>
      </c>
      <c r="M115" s="50" t="s">
        <v>615</v>
      </c>
      <c r="N115" s="50" t="s">
        <v>767</v>
      </c>
      <c r="O115" s="74" t="s">
        <v>1051</v>
      </c>
    </row>
    <row r="116" spans="1:15" ht="257.60000000000002" x14ac:dyDescent="0.4">
      <c r="A116" s="44">
        <v>113</v>
      </c>
      <c r="B116" s="44">
        <v>3</v>
      </c>
      <c r="C116" s="50" t="str">
        <f>INDEX(Helper!$N$2:$N$4, MATCH(B116, Helper!$M$2:$M$4, 0))</f>
        <v>Advanced</v>
      </c>
      <c r="D116" s="50" t="s">
        <v>362</v>
      </c>
      <c r="E116" s="50" t="s">
        <v>363</v>
      </c>
      <c r="F116" s="5">
        <v>0</v>
      </c>
      <c r="G116" s="44">
        <v>1</v>
      </c>
      <c r="H116" s="44" t="str">
        <f>INDEX(Helper!$C:$C, MATCH(G116, Helper!$A:$A, 0))</f>
        <v>Standard (EADGBE)</v>
      </c>
      <c r="I116" s="44" t="s">
        <v>62</v>
      </c>
      <c r="J116" s="63" t="s">
        <v>19</v>
      </c>
      <c r="K116" s="44" t="str">
        <f>INDEX(Helper!$F:$F, MATCH(J116, Helper!$E:$E, 0))</f>
        <v>#FFDD21</v>
      </c>
      <c r="L116" s="50" t="s">
        <v>504</v>
      </c>
      <c r="M116" s="50" t="s">
        <v>615</v>
      </c>
      <c r="N116" s="47" t="s">
        <v>768</v>
      </c>
      <c r="O116" s="74" t="s">
        <v>1052</v>
      </c>
    </row>
    <row r="117" spans="1:15" ht="408.45" customHeight="1" x14ac:dyDescent="0.4">
      <c r="A117" s="44">
        <v>114</v>
      </c>
      <c r="B117" s="44">
        <v>3</v>
      </c>
      <c r="C117" s="50" t="str">
        <f>INDEX(Helper!$N$2:$N$4, MATCH(B117, Helper!$M$2:$M$4, 0))</f>
        <v>Advanced</v>
      </c>
      <c r="D117" s="50" t="s">
        <v>364</v>
      </c>
      <c r="E117" s="50" t="s">
        <v>365</v>
      </c>
      <c r="F117" s="5">
        <v>1</v>
      </c>
      <c r="G117" s="44">
        <v>1</v>
      </c>
      <c r="H117" s="44" t="str">
        <f>INDEX(Helper!$C:$C, MATCH(G117, Helper!$A:$A, 0))</f>
        <v>Standard (EADGBE)</v>
      </c>
      <c r="I117" s="44" t="s">
        <v>63</v>
      </c>
      <c r="J117" s="63" t="s">
        <v>19</v>
      </c>
      <c r="K117" s="44" t="str">
        <f>INDEX(Helper!$F:$F, MATCH(J117, Helper!$E:$E, 0))</f>
        <v>#FFDD21</v>
      </c>
      <c r="L117" s="50" t="s">
        <v>505</v>
      </c>
      <c r="M117" s="50" t="s">
        <v>615</v>
      </c>
      <c r="N117" s="47" t="s">
        <v>769</v>
      </c>
      <c r="O117" s="74" t="s">
        <v>1053</v>
      </c>
    </row>
    <row r="118" spans="1:15" ht="167.6" x14ac:dyDescent="0.4">
      <c r="A118" s="44">
        <v>115</v>
      </c>
      <c r="B118" s="44">
        <v>3</v>
      </c>
      <c r="C118" s="50" t="str">
        <f>INDEX(Helper!$N$2:$N$4, MATCH(B118, Helper!$M$2:$M$4, 0))</f>
        <v>Advanced</v>
      </c>
      <c r="D118" s="50" t="s">
        <v>352</v>
      </c>
      <c r="E118" s="50" t="s">
        <v>366</v>
      </c>
      <c r="F118" s="5">
        <v>1</v>
      </c>
      <c r="G118" s="44">
        <v>1</v>
      </c>
      <c r="H118" s="44" t="str">
        <f>INDEX(Helper!$C:$C, MATCH(G118, Helper!$A:$A, 0))</f>
        <v>Standard (EADGBE)</v>
      </c>
      <c r="I118" s="44" t="s">
        <v>619</v>
      </c>
      <c r="J118" s="64" t="s">
        <v>15</v>
      </c>
      <c r="K118" s="44" t="str">
        <f>INDEX(Helper!$F:$F, MATCH(J118, Helper!$E:$E, 0))</f>
        <v>#C2C2A1</v>
      </c>
      <c r="L118" s="50" t="s">
        <v>506</v>
      </c>
      <c r="M118" s="50" t="s">
        <v>615</v>
      </c>
      <c r="N118" s="47" t="s">
        <v>770</v>
      </c>
      <c r="O118" s="74" t="s">
        <v>1054</v>
      </c>
    </row>
    <row r="119" spans="1:15" ht="167.6" x14ac:dyDescent="0.4">
      <c r="A119" s="44">
        <v>116</v>
      </c>
      <c r="B119" s="44">
        <v>2</v>
      </c>
      <c r="C119" s="50" t="str">
        <f>INDEX(Helper!$N$2:$N$4, MATCH(B119, Helper!$M$2:$M$4, 0))</f>
        <v>Intermediate</v>
      </c>
      <c r="D119" s="50" t="s">
        <v>367</v>
      </c>
      <c r="E119" s="50" t="s">
        <v>368</v>
      </c>
      <c r="F119" s="5">
        <v>1</v>
      </c>
      <c r="G119" s="44">
        <v>1</v>
      </c>
      <c r="H119" s="44" t="str">
        <f>INDEX(Helper!$C:$C, MATCH(G119, Helper!$A:$A, 0))</f>
        <v>Standard (EADGBE)</v>
      </c>
      <c r="I119" s="44" t="s">
        <v>59</v>
      </c>
      <c r="J119" s="70" t="s">
        <v>373</v>
      </c>
      <c r="K119" s="44" t="str">
        <f>INDEX(Helper!$F:$F, MATCH(J119, Helper!$E:$E, 0))</f>
        <v>#C476D4</v>
      </c>
      <c r="L119" s="50" t="s">
        <v>507</v>
      </c>
      <c r="M119" s="50" t="s">
        <v>640</v>
      </c>
      <c r="N119" s="47" t="s">
        <v>771</v>
      </c>
      <c r="O119" s="74" t="s">
        <v>1055</v>
      </c>
    </row>
    <row r="120" spans="1:15" ht="77.599999999999994" x14ac:dyDescent="0.4">
      <c r="A120" s="44">
        <v>117</v>
      </c>
      <c r="B120" s="44">
        <v>3</v>
      </c>
      <c r="C120" s="50" t="str">
        <f>INDEX(Helper!$N$2:$N$4, MATCH(B120, Helper!$M$2:$M$4, 0))</f>
        <v>Advanced</v>
      </c>
      <c r="D120" s="50" t="s">
        <v>90</v>
      </c>
      <c r="E120" s="50" t="s">
        <v>369</v>
      </c>
      <c r="F120" s="5">
        <v>0</v>
      </c>
      <c r="G120" s="44">
        <v>1</v>
      </c>
      <c r="H120" s="44" t="str">
        <f>INDEX(Helper!$C:$C, MATCH(G120, Helper!$A:$A, 0))</f>
        <v>Standard (EADGBE)</v>
      </c>
      <c r="I120" s="44" t="s">
        <v>772</v>
      </c>
      <c r="J120" s="65" t="s">
        <v>13</v>
      </c>
      <c r="K120" s="44" t="str">
        <f>INDEX(Helper!$F:$F, MATCH(J120, Helper!$E:$E, 0))</f>
        <v>#FF4F53</v>
      </c>
      <c r="L120" s="50" t="s">
        <v>508</v>
      </c>
      <c r="M120" s="50" t="s">
        <v>615</v>
      </c>
      <c r="N120" s="47" t="s">
        <v>773</v>
      </c>
      <c r="O120" s="74" t="s">
        <v>1056</v>
      </c>
    </row>
    <row r="121" spans="1:15" ht="409.6" x14ac:dyDescent="0.4">
      <c r="A121" s="44">
        <v>118</v>
      </c>
      <c r="B121" s="44">
        <v>3</v>
      </c>
      <c r="C121" s="50" t="str">
        <f>INDEX(Helper!$N$2:$N$4, MATCH(B121, Helper!$M$2:$M$4, 0))</f>
        <v>Advanced</v>
      </c>
      <c r="D121" s="50" t="s">
        <v>52</v>
      </c>
      <c r="E121" s="50" t="s">
        <v>37</v>
      </c>
      <c r="F121" s="5">
        <v>1</v>
      </c>
      <c r="G121" s="44">
        <v>1</v>
      </c>
      <c r="H121" s="44" t="str">
        <f>INDEX(Helper!$C:$C, MATCH(G121, Helper!$A:$A, 0))</f>
        <v>Standard (EADGBE)</v>
      </c>
      <c r="I121" s="44" t="s">
        <v>627</v>
      </c>
      <c r="J121" s="73" t="s">
        <v>18</v>
      </c>
      <c r="K121" s="44" t="str">
        <f>INDEX(Helper!$F:$F, MATCH(J121, Helper!$E:$E, 0))</f>
        <v>#22AAD6</v>
      </c>
      <c r="L121" s="50" t="s">
        <v>509</v>
      </c>
      <c r="M121" s="50" t="s">
        <v>615</v>
      </c>
      <c r="N121" s="47" t="s">
        <v>774</v>
      </c>
      <c r="O121" s="74" t="s">
        <v>1057</v>
      </c>
    </row>
    <row r="122" spans="1:15" ht="167.6" x14ac:dyDescent="0.4">
      <c r="A122" s="44">
        <v>119</v>
      </c>
      <c r="B122" s="44">
        <v>2</v>
      </c>
      <c r="C122" s="50" t="str">
        <f>INDEX(Helper!$N$2:$N$4, MATCH(B122, Helper!$M$2:$M$4, 0))</f>
        <v>Intermediate</v>
      </c>
      <c r="D122" s="50" t="s">
        <v>35</v>
      </c>
      <c r="E122" s="50" t="s">
        <v>49</v>
      </c>
      <c r="F122" s="5">
        <v>1</v>
      </c>
      <c r="G122" s="44">
        <v>2</v>
      </c>
      <c r="H122" s="44" t="str">
        <f>INDEX(Helper!$C:$C, MATCH(G122, Helper!$A:$A, 0))</f>
        <v>Drop D (DADGBE)</v>
      </c>
      <c r="I122" s="44" t="s">
        <v>62</v>
      </c>
      <c r="J122" s="64" t="s">
        <v>15</v>
      </c>
      <c r="K122" s="44" t="str">
        <f>INDEX(Helper!$F:$F, MATCH(J122, Helper!$E:$E, 0))</f>
        <v>#C2C2A1</v>
      </c>
      <c r="L122" s="50" t="s">
        <v>510</v>
      </c>
      <c r="M122" s="50" t="s">
        <v>615</v>
      </c>
      <c r="N122" s="47" t="s">
        <v>775</v>
      </c>
      <c r="O122" s="74" t="s">
        <v>1058</v>
      </c>
    </row>
    <row r="123" spans="1:15" ht="409.6" x14ac:dyDescent="0.4">
      <c r="A123" s="44">
        <v>120</v>
      </c>
      <c r="B123" s="44">
        <v>3</v>
      </c>
      <c r="C123" s="50" t="str">
        <f>INDEX(Helper!$N$2:$N$4, MATCH(B123, Helper!$M$2:$M$4, 0))</f>
        <v>Advanced</v>
      </c>
      <c r="D123" s="50" t="s">
        <v>35</v>
      </c>
      <c r="E123" s="50" t="s">
        <v>50</v>
      </c>
      <c r="F123" s="5">
        <v>0</v>
      </c>
      <c r="G123" s="44">
        <v>2</v>
      </c>
      <c r="H123" s="44" t="str">
        <f>INDEX(Helper!$C:$C, MATCH(G123, Helper!$A:$A, 0))</f>
        <v>Drop D (DADGBE)</v>
      </c>
      <c r="I123" s="44" t="s">
        <v>62</v>
      </c>
      <c r="J123" s="64" t="s">
        <v>15</v>
      </c>
      <c r="K123" s="44" t="str">
        <f>INDEX(Helper!$F:$F, MATCH(J123, Helper!$E:$E, 0))</f>
        <v>#C2C2A1</v>
      </c>
      <c r="L123" s="50" t="s">
        <v>511</v>
      </c>
      <c r="M123" s="50" t="s">
        <v>615</v>
      </c>
      <c r="N123" s="50" t="s">
        <v>776</v>
      </c>
      <c r="O123" s="74" t="s">
        <v>1059</v>
      </c>
    </row>
    <row r="124" spans="1:15" ht="270.45" x14ac:dyDescent="0.4">
      <c r="A124" s="44">
        <v>121</v>
      </c>
      <c r="B124" s="44">
        <v>3</v>
      </c>
      <c r="C124" s="50" t="str">
        <f>INDEX(Helper!$N$2:$N$4, MATCH(B124, Helper!$M$2:$M$4, 0))</f>
        <v>Advanced</v>
      </c>
      <c r="D124" s="50" t="s">
        <v>78</v>
      </c>
      <c r="E124" s="50" t="s">
        <v>370</v>
      </c>
      <c r="F124" s="5">
        <v>1</v>
      </c>
      <c r="G124" s="44">
        <v>2</v>
      </c>
      <c r="H124" s="44" t="str">
        <f>INDEX(Helper!$C:$C, MATCH(G124, Helper!$A:$A, 0))</f>
        <v>Drop D (DADGBE)</v>
      </c>
      <c r="I124" s="44" t="s">
        <v>62</v>
      </c>
      <c r="J124" s="65" t="s">
        <v>13</v>
      </c>
      <c r="K124" s="44" t="str">
        <f>INDEX(Helper!$F:$F, MATCH(J124, Helper!$E:$E, 0))</f>
        <v>#FF4F53</v>
      </c>
      <c r="L124" s="50" t="s">
        <v>512</v>
      </c>
      <c r="M124" s="50" t="s">
        <v>615</v>
      </c>
      <c r="N124" s="50" t="s">
        <v>777</v>
      </c>
      <c r="O124" s="74" t="s">
        <v>1060</v>
      </c>
    </row>
    <row r="125" spans="1:15" ht="77.599999999999994" x14ac:dyDescent="0.4">
      <c r="A125" s="44">
        <v>122</v>
      </c>
      <c r="B125" s="44">
        <v>1</v>
      </c>
      <c r="C125" s="50" t="str">
        <f>INDEX(Helper!$N$2:$N$4, MATCH(B125, Helper!$M$2:$M$4, 0))</f>
        <v>Beginner</v>
      </c>
      <c r="D125" s="50" t="s">
        <v>84</v>
      </c>
      <c r="E125" s="50" t="s">
        <v>85</v>
      </c>
      <c r="F125" s="5">
        <v>1</v>
      </c>
      <c r="G125" s="44">
        <v>1</v>
      </c>
      <c r="H125" s="44" t="str">
        <f>INDEX(Helper!$C:$C, MATCH(G125, Helper!$A:$A, 0))</f>
        <v>Standard (EADGBE)</v>
      </c>
      <c r="I125" s="44" t="s">
        <v>64</v>
      </c>
      <c r="J125" s="65" t="s">
        <v>13</v>
      </c>
      <c r="K125" s="44" t="str">
        <f>INDEX(Helper!$F:$F, MATCH(J125, Helper!$E:$E, 0))</f>
        <v>#FF4F53</v>
      </c>
      <c r="L125" s="50" t="s">
        <v>513</v>
      </c>
      <c r="M125" s="50" t="s">
        <v>615</v>
      </c>
      <c r="N125" s="47" t="s">
        <v>778</v>
      </c>
      <c r="O125" s="74" t="s">
        <v>1061</v>
      </c>
    </row>
    <row r="126" spans="1:15" ht="77.599999999999994" x14ac:dyDescent="0.4">
      <c r="A126" s="44">
        <v>123</v>
      </c>
      <c r="B126" s="44">
        <v>1</v>
      </c>
      <c r="C126" s="50" t="str">
        <f>INDEX(Helper!$N$2:$N$4, MATCH(B126, Helper!$M$2:$M$4, 0))</f>
        <v>Beginner</v>
      </c>
      <c r="D126" s="50" t="s">
        <v>84</v>
      </c>
      <c r="E126" s="50" t="s">
        <v>86</v>
      </c>
      <c r="F126" s="5">
        <v>1</v>
      </c>
      <c r="G126" s="44">
        <v>1</v>
      </c>
      <c r="H126" s="44" t="str">
        <f>INDEX(Helper!$C:$C, MATCH(G126, Helper!$A:$A, 0))</f>
        <v>Standard (EADGBE)</v>
      </c>
      <c r="I126" s="44" t="s">
        <v>779</v>
      </c>
      <c r="J126" s="65" t="s">
        <v>13</v>
      </c>
      <c r="K126" s="44" t="str">
        <f>INDEX(Helper!$F:$F, MATCH(J126, Helper!$E:$E, 0))</f>
        <v>#FF4F53</v>
      </c>
      <c r="L126" s="50" t="s">
        <v>514</v>
      </c>
      <c r="M126" s="50" t="s">
        <v>615</v>
      </c>
      <c r="N126" s="47" t="s">
        <v>780</v>
      </c>
      <c r="O126" s="74" t="s">
        <v>1062</v>
      </c>
    </row>
    <row r="127" spans="1:15" ht="77.599999999999994" x14ac:dyDescent="0.4">
      <c r="A127" s="44">
        <v>124</v>
      </c>
      <c r="B127" s="44">
        <v>1</v>
      </c>
      <c r="C127" s="50" t="str">
        <f>INDEX(Helper!$N$2:$N$4, MATCH(B127, Helper!$M$2:$M$4, 0))</f>
        <v>Beginner</v>
      </c>
      <c r="D127" s="50" t="s">
        <v>42</v>
      </c>
      <c r="E127" s="50" t="s">
        <v>87</v>
      </c>
      <c r="F127" s="5">
        <v>0</v>
      </c>
      <c r="G127" s="44">
        <v>3</v>
      </c>
      <c r="H127" s="44" t="str">
        <f>INDEX(Helper!$C:$C, MATCH(G127, Helper!$A:$A, 0))</f>
        <v>Half Step Down (D#G#C#F#A#D#)</v>
      </c>
      <c r="I127" s="44" t="s">
        <v>60</v>
      </c>
      <c r="J127" s="70" t="s">
        <v>373</v>
      </c>
      <c r="K127" s="44" t="str">
        <f>INDEX(Helper!$F:$F, MATCH(J127, Helper!$E:$E, 0))</f>
        <v>#C476D4</v>
      </c>
      <c r="L127" s="50" t="s">
        <v>515</v>
      </c>
      <c r="M127" s="50" t="s">
        <v>615</v>
      </c>
      <c r="N127" s="50" t="s">
        <v>781</v>
      </c>
      <c r="O127" s="74" t="s">
        <v>1063</v>
      </c>
    </row>
    <row r="128" spans="1:15" ht="77.599999999999994" x14ac:dyDescent="0.4">
      <c r="A128" s="44">
        <v>125</v>
      </c>
      <c r="B128" s="44">
        <v>1</v>
      </c>
      <c r="C128" s="50" t="str">
        <f>INDEX(Helper!$N$2:$N$4, MATCH(B128, Helper!$M$2:$M$4, 0))</f>
        <v>Beginner</v>
      </c>
      <c r="D128" s="50" t="s">
        <v>88</v>
      </c>
      <c r="E128" s="50" t="s">
        <v>89</v>
      </c>
      <c r="F128" s="5">
        <v>0</v>
      </c>
      <c r="G128" s="44">
        <v>1</v>
      </c>
      <c r="H128" s="44" t="str">
        <f>INDEX(Helper!$C:$C, MATCH(G128, Helper!$A:$A, 0))</f>
        <v>Standard (EADGBE)</v>
      </c>
      <c r="I128" s="44" t="s">
        <v>64</v>
      </c>
      <c r="J128" s="65" t="s">
        <v>13</v>
      </c>
      <c r="K128" s="44" t="str">
        <f>INDEX(Helper!$F:$F, MATCH(J128, Helper!$E:$E, 0))</f>
        <v>#FF4F53</v>
      </c>
      <c r="L128" s="50" t="s">
        <v>516</v>
      </c>
      <c r="M128" s="50" t="s">
        <v>615</v>
      </c>
      <c r="N128" s="47" t="s">
        <v>782</v>
      </c>
      <c r="O128" s="74" t="s">
        <v>1064</v>
      </c>
    </row>
    <row r="129" spans="1:15" ht="167.6" x14ac:dyDescent="0.4">
      <c r="A129" s="44">
        <v>126</v>
      </c>
      <c r="B129" s="44">
        <v>1</v>
      </c>
      <c r="C129" s="50" t="str">
        <f>INDEX(Helper!$N$2:$N$4, MATCH(B129, Helper!$M$2:$M$4, 0))</f>
        <v>Beginner</v>
      </c>
      <c r="D129" s="50" t="s">
        <v>90</v>
      </c>
      <c r="E129" s="50" t="s">
        <v>91</v>
      </c>
      <c r="F129" s="5">
        <v>0</v>
      </c>
      <c r="G129" s="44">
        <v>1</v>
      </c>
      <c r="H129" s="44" t="str">
        <f>INDEX(Helper!$C:$C, MATCH(G129, Helper!$A:$A, 0))</f>
        <v>Standard (EADGBE)</v>
      </c>
      <c r="I129" s="44" t="s">
        <v>61</v>
      </c>
      <c r="J129" s="65" t="s">
        <v>13</v>
      </c>
      <c r="K129" s="44" t="str">
        <f>INDEX(Helper!$F:$F, MATCH(J129, Helper!$E:$E, 0))</f>
        <v>#FF4F53</v>
      </c>
      <c r="L129" s="50" t="s">
        <v>517</v>
      </c>
      <c r="M129" s="50" t="s">
        <v>615</v>
      </c>
      <c r="N129" s="50" t="s">
        <v>783</v>
      </c>
      <c r="O129" s="74" t="s">
        <v>1065</v>
      </c>
    </row>
    <row r="130" spans="1:15" ht="77.599999999999994" x14ac:dyDescent="0.4">
      <c r="A130" s="44">
        <v>127</v>
      </c>
      <c r="B130" s="44">
        <v>1</v>
      </c>
      <c r="C130" s="50" t="str">
        <f>INDEX(Helper!$N$2:$N$4, MATCH(B130, Helper!$M$2:$M$4, 0))</f>
        <v>Beginner</v>
      </c>
      <c r="D130" s="50" t="s">
        <v>90</v>
      </c>
      <c r="E130" s="50" t="s">
        <v>92</v>
      </c>
      <c r="F130" s="5">
        <v>0</v>
      </c>
      <c r="G130" s="44">
        <v>1</v>
      </c>
      <c r="H130" s="44" t="str">
        <f>INDEX(Helper!$C:$C, MATCH(G130, Helper!$A:$A, 0))</f>
        <v>Standard (EADGBE)</v>
      </c>
      <c r="I130" s="44" t="s">
        <v>59</v>
      </c>
      <c r="J130" s="65" t="s">
        <v>13</v>
      </c>
      <c r="K130" s="44" t="str">
        <f>INDEX(Helper!$F:$F, MATCH(J130, Helper!$E:$E, 0))</f>
        <v>#FF4F53</v>
      </c>
      <c r="L130" s="50" t="s">
        <v>518</v>
      </c>
      <c r="M130" s="50" t="s">
        <v>615</v>
      </c>
      <c r="N130" s="47" t="s">
        <v>784</v>
      </c>
      <c r="O130" s="74" t="s">
        <v>1066</v>
      </c>
    </row>
    <row r="131" spans="1:15" ht="77.599999999999994" x14ac:dyDescent="0.4">
      <c r="A131" s="44">
        <v>128</v>
      </c>
      <c r="B131" s="44">
        <v>1</v>
      </c>
      <c r="C131" s="50" t="str">
        <f>INDEX(Helper!$N$2:$N$4, MATCH(B131, Helper!$M$2:$M$4, 0))</f>
        <v>Beginner</v>
      </c>
      <c r="D131" s="50" t="s">
        <v>93</v>
      </c>
      <c r="E131" s="50" t="s">
        <v>94</v>
      </c>
      <c r="F131" s="5">
        <v>0</v>
      </c>
      <c r="G131" s="53">
        <v>1</v>
      </c>
      <c r="H131" s="44" t="str">
        <f>INDEX(Helper!$C:$C, MATCH(G131, Helper!$A:$A, 0))</f>
        <v>Standard (EADGBE)</v>
      </c>
      <c r="I131" s="44" t="s">
        <v>627</v>
      </c>
      <c r="J131" s="68" t="s">
        <v>14</v>
      </c>
      <c r="K131" s="44" t="str">
        <f>INDEX(Helper!$F:$F, MATCH(J131, Helper!$E:$E, 0))</f>
        <v>#FFE000</v>
      </c>
      <c r="L131" s="50" t="s">
        <v>519</v>
      </c>
      <c r="M131" s="50" t="s">
        <v>615</v>
      </c>
      <c r="N131" s="47" t="s">
        <v>785</v>
      </c>
      <c r="O131" s="74" t="s">
        <v>1067</v>
      </c>
    </row>
    <row r="132" spans="1:15" ht="77.599999999999994" x14ac:dyDescent="0.4">
      <c r="A132" s="44">
        <v>129</v>
      </c>
      <c r="B132" s="44">
        <v>1</v>
      </c>
      <c r="C132" s="45" t="str">
        <f>INDEX(Helper!$N$2:$N$4, MATCH(B132, Helper!$M$2:$M$4, 0))</f>
        <v>Beginner</v>
      </c>
      <c r="D132" s="45" t="s">
        <v>93</v>
      </c>
      <c r="E132" s="45" t="s">
        <v>95</v>
      </c>
      <c r="F132" s="5">
        <v>1</v>
      </c>
      <c r="G132" s="44">
        <v>1</v>
      </c>
      <c r="H132" s="44" t="str">
        <f>INDEX(Helper!$C:$C, MATCH(G132, Helper!$A:$A, 0))</f>
        <v>Standard (EADGBE)</v>
      </c>
      <c r="I132" s="44" t="s">
        <v>627</v>
      </c>
      <c r="J132" s="68" t="s">
        <v>14</v>
      </c>
      <c r="K132" s="44" t="str">
        <f>INDEX(Helper!$F:$F, MATCH(J132, Helper!$E:$E, 0))</f>
        <v>#FFE000</v>
      </c>
      <c r="L132" s="45" t="s">
        <v>520</v>
      </c>
      <c r="M132" s="50" t="s">
        <v>640</v>
      </c>
      <c r="N132" s="45" t="s">
        <v>790</v>
      </c>
      <c r="O132" s="74" t="s">
        <v>1068</v>
      </c>
    </row>
    <row r="133" spans="1:15" ht="77.599999999999994" x14ac:dyDescent="0.4">
      <c r="A133" s="44">
        <v>130</v>
      </c>
      <c r="B133" s="44">
        <v>1</v>
      </c>
      <c r="C133" s="45" t="str">
        <f>INDEX(Helper!$N$2:$N$4, MATCH(B133, Helper!$M$2:$M$4, 0))</f>
        <v>Beginner</v>
      </c>
      <c r="D133" s="45" t="s">
        <v>93</v>
      </c>
      <c r="E133" s="45" t="s">
        <v>96</v>
      </c>
      <c r="F133" s="5">
        <v>0</v>
      </c>
      <c r="G133" s="44">
        <v>1</v>
      </c>
      <c r="H133" s="44" t="str">
        <f>INDEX(Helper!$C:$C, MATCH(G133, Helper!$A:$A, 0))</f>
        <v>Standard (EADGBE)</v>
      </c>
      <c r="I133" s="44" t="s">
        <v>65</v>
      </c>
      <c r="J133" s="68" t="s">
        <v>14</v>
      </c>
      <c r="K133" s="44" t="str">
        <f>INDEX(Helper!$F:$F, MATCH(J133, Helper!$E:$E, 0))</f>
        <v>#FFE000</v>
      </c>
      <c r="L133" s="45" t="s">
        <v>521</v>
      </c>
      <c r="M133" s="50" t="s">
        <v>640</v>
      </c>
      <c r="N133" s="45" t="s">
        <v>791</v>
      </c>
      <c r="O133" s="74" t="s">
        <v>1069</v>
      </c>
    </row>
    <row r="134" spans="1:15" ht="167.6" x14ac:dyDescent="0.4">
      <c r="A134" s="44">
        <v>131</v>
      </c>
      <c r="B134" s="44">
        <v>1</v>
      </c>
      <c r="C134" s="45" t="str">
        <f>INDEX(Helper!$N$2:$N$4, MATCH(B134, Helper!$M$2:$M$4, 0))</f>
        <v>Beginner</v>
      </c>
      <c r="D134" s="45" t="s">
        <v>93</v>
      </c>
      <c r="E134" s="45" t="s">
        <v>97</v>
      </c>
      <c r="F134" s="5">
        <v>1</v>
      </c>
      <c r="G134" s="44">
        <v>1</v>
      </c>
      <c r="H134" s="44" t="str">
        <f>INDEX(Helper!$C:$C, MATCH(G134, Helper!$A:$A, 0))</f>
        <v>Standard (EADGBE)</v>
      </c>
      <c r="I134" s="44" t="s">
        <v>66</v>
      </c>
      <c r="J134" s="68" t="s">
        <v>14</v>
      </c>
      <c r="K134" s="44" t="str">
        <f>INDEX(Helper!$F:$F, MATCH(J134, Helper!$E:$E, 0))</f>
        <v>#FFE000</v>
      </c>
      <c r="L134" s="45" t="s">
        <v>522</v>
      </c>
      <c r="M134" s="50" t="s">
        <v>615</v>
      </c>
      <c r="N134" s="46" t="s">
        <v>792</v>
      </c>
      <c r="O134" s="74" t="s">
        <v>1070</v>
      </c>
    </row>
    <row r="135" spans="1:15" ht="77.599999999999994" x14ac:dyDescent="0.4">
      <c r="A135" s="44">
        <v>132</v>
      </c>
      <c r="B135" s="44">
        <v>1</v>
      </c>
      <c r="C135" s="45" t="str">
        <f>INDEX(Helper!$N$2:$N$4, MATCH(B135, Helper!$M$2:$M$4, 0))</f>
        <v>Beginner</v>
      </c>
      <c r="D135" s="45" t="s">
        <v>93</v>
      </c>
      <c r="E135" s="45" t="s">
        <v>98</v>
      </c>
      <c r="F135" s="5">
        <v>1</v>
      </c>
      <c r="G135" s="44">
        <v>1</v>
      </c>
      <c r="H135" s="44" t="str">
        <f>INDEX(Helper!$C:$C, MATCH(G135, Helper!$A:$A, 0))</f>
        <v>Standard (EADGBE)</v>
      </c>
      <c r="I135" s="44" t="s">
        <v>59</v>
      </c>
      <c r="J135" s="68" t="s">
        <v>14</v>
      </c>
      <c r="K135" s="44" t="str">
        <f>INDEX(Helper!$F:$F, MATCH(J135, Helper!$E:$E, 0))</f>
        <v>#FFE000</v>
      </c>
      <c r="L135" s="45" t="s">
        <v>523</v>
      </c>
      <c r="M135" s="50" t="s">
        <v>615</v>
      </c>
      <c r="N135" s="46" t="s">
        <v>793</v>
      </c>
      <c r="O135" s="74" t="s">
        <v>1071</v>
      </c>
    </row>
    <row r="136" spans="1:15" ht="257.60000000000002" x14ac:dyDescent="0.4">
      <c r="A136" s="44">
        <v>133</v>
      </c>
      <c r="B136" s="44">
        <v>1</v>
      </c>
      <c r="C136" s="45" t="str">
        <f>INDEX(Helper!$N$2:$N$4, MATCH(B136, Helper!$M$2:$M$4, 0))</f>
        <v>Beginner</v>
      </c>
      <c r="D136" s="45" t="s">
        <v>99</v>
      </c>
      <c r="E136" s="45" t="s">
        <v>100</v>
      </c>
      <c r="F136" s="5">
        <v>1</v>
      </c>
      <c r="G136" s="44">
        <v>3</v>
      </c>
      <c r="H136" s="44" t="str">
        <f>INDEX(Helper!$C:$C, MATCH(G136, Helper!$A:$A, 0))</f>
        <v>Half Step Down (D#G#C#F#A#D#)</v>
      </c>
      <c r="I136" s="44" t="s">
        <v>795</v>
      </c>
      <c r="J136" s="59" t="s">
        <v>10</v>
      </c>
      <c r="K136" s="44" t="str">
        <f>INDEX(Helper!$F:$F, MATCH(J136, Helper!$E:$E, 0))</f>
        <v>#F5943C</v>
      </c>
      <c r="L136" s="45" t="s">
        <v>524</v>
      </c>
      <c r="M136" s="50" t="s">
        <v>615</v>
      </c>
      <c r="N136" s="45" t="s">
        <v>794</v>
      </c>
      <c r="O136" s="74" t="s">
        <v>1072</v>
      </c>
    </row>
    <row r="137" spans="1:15" ht="77.599999999999994" x14ac:dyDescent="0.4">
      <c r="A137" s="44">
        <v>134</v>
      </c>
      <c r="B137" s="44">
        <v>2</v>
      </c>
      <c r="C137" s="45" t="str">
        <f>INDEX(Helper!$N$2:$N$4, MATCH(B137, Helper!$M$2:$M$4, 0))</f>
        <v>Intermediate</v>
      </c>
      <c r="D137" s="45" t="s">
        <v>36</v>
      </c>
      <c r="E137" s="45" t="s">
        <v>101</v>
      </c>
      <c r="F137" s="5">
        <v>1</v>
      </c>
      <c r="G137" s="44">
        <v>1</v>
      </c>
      <c r="H137" s="44" t="str">
        <f>INDEX(Helper!$C:$C, MATCH(G137, Helper!$A:$A, 0))</f>
        <v>Standard (EADGBE)</v>
      </c>
      <c r="I137" s="44" t="s">
        <v>63</v>
      </c>
      <c r="J137" s="64" t="s">
        <v>15</v>
      </c>
      <c r="K137" s="44" t="str">
        <f>INDEX(Helper!$F:$F, MATCH(J137, Helper!$E:$E, 0))</f>
        <v>#C2C2A1</v>
      </c>
      <c r="L137" s="45" t="s">
        <v>525</v>
      </c>
      <c r="M137" s="50" t="s">
        <v>615</v>
      </c>
      <c r="N137" s="46" t="s">
        <v>796</v>
      </c>
      <c r="O137" s="74" t="s">
        <v>1073</v>
      </c>
    </row>
    <row r="138" spans="1:15" ht="77.599999999999994" x14ac:dyDescent="0.4">
      <c r="A138" s="44">
        <v>135</v>
      </c>
      <c r="B138" s="44">
        <v>1</v>
      </c>
      <c r="C138" s="45" t="str">
        <f>INDEX(Helper!$N$2:$N$4, MATCH(B138, Helper!$M$2:$M$4, 0))</f>
        <v>Beginner</v>
      </c>
      <c r="D138" s="45" t="s">
        <v>102</v>
      </c>
      <c r="E138" s="45" t="s">
        <v>798</v>
      </c>
      <c r="F138" s="5">
        <v>0</v>
      </c>
      <c r="G138" s="44">
        <v>1</v>
      </c>
      <c r="H138" s="44" t="str">
        <f>INDEX(Helper!$C:$C, MATCH(G138, Helper!$A:$A, 0))</f>
        <v>Standard (EADGBE)</v>
      </c>
      <c r="I138" s="44" t="s">
        <v>61</v>
      </c>
      <c r="J138" s="70" t="s">
        <v>373</v>
      </c>
      <c r="K138" s="44" t="str">
        <f>INDEX(Helper!$F:$F, MATCH(J138, Helper!$E:$E, 0))</f>
        <v>#C476D4</v>
      </c>
      <c r="L138" s="45" t="s">
        <v>526</v>
      </c>
      <c r="M138" s="50" t="s">
        <v>615</v>
      </c>
      <c r="N138" s="46" t="s">
        <v>797</v>
      </c>
      <c r="O138" s="74" t="s">
        <v>1074</v>
      </c>
    </row>
    <row r="139" spans="1:15" ht="77.599999999999994" x14ac:dyDescent="0.4">
      <c r="A139" s="44">
        <v>136</v>
      </c>
      <c r="B139" s="44">
        <v>1</v>
      </c>
      <c r="C139" s="45" t="str">
        <f>INDEX(Helper!$N$2:$N$4, MATCH(B139, Helper!$M$2:$M$4, 0))</f>
        <v>Beginner</v>
      </c>
      <c r="D139" s="45" t="s">
        <v>38</v>
      </c>
      <c r="E139" s="45" t="s">
        <v>103</v>
      </c>
      <c r="F139" s="5">
        <v>0</v>
      </c>
      <c r="G139" s="44">
        <v>1</v>
      </c>
      <c r="H139" s="44" t="str">
        <f>INDEX(Helper!$C:$C, MATCH(G139, Helper!$A:$A, 0))</f>
        <v>Standard (EADGBE)</v>
      </c>
      <c r="I139" s="44" t="s">
        <v>394</v>
      </c>
      <c r="J139" s="59" t="s">
        <v>10</v>
      </c>
      <c r="K139" s="44" t="str">
        <f>INDEX(Helper!$F:$F, MATCH(J139, Helper!$E:$E, 0))</f>
        <v>#F5943C</v>
      </c>
      <c r="L139" s="45" t="s">
        <v>527</v>
      </c>
      <c r="M139" s="50" t="s">
        <v>615</v>
      </c>
      <c r="N139" s="46" t="s">
        <v>799</v>
      </c>
      <c r="O139" s="74" t="s">
        <v>1075</v>
      </c>
    </row>
    <row r="140" spans="1:15" ht="167.15" x14ac:dyDescent="0.4">
      <c r="A140" s="44">
        <v>137</v>
      </c>
      <c r="B140" s="44">
        <v>1</v>
      </c>
      <c r="C140" s="45" t="str">
        <f>INDEX(Helper!$N$2:$N$4, MATCH(B140, Helper!$M$2:$M$4, 0))</f>
        <v>Beginner</v>
      </c>
      <c r="D140" s="45" t="s">
        <v>38</v>
      </c>
      <c r="E140" s="45" t="s">
        <v>104</v>
      </c>
      <c r="F140" s="5">
        <v>1</v>
      </c>
      <c r="G140" s="44">
        <v>1</v>
      </c>
      <c r="H140" s="44" t="str">
        <f>INDEX(Helper!$C:$C, MATCH(G140, Helper!$A:$A, 0))</f>
        <v>Standard (EADGBE)</v>
      </c>
      <c r="I140" s="44" t="s">
        <v>394</v>
      </c>
      <c r="J140" s="59" t="s">
        <v>10</v>
      </c>
      <c r="K140" s="44" t="str">
        <f>INDEX(Helper!$F:$F, MATCH(J140, Helper!$E:$E, 0))</f>
        <v>#F5943C</v>
      </c>
      <c r="L140" s="45" t="s">
        <v>528</v>
      </c>
      <c r="M140" s="50" t="s">
        <v>615</v>
      </c>
      <c r="N140" s="45" t="s">
        <v>800</v>
      </c>
      <c r="O140" s="76" t="s">
        <v>1076</v>
      </c>
    </row>
    <row r="141" spans="1:15" ht="409.6" x14ac:dyDescent="0.4">
      <c r="A141" s="44">
        <v>138</v>
      </c>
      <c r="B141" s="44">
        <v>2</v>
      </c>
      <c r="C141" s="45" t="str">
        <f>INDEX(Helper!$N$2:$N$4, MATCH(B141, Helper!$M$2:$M$4, 0))</f>
        <v>Intermediate</v>
      </c>
      <c r="D141" s="45" t="s">
        <v>105</v>
      </c>
      <c r="E141" s="45" t="s">
        <v>106</v>
      </c>
      <c r="F141" s="5">
        <v>0</v>
      </c>
      <c r="G141" s="44">
        <v>2</v>
      </c>
      <c r="H141" s="44" t="str">
        <f>INDEX(Helper!$C:$C, MATCH(G141, Helper!$A:$A, 0))</f>
        <v>Drop D (DADGBE)</v>
      </c>
      <c r="I141" s="44" t="s">
        <v>627</v>
      </c>
      <c r="J141" s="71" t="s">
        <v>27</v>
      </c>
      <c r="K141" s="44" t="str">
        <f>INDEX(Helper!$F:$F, MATCH(J141, Helper!$E:$E, 0))</f>
        <v>#B2DB4B</v>
      </c>
      <c r="L141" s="45" t="s">
        <v>529</v>
      </c>
      <c r="M141" s="50" t="s">
        <v>615</v>
      </c>
      <c r="N141" s="45" t="s">
        <v>801</v>
      </c>
      <c r="O141" s="74" t="s">
        <v>1077</v>
      </c>
    </row>
    <row r="142" spans="1:15" ht="77.599999999999994" x14ac:dyDescent="0.4">
      <c r="A142" s="44">
        <v>139</v>
      </c>
      <c r="B142" s="44">
        <v>1</v>
      </c>
      <c r="C142" s="45" t="str">
        <f>INDEX(Helper!$N$2:$N$4, MATCH(B142, Helper!$M$2:$M$4, 0))</f>
        <v>Beginner</v>
      </c>
      <c r="D142" s="45" t="s">
        <v>105</v>
      </c>
      <c r="E142" s="45" t="s">
        <v>107</v>
      </c>
      <c r="F142" s="5">
        <v>1</v>
      </c>
      <c r="G142" s="44">
        <v>2</v>
      </c>
      <c r="H142" s="44" t="str">
        <f>INDEX(Helper!$C:$C, MATCH(G142, Helper!$A:$A, 0))</f>
        <v>Drop D (DADGBE)</v>
      </c>
      <c r="I142" s="44" t="s">
        <v>66</v>
      </c>
      <c r="J142" s="71" t="s">
        <v>27</v>
      </c>
      <c r="K142" s="44" t="str">
        <f>INDEX(Helper!$F:$F, MATCH(J142, Helper!$E:$E, 0))</f>
        <v>#B2DB4B</v>
      </c>
      <c r="L142" s="45" t="s">
        <v>530</v>
      </c>
      <c r="M142" s="50" t="s">
        <v>615</v>
      </c>
      <c r="N142" s="46" t="s">
        <v>802</v>
      </c>
      <c r="O142" s="74" t="s">
        <v>1078</v>
      </c>
    </row>
    <row r="143" spans="1:15" ht="77.150000000000006" x14ac:dyDescent="0.4">
      <c r="A143" s="44">
        <v>140</v>
      </c>
      <c r="B143" s="44">
        <v>1</v>
      </c>
      <c r="C143" s="45" t="str">
        <f>INDEX(Helper!$N$2:$N$4, MATCH(B143, Helper!$M$2:$M$4, 0))</f>
        <v>Beginner</v>
      </c>
      <c r="D143" s="45" t="s">
        <v>108</v>
      </c>
      <c r="E143" s="45" t="s">
        <v>109</v>
      </c>
      <c r="F143" s="5">
        <v>1</v>
      </c>
      <c r="G143" s="44">
        <v>2</v>
      </c>
      <c r="H143" s="44" t="str">
        <f>INDEX(Helper!$C:$C, MATCH(G143, Helper!$A:$A, 0))</f>
        <v>Drop D (DADGBE)</v>
      </c>
      <c r="I143" s="44" t="s">
        <v>68</v>
      </c>
      <c r="J143" s="71" t="s">
        <v>27</v>
      </c>
      <c r="K143" s="44" t="str">
        <f>INDEX(Helper!$F:$F, MATCH(J143, Helper!$E:$E, 0))</f>
        <v>#B2DB4B</v>
      </c>
      <c r="L143" s="45" t="s">
        <v>531</v>
      </c>
      <c r="M143" s="50" t="s">
        <v>615</v>
      </c>
      <c r="N143" s="46" t="s">
        <v>803</v>
      </c>
      <c r="O143" s="76" t="s">
        <v>1079</v>
      </c>
    </row>
    <row r="144" spans="1:15" ht="77.599999999999994" x14ac:dyDescent="0.4">
      <c r="A144" s="44">
        <v>141</v>
      </c>
      <c r="B144" s="44">
        <v>1</v>
      </c>
      <c r="C144" s="45" t="str">
        <f>INDEX(Helper!$N$2:$N$4, MATCH(B144, Helper!$M$2:$M$4, 0))</f>
        <v>Beginner</v>
      </c>
      <c r="D144" s="45" t="s">
        <v>110</v>
      </c>
      <c r="E144" s="45" t="s">
        <v>111</v>
      </c>
      <c r="F144" s="5">
        <v>0</v>
      </c>
      <c r="G144" s="44">
        <v>2</v>
      </c>
      <c r="H144" s="44" t="str">
        <f>INDEX(Helper!$C:$C, MATCH(G144, Helper!$A:$A, 0))</f>
        <v>Drop D (DADGBE)</v>
      </c>
      <c r="I144" s="44" t="s">
        <v>64</v>
      </c>
      <c r="J144" s="71" t="s">
        <v>27</v>
      </c>
      <c r="K144" s="44" t="str">
        <f>INDEX(Helper!$F:$F, MATCH(J144, Helper!$E:$E, 0))</f>
        <v>#B2DB4B</v>
      </c>
      <c r="L144" s="45" t="s">
        <v>532</v>
      </c>
      <c r="M144" s="50" t="s">
        <v>615</v>
      </c>
      <c r="N144" s="46" t="s">
        <v>804</v>
      </c>
      <c r="O144" s="74" t="s">
        <v>1080</v>
      </c>
    </row>
    <row r="145" spans="1:15" ht="77.599999999999994" x14ac:dyDescent="0.4">
      <c r="A145" s="44">
        <v>142</v>
      </c>
      <c r="B145" s="44">
        <v>1</v>
      </c>
      <c r="C145" s="45" t="str">
        <f>INDEX(Helper!$N$2:$N$4, MATCH(B145, Helper!$M$2:$M$4, 0))</f>
        <v>Beginner</v>
      </c>
      <c r="D145" s="45" t="s">
        <v>112</v>
      </c>
      <c r="E145" s="45" t="s">
        <v>113</v>
      </c>
      <c r="F145" s="5">
        <v>1</v>
      </c>
      <c r="G145" s="53">
        <v>1</v>
      </c>
      <c r="H145" s="44" t="str">
        <f>INDEX(Helper!$C:$C, MATCH(G145, Helper!$A:$A, 0))</f>
        <v>Standard (EADGBE)</v>
      </c>
      <c r="I145" s="44" t="s">
        <v>68</v>
      </c>
      <c r="J145" s="71" t="s">
        <v>27</v>
      </c>
      <c r="K145" s="44" t="str">
        <f>INDEX(Helper!$F:$F, MATCH(J145, Helper!$E:$E, 0))</f>
        <v>#B2DB4B</v>
      </c>
      <c r="L145" s="45" t="s">
        <v>533</v>
      </c>
      <c r="M145" s="50" t="s">
        <v>615</v>
      </c>
      <c r="N145" s="45" t="s">
        <v>805</v>
      </c>
      <c r="O145" s="74" t="s">
        <v>1081</v>
      </c>
    </row>
    <row r="146" spans="1:15" ht="77.599999999999994" x14ac:dyDescent="0.4">
      <c r="A146" s="44">
        <v>143</v>
      </c>
      <c r="B146" s="44">
        <v>1</v>
      </c>
      <c r="C146" s="45" t="str">
        <f>INDEX(Helper!$N$2:$N$4, MATCH(B146, Helper!$M$2:$M$4, 0))</f>
        <v>Beginner</v>
      </c>
      <c r="D146" s="45" t="s">
        <v>112</v>
      </c>
      <c r="E146" s="45" t="s">
        <v>114</v>
      </c>
      <c r="F146" s="5">
        <v>0</v>
      </c>
      <c r="G146" s="44">
        <v>1</v>
      </c>
      <c r="H146" s="44" t="str">
        <f>INDEX(Helper!$C:$C, MATCH(G146, Helper!$A:$A, 0))</f>
        <v>Standard (EADGBE)</v>
      </c>
      <c r="I146" s="44" t="s">
        <v>394</v>
      </c>
      <c r="J146" s="71" t="s">
        <v>27</v>
      </c>
      <c r="K146" s="44" t="str">
        <f>INDEX(Helper!$F:$F, MATCH(J146, Helper!$E:$E, 0))</f>
        <v>#B2DB4B</v>
      </c>
      <c r="L146" s="45" t="s">
        <v>534</v>
      </c>
      <c r="M146" s="50" t="s">
        <v>615</v>
      </c>
      <c r="N146" s="45" t="s">
        <v>806</v>
      </c>
      <c r="O146" s="74" t="s">
        <v>1082</v>
      </c>
    </row>
    <row r="147" spans="1:15" ht="167.6" x14ac:dyDescent="0.4">
      <c r="A147" s="44">
        <v>144</v>
      </c>
      <c r="B147" s="44">
        <v>1</v>
      </c>
      <c r="C147" s="45" t="str">
        <f>INDEX(Helper!$N$2:$N$4, MATCH(B147, Helper!$M$2:$M$4, 0))</f>
        <v>Beginner</v>
      </c>
      <c r="D147" s="45" t="s">
        <v>112</v>
      </c>
      <c r="E147" s="45" t="s">
        <v>115</v>
      </c>
      <c r="F147" s="5">
        <v>0</v>
      </c>
      <c r="G147" s="44">
        <v>1</v>
      </c>
      <c r="H147" s="44" t="str">
        <f>INDEX(Helper!$C:$C, MATCH(G147, Helper!$A:$A, 0))</f>
        <v>Standard (EADGBE)</v>
      </c>
      <c r="I147" s="44" t="s">
        <v>795</v>
      </c>
      <c r="J147" s="71" t="s">
        <v>27</v>
      </c>
      <c r="K147" s="44" t="str">
        <f>INDEX(Helper!$F:$F, MATCH(J147, Helper!$E:$E, 0))</f>
        <v>#B2DB4B</v>
      </c>
      <c r="L147" s="45" t="s">
        <v>535</v>
      </c>
      <c r="M147" s="50" t="s">
        <v>615</v>
      </c>
      <c r="N147" s="46" t="s">
        <v>807</v>
      </c>
      <c r="O147" s="74" t="s">
        <v>1083</v>
      </c>
    </row>
    <row r="148" spans="1:15" ht="167.6" x14ac:dyDescent="0.4">
      <c r="A148" s="44">
        <v>145</v>
      </c>
      <c r="B148" s="44">
        <v>2</v>
      </c>
      <c r="C148" s="45" t="str">
        <f>INDEX(Helper!$N$2:$N$4, MATCH(B148, Helper!$M$2:$M$4, 0))</f>
        <v>Intermediate</v>
      </c>
      <c r="D148" s="45" t="s">
        <v>116</v>
      </c>
      <c r="E148" s="45" t="s">
        <v>117</v>
      </c>
      <c r="F148" s="5">
        <v>1</v>
      </c>
      <c r="G148" s="44">
        <v>1</v>
      </c>
      <c r="H148" s="44" t="str">
        <f>INDEX(Helper!$C:$C, MATCH(G148, Helper!$A:$A, 0))</f>
        <v>Standard (EADGBE)</v>
      </c>
      <c r="I148" s="44" t="s">
        <v>65</v>
      </c>
      <c r="J148" s="63" t="s">
        <v>19</v>
      </c>
      <c r="K148" s="44" t="str">
        <f>INDEX(Helper!$F:$F, MATCH(J148, Helper!$E:$E, 0))</f>
        <v>#FFDD21</v>
      </c>
      <c r="L148" s="45" t="s">
        <v>808</v>
      </c>
      <c r="M148" s="50" t="s">
        <v>615</v>
      </c>
      <c r="N148" s="45" t="s">
        <v>809</v>
      </c>
      <c r="O148" s="74" t="s">
        <v>1084</v>
      </c>
    </row>
    <row r="149" spans="1:15" ht="167.6" x14ac:dyDescent="0.4">
      <c r="A149" s="44">
        <v>146</v>
      </c>
      <c r="B149" s="44">
        <v>1</v>
      </c>
      <c r="C149" s="45" t="str">
        <f>INDEX(Helper!$N$2:$N$4, MATCH(B149, Helper!$M$2:$M$4, 0))</f>
        <v>Beginner</v>
      </c>
      <c r="D149" s="45" t="s">
        <v>118</v>
      </c>
      <c r="E149" s="45" t="s">
        <v>119</v>
      </c>
      <c r="F149" s="5">
        <v>1</v>
      </c>
      <c r="G149" s="44">
        <v>1</v>
      </c>
      <c r="H149" s="44" t="str">
        <f>INDEX(Helper!$C:$C, MATCH(G149, Helper!$A:$A, 0))</f>
        <v>Standard (EADGBE)</v>
      </c>
      <c r="I149" s="44" t="s">
        <v>627</v>
      </c>
      <c r="J149" s="61" t="s">
        <v>11</v>
      </c>
      <c r="K149" s="44" t="str">
        <f>INDEX(Helper!$F:$F, MATCH(J149, Helper!$E:$E, 0))</f>
        <v>#E8AD1D</v>
      </c>
      <c r="L149" s="45" t="s">
        <v>536</v>
      </c>
      <c r="M149" s="50" t="s">
        <v>615</v>
      </c>
      <c r="N149" s="46" t="s">
        <v>810</v>
      </c>
      <c r="O149" s="74" t="s">
        <v>1085</v>
      </c>
    </row>
    <row r="150" spans="1:15" ht="77.150000000000006" x14ac:dyDescent="0.4">
      <c r="A150" s="44">
        <v>147</v>
      </c>
      <c r="B150" s="44">
        <v>1</v>
      </c>
      <c r="C150" s="45" t="str">
        <f>INDEX(Helper!$N$2:$N$4, MATCH(B150, Helper!$M$2:$M$4, 0))</f>
        <v>Beginner</v>
      </c>
      <c r="D150" s="45" t="s">
        <v>118</v>
      </c>
      <c r="E150" s="45" t="s">
        <v>120</v>
      </c>
      <c r="F150" s="5">
        <v>1</v>
      </c>
      <c r="G150" s="44">
        <v>3</v>
      </c>
      <c r="H150" s="44" t="str">
        <f>INDEX(Helper!$C:$C, MATCH(G150, Helper!$A:$A, 0))</f>
        <v>Half Step Down (D#G#C#F#A#D#)</v>
      </c>
      <c r="I150" s="44" t="s">
        <v>70</v>
      </c>
      <c r="J150" s="61" t="s">
        <v>11</v>
      </c>
      <c r="K150" s="44" t="str">
        <f>INDEX(Helper!$F:$F, MATCH(J150, Helper!$E:$E, 0))</f>
        <v>#E8AD1D</v>
      </c>
      <c r="L150" s="45" t="s">
        <v>537</v>
      </c>
      <c r="M150" s="50" t="s">
        <v>615</v>
      </c>
      <c r="N150" s="45" t="s">
        <v>811</v>
      </c>
      <c r="O150" s="76" t="s">
        <v>1086</v>
      </c>
    </row>
    <row r="151" spans="1:15" ht="167.6" x14ac:dyDescent="0.4">
      <c r="A151" s="44">
        <v>148</v>
      </c>
      <c r="B151" s="44">
        <v>1</v>
      </c>
      <c r="C151" s="45" t="str">
        <f>INDEX(Helper!$N$2:$N$4, MATCH(B151, Helper!$M$2:$M$4, 0))</f>
        <v>Beginner</v>
      </c>
      <c r="D151" s="45" t="s">
        <v>121</v>
      </c>
      <c r="E151" s="45" t="s">
        <v>122</v>
      </c>
      <c r="F151" s="5">
        <v>1</v>
      </c>
      <c r="G151" s="44">
        <v>3</v>
      </c>
      <c r="H151" s="44" t="str">
        <f>INDEX(Helper!$C:$C, MATCH(G151, Helper!$A:$A, 0))</f>
        <v>Half Step Down (D#G#C#F#A#D#)</v>
      </c>
      <c r="I151" s="44" t="s">
        <v>64</v>
      </c>
      <c r="J151" s="59" t="s">
        <v>10</v>
      </c>
      <c r="K151" s="44" t="str">
        <f>INDEX(Helper!$F:$F, MATCH(J151, Helper!$E:$E, 0))</f>
        <v>#F5943C</v>
      </c>
      <c r="L151" s="45" t="s">
        <v>538</v>
      </c>
      <c r="M151" s="50" t="s">
        <v>615</v>
      </c>
      <c r="N151" s="45" t="s">
        <v>812</v>
      </c>
      <c r="O151" s="74" t="s">
        <v>1087</v>
      </c>
    </row>
    <row r="152" spans="1:15" ht="77.599999999999994" x14ac:dyDescent="0.4">
      <c r="A152" s="44">
        <v>149</v>
      </c>
      <c r="B152" s="44">
        <v>1</v>
      </c>
      <c r="C152" s="45" t="str">
        <f>INDEX(Helper!$N$2:$N$4, MATCH(B152, Helper!$M$2:$M$4, 0))</f>
        <v>Beginner</v>
      </c>
      <c r="D152" s="45" t="s">
        <v>123</v>
      </c>
      <c r="E152" s="45" t="s">
        <v>124</v>
      </c>
      <c r="F152" s="5">
        <v>1</v>
      </c>
      <c r="G152" s="44">
        <v>1</v>
      </c>
      <c r="H152" s="44" t="str">
        <f>INDEX(Helper!$C:$C, MATCH(G152, Helper!$A:$A, 0))</f>
        <v>Standard (EADGBE)</v>
      </c>
      <c r="I152" s="44" t="s">
        <v>627</v>
      </c>
      <c r="J152" s="65" t="s">
        <v>13</v>
      </c>
      <c r="K152" s="44" t="str">
        <f>INDEX(Helper!$F:$F, MATCH(J152, Helper!$E:$E, 0))</f>
        <v>#FF4F53</v>
      </c>
      <c r="L152" s="45" t="s">
        <v>539</v>
      </c>
      <c r="M152" s="50" t="s">
        <v>615</v>
      </c>
      <c r="N152" s="45" t="s">
        <v>813</v>
      </c>
      <c r="O152" s="74" t="s">
        <v>1088</v>
      </c>
    </row>
    <row r="153" spans="1:15" ht="77.599999999999994" x14ac:dyDescent="0.4">
      <c r="A153" s="44">
        <v>150</v>
      </c>
      <c r="B153" s="44">
        <v>1</v>
      </c>
      <c r="C153" s="45" t="str">
        <f>INDEX(Helper!$N$2:$N$4, MATCH(B153, Helper!$M$2:$M$4, 0))</f>
        <v>Beginner</v>
      </c>
      <c r="D153" s="45" t="s">
        <v>125</v>
      </c>
      <c r="E153" s="45" t="s">
        <v>126</v>
      </c>
      <c r="F153" s="5">
        <v>0</v>
      </c>
      <c r="G153" s="44">
        <v>1</v>
      </c>
      <c r="H153" s="44" t="str">
        <f>INDEX(Helper!$C:$C, MATCH(G153, Helper!$A:$A, 0))</f>
        <v>Standard (EADGBE)</v>
      </c>
      <c r="I153" s="44" t="s">
        <v>59</v>
      </c>
      <c r="J153" s="65" t="s">
        <v>13</v>
      </c>
      <c r="K153" s="44" t="str">
        <f>INDEX(Helper!$F:$F, MATCH(J153, Helper!$E:$E, 0))</f>
        <v>#FF4F53</v>
      </c>
      <c r="L153" s="45" t="s">
        <v>540</v>
      </c>
      <c r="M153" s="50" t="s">
        <v>615</v>
      </c>
      <c r="N153" s="45" t="s">
        <v>814</v>
      </c>
      <c r="O153" s="74" t="s">
        <v>1089</v>
      </c>
    </row>
    <row r="154" spans="1:15" ht="409.6" x14ac:dyDescent="0.4">
      <c r="A154" s="44">
        <v>151</v>
      </c>
      <c r="B154" s="44">
        <v>2</v>
      </c>
      <c r="C154" s="45" t="str">
        <f>INDEX(Helper!$N$2:$N$4, MATCH(B154, Helper!$M$2:$M$4, 0))</f>
        <v>Intermediate</v>
      </c>
      <c r="D154" s="45" t="s">
        <v>127</v>
      </c>
      <c r="E154" s="45" t="s">
        <v>128</v>
      </c>
      <c r="F154" s="5">
        <v>0</v>
      </c>
      <c r="G154" s="44">
        <v>2</v>
      </c>
      <c r="H154" s="44" t="str">
        <f>INDEX(Helper!$C:$C, MATCH(G154, Helper!$A:$A, 0))</f>
        <v>Drop D (DADGBE)</v>
      </c>
      <c r="I154" s="44" t="s">
        <v>61</v>
      </c>
      <c r="J154" s="59" t="s">
        <v>10</v>
      </c>
      <c r="K154" s="44" t="str">
        <f>INDEX(Helper!$F:$F, MATCH(J154, Helper!$E:$E, 0))</f>
        <v>#F5943C</v>
      </c>
      <c r="L154" s="45" t="s">
        <v>541</v>
      </c>
      <c r="M154" s="50" t="s">
        <v>615</v>
      </c>
      <c r="N154" s="46" t="s">
        <v>815</v>
      </c>
      <c r="O154" s="74" t="s">
        <v>1090</v>
      </c>
    </row>
    <row r="155" spans="1:15" ht="167.6" x14ac:dyDescent="0.4">
      <c r="A155" s="44">
        <v>152</v>
      </c>
      <c r="B155" s="44">
        <v>3</v>
      </c>
      <c r="C155" s="45" t="str">
        <f>INDEX(Helper!$N$2:$N$4, MATCH(B155, Helper!$M$2:$M$4, 0))</f>
        <v>Advanced</v>
      </c>
      <c r="D155" s="45" t="s">
        <v>129</v>
      </c>
      <c r="E155" s="45" t="s">
        <v>130</v>
      </c>
      <c r="F155" s="5">
        <v>0</v>
      </c>
      <c r="G155" s="44">
        <v>3</v>
      </c>
      <c r="H155" s="44" t="str">
        <f>INDEX(Helper!$C:$C, MATCH(G155, Helper!$A:$A, 0))</f>
        <v>Half Step Down (D#G#C#F#A#D#)</v>
      </c>
      <c r="I155" s="44" t="s">
        <v>624</v>
      </c>
      <c r="J155" s="71" t="s">
        <v>27</v>
      </c>
      <c r="K155" s="44" t="str">
        <f>INDEX(Helper!$F:$F, MATCH(J155, Helper!$E:$E, 0))</f>
        <v>#B2DB4B</v>
      </c>
      <c r="L155" s="45" t="s">
        <v>542</v>
      </c>
      <c r="M155" s="50" t="s">
        <v>615</v>
      </c>
      <c r="N155" s="46" t="s">
        <v>816</v>
      </c>
      <c r="O155" s="74" t="s">
        <v>1091</v>
      </c>
    </row>
    <row r="156" spans="1:15" ht="77.599999999999994" x14ac:dyDescent="0.4">
      <c r="A156" s="44">
        <v>153</v>
      </c>
      <c r="B156" s="44">
        <v>1</v>
      </c>
      <c r="C156" s="45" t="str">
        <f>INDEX(Helper!$N$2:$N$4, MATCH(B156, Helper!$M$2:$M$4, 0))</f>
        <v>Beginner</v>
      </c>
      <c r="D156" s="45" t="s">
        <v>129</v>
      </c>
      <c r="E156" s="45" t="s">
        <v>131</v>
      </c>
      <c r="F156" s="5">
        <v>1</v>
      </c>
      <c r="G156" s="44">
        <v>3</v>
      </c>
      <c r="H156" s="44" t="str">
        <f>INDEX(Helper!$C:$C, MATCH(G156, Helper!$A:$A, 0))</f>
        <v>Half Step Down (D#G#C#F#A#D#)</v>
      </c>
      <c r="I156" s="44" t="s">
        <v>60</v>
      </c>
      <c r="J156" s="71" t="s">
        <v>27</v>
      </c>
      <c r="K156" s="44" t="str">
        <f>INDEX(Helper!$F:$F, MATCH(J156, Helper!$E:$E, 0))</f>
        <v>#B2DB4B</v>
      </c>
      <c r="L156" s="45" t="s">
        <v>543</v>
      </c>
      <c r="M156" s="50" t="s">
        <v>615</v>
      </c>
      <c r="N156" s="45" t="s">
        <v>817</v>
      </c>
      <c r="O156" s="74" t="s">
        <v>1092</v>
      </c>
    </row>
    <row r="157" spans="1:15" ht="77.599999999999994" x14ac:dyDescent="0.4">
      <c r="A157" s="44">
        <v>154</v>
      </c>
      <c r="B157" s="44">
        <v>1</v>
      </c>
      <c r="C157" s="45" t="str">
        <f>INDEX(Helper!$N$2:$N$4, MATCH(B157, Helper!$M$2:$M$4, 0))</f>
        <v>Beginner</v>
      </c>
      <c r="D157" s="45" t="s">
        <v>132</v>
      </c>
      <c r="E157" s="45" t="s">
        <v>133</v>
      </c>
      <c r="F157" s="5">
        <v>1</v>
      </c>
      <c r="G157" s="44">
        <v>2</v>
      </c>
      <c r="H157" s="44" t="str">
        <f>INDEX(Helper!$C:$C, MATCH(G157, Helper!$A:$A, 0))</f>
        <v>Drop D (DADGBE)</v>
      </c>
      <c r="I157" s="44" t="s">
        <v>627</v>
      </c>
      <c r="J157" s="65" t="s">
        <v>13</v>
      </c>
      <c r="K157" s="44" t="str">
        <f>INDEX(Helper!$F:$F, MATCH(J157, Helper!$E:$E, 0))</f>
        <v>#FF4F53</v>
      </c>
      <c r="L157" s="45" t="s">
        <v>544</v>
      </c>
      <c r="M157" s="50" t="s">
        <v>615</v>
      </c>
      <c r="N157" s="46" t="s">
        <v>818</v>
      </c>
      <c r="O157" s="74" t="s">
        <v>1093</v>
      </c>
    </row>
    <row r="158" spans="1:15" ht="77.599999999999994" x14ac:dyDescent="0.4">
      <c r="A158" s="44">
        <v>155</v>
      </c>
      <c r="B158" s="44">
        <v>1</v>
      </c>
      <c r="C158" s="45" t="str">
        <f>INDEX(Helper!$N$2:$N$4, MATCH(B158, Helper!$M$2:$M$4, 0))</f>
        <v>Beginner</v>
      </c>
      <c r="D158" s="45" t="s">
        <v>134</v>
      </c>
      <c r="E158" s="45" t="s">
        <v>135</v>
      </c>
      <c r="F158" s="5">
        <v>0</v>
      </c>
      <c r="G158" s="44">
        <v>1</v>
      </c>
      <c r="H158" s="44" t="str">
        <f>INDEX(Helper!$C:$C, MATCH(G158, Helper!$A:$A, 0))</f>
        <v>Standard (EADGBE)</v>
      </c>
      <c r="I158" s="44" t="s">
        <v>627</v>
      </c>
      <c r="J158" s="59" t="s">
        <v>10</v>
      </c>
      <c r="K158" s="44" t="str">
        <f>INDEX(Helper!$F:$F, MATCH(J158, Helper!$E:$E, 0))</f>
        <v>#F5943C</v>
      </c>
      <c r="L158" s="45" t="s">
        <v>545</v>
      </c>
      <c r="M158" s="50" t="s">
        <v>640</v>
      </c>
      <c r="N158" s="46" t="s">
        <v>820</v>
      </c>
      <c r="O158" s="74" t="s">
        <v>1094</v>
      </c>
    </row>
    <row r="159" spans="1:15" ht="77.599999999999994" x14ac:dyDescent="0.4">
      <c r="A159" s="44">
        <v>156</v>
      </c>
      <c r="B159" s="44">
        <v>1</v>
      </c>
      <c r="C159" s="45" t="str">
        <f>INDEX(Helper!$N$2:$N$4, MATCH(B159, Helper!$M$2:$M$4, 0))</f>
        <v>Beginner</v>
      </c>
      <c r="D159" s="45" t="s">
        <v>136</v>
      </c>
      <c r="E159" s="45" t="s">
        <v>137</v>
      </c>
      <c r="F159" s="5">
        <v>1</v>
      </c>
      <c r="G159" s="44">
        <v>1</v>
      </c>
      <c r="H159" s="44" t="str">
        <f>INDEX(Helper!$C:$C, MATCH(G159, Helper!$A:$A, 0))</f>
        <v>Standard (EADGBE)</v>
      </c>
      <c r="I159" s="44" t="s">
        <v>627</v>
      </c>
      <c r="J159" s="70" t="s">
        <v>373</v>
      </c>
      <c r="K159" s="44" t="str">
        <f>INDEX(Helper!$F:$F, MATCH(J159, Helper!$E:$E, 0))</f>
        <v>#C476D4</v>
      </c>
      <c r="L159" s="45" t="s">
        <v>546</v>
      </c>
      <c r="M159" s="50" t="s">
        <v>615</v>
      </c>
      <c r="N159" s="46" t="s">
        <v>819</v>
      </c>
      <c r="O159" s="74" t="s">
        <v>1095</v>
      </c>
    </row>
    <row r="160" spans="1:15" ht="167.6" x14ac:dyDescent="0.4">
      <c r="A160" s="44">
        <v>157</v>
      </c>
      <c r="B160" s="44">
        <v>1</v>
      </c>
      <c r="C160" s="45" t="str">
        <f>INDEX(Helper!$N$2:$N$4, MATCH(B160, Helper!$M$2:$M$4, 0))</f>
        <v>Beginner</v>
      </c>
      <c r="D160" s="45" t="s">
        <v>138</v>
      </c>
      <c r="E160" s="45" t="s">
        <v>139</v>
      </c>
      <c r="F160" s="5">
        <v>1</v>
      </c>
      <c r="G160" s="44">
        <v>1</v>
      </c>
      <c r="H160" s="44" t="str">
        <f>INDEX(Helper!$C:$C, MATCH(G160, Helper!$A:$A, 0))</f>
        <v>Standard (EADGBE)</v>
      </c>
      <c r="I160" s="44" t="s">
        <v>627</v>
      </c>
      <c r="J160" s="67" t="s">
        <v>12</v>
      </c>
      <c r="K160" s="44" t="str">
        <f>INDEX(Helper!$F:$F, MATCH(J160, Helper!$E:$E, 0))</f>
        <v>#FFE129</v>
      </c>
      <c r="L160" s="45" t="s">
        <v>547</v>
      </c>
      <c r="M160" s="50" t="s">
        <v>615</v>
      </c>
      <c r="N160" s="45" t="s">
        <v>821</v>
      </c>
      <c r="O160" s="74" t="s">
        <v>1096</v>
      </c>
    </row>
    <row r="161" spans="1:15" ht="77.599999999999994" x14ac:dyDescent="0.4">
      <c r="A161" s="44">
        <v>158</v>
      </c>
      <c r="B161" s="44">
        <v>1</v>
      </c>
      <c r="C161" s="45" t="str">
        <f>INDEX(Helper!$N$2:$N$4, MATCH(B161, Helper!$M$2:$M$4, 0))</f>
        <v>Beginner</v>
      </c>
      <c r="D161" s="45" t="s">
        <v>140</v>
      </c>
      <c r="E161" s="45" t="s">
        <v>141</v>
      </c>
      <c r="F161" s="5">
        <v>0</v>
      </c>
      <c r="G161" s="44">
        <v>1</v>
      </c>
      <c r="H161" s="44" t="str">
        <f>INDEX(Helper!$C:$C, MATCH(G161, Helper!$A:$A, 0))</f>
        <v>Standard (EADGBE)</v>
      </c>
      <c r="I161" s="44" t="s">
        <v>795</v>
      </c>
      <c r="J161" s="70" t="s">
        <v>373</v>
      </c>
      <c r="K161" s="44" t="str">
        <f>INDEX(Helper!$F:$F, MATCH(J161, Helper!$E:$E, 0))</f>
        <v>#C476D4</v>
      </c>
      <c r="L161" s="45" t="s">
        <v>548</v>
      </c>
      <c r="M161" s="50" t="s">
        <v>615</v>
      </c>
      <c r="N161" s="46" t="s">
        <v>822</v>
      </c>
      <c r="O161" s="74" t="s">
        <v>1097</v>
      </c>
    </row>
    <row r="162" spans="1:15" ht="167.6" x14ac:dyDescent="0.4">
      <c r="A162" s="44">
        <v>159</v>
      </c>
      <c r="B162" s="44">
        <v>1</v>
      </c>
      <c r="C162" s="45" t="str">
        <f>INDEX(Helper!$N$2:$N$4, MATCH(B162, Helper!$M$2:$M$4, 0))</f>
        <v>Beginner</v>
      </c>
      <c r="D162" s="45" t="s">
        <v>142</v>
      </c>
      <c r="E162" s="45" t="s">
        <v>143</v>
      </c>
      <c r="F162" s="5">
        <v>0</v>
      </c>
      <c r="G162" s="44">
        <v>1</v>
      </c>
      <c r="H162" s="44" t="str">
        <f>INDEX(Helper!$C:$C, MATCH(G162, Helper!$A:$A, 0))</f>
        <v>Standard (EADGBE)</v>
      </c>
      <c r="I162" s="44" t="s">
        <v>61</v>
      </c>
      <c r="J162" s="61" t="s">
        <v>11</v>
      </c>
      <c r="K162" s="44" t="str">
        <f>INDEX(Helper!$F:$F, MATCH(J162, Helper!$E:$E, 0))</f>
        <v>#E8AD1D</v>
      </c>
      <c r="L162" s="45" t="s">
        <v>549</v>
      </c>
      <c r="M162" s="50" t="s">
        <v>615</v>
      </c>
      <c r="N162" s="46" t="s">
        <v>823</v>
      </c>
      <c r="O162" s="79" t="s">
        <v>1098</v>
      </c>
    </row>
    <row r="163" spans="1:15" ht="167.6" x14ac:dyDescent="0.4">
      <c r="A163" s="44">
        <v>160</v>
      </c>
      <c r="B163" s="44">
        <v>1</v>
      </c>
      <c r="C163" s="45" t="str">
        <f>INDEX(Helper!$N$2:$N$4, MATCH(B163, Helper!$M$2:$M$4, 0))</f>
        <v>Beginner</v>
      </c>
      <c r="D163" s="45" t="s">
        <v>144</v>
      </c>
      <c r="E163" s="45" t="s">
        <v>145</v>
      </c>
      <c r="F163" s="5">
        <v>0</v>
      </c>
      <c r="G163" s="53">
        <v>1</v>
      </c>
      <c r="H163" s="44" t="str">
        <f>INDEX(Helper!$C:$C, MATCH(G163, Helper!$A:$A, 0))</f>
        <v>Standard (EADGBE)</v>
      </c>
      <c r="I163" s="44" t="s">
        <v>59</v>
      </c>
      <c r="J163" s="64" t="s">
        <v>15</v>
      </c>
      <c r="K163" s="44" t="str">
        <f>INDEX(Helper!$F:$F, MATCH(J163, Helper!$E:$E, 0))</f>
        <v>#C2C2A1</v>
      </c>
      <c r="L163" s="45" t="s">
        <v>550</v>
      </c>
      <c r="M163" s="50" t="s">
        <v>615</v>
      </c>
      <c r="N163" s="45" t="s">
        <v>824</v>
      </c>
      <c r="O163" s="74" t="s">
        <v>1099</v>
      </c>
    </row>
    <row r="164" spans="1:15" ht="167.6" x14ac:dyDescent="0.4">
      <c r="A164" s="44">
        <v>161</v>
      </c>
      <c r="B164" s="44">
        <v>1</v>
      </c>
      <c r="C164" s="45" t="str">
        <f>INDEX(Helper!$N$2:$N$4, MATCH(B164, Helper!$M$2:$M$4, 0))</f>
        <v>Beginner</v>
      </c>
      <c r="D164" s="45" t="s">
        <v>146</v>
      </c>
      <c r="E164" s="45" t="s">
        <v>147</v>
      </c>
      <c r="F164" s="5">
        <v>0</v>
      </c>
      <c r="G164" s="44">
        <v>1</v>
      </c>
      <c r="H164" s="44" t="str">
        <f>INDEX(Helper!$C:$C, MATCH(G164, Helper!$A:$A, 0))</f>
        <v>Standard (EADGBE)</v>
      </c>
      <c r="I164" s="44" t="s">
        <v>61</v>
      </c>
      <c r="J164" s="65" t="s">
        <v>13</v>
      </c>
      <c r="K164" s="44" t="str">
        <f>INDEX(Helper!$F:$F, MATCH(J164, Helper!$E:$E, 0))</f>
        <v>#FF4F53</v>
      </c>
      <c r="L164" s="45" t="s">
        <v>551</v>
      </c>
      <c r="M164" s="50" t="s">
        <v>615</v>
      </c>
      <c r="N164" s="46" t="s">
        <v>825</v>
      </c>
      <c r="O164" s="74" t="s">
        <v>1100</v>
      </c>
    </row>
    <row r="165" spans="1:15" ht="167.6" x14ac:dyDescent="0.4">
      <c r="A165" s="44">
        <v>162</v>
      </c>
      <c r="B165" s="44">
        <v>1</v>
      </c>
      <c r="C165" s="45" t="str">
        <f>INDEX(Helper!$N$2:$N$4, MATCH(B165, Helper!$M$2:$M$4, 0))</f>
        <v>Beginner</v>
      </c>
      <c r="D165" s="45" t="s">
        <v>148</v>
      </c>
      <c r="E165" s="45" t="s">
        <v>149</v>
      </c>
      <c r="F165" s="5">
        <v>0</v>
      </c>
      <c r="G165" s="44">
        <v>9</v>
      </c>
      <c r="H165" s="44" t="str">
        <f>INDEX(Helper!$C:$C, MATCH(G165, Helper!$A:$A, 0))</f>
        <v>C#G#C#F#A#D#</v>
      </c>
      <c r="I165" s="44" t="s">
        <v>394</v>
      </c>
      <c r="J165" s="64" t="s">
        <v>15</v>
      </c>
      <c r="K165" s="44" t="str">
        <f>INDEX(Helper!$F:$F, MATCH(J165, Helper!$E:$E, 0))</f>
        <v>#C2C2A1</v>
      </c>
      <c r="L165" s="45" t="s">
        <v>552</v>
      </c>
      <c r="M165" s="50" t="s">
        <v>615</v>
      </c>
      <c r="N165" s="45" t="s">
        <v>826</v>
      </c>
      <c r="O165" s="74" t="s">
        <v>1101</v>
      </c>
    </row>
    <row r="166" spans="1:15" ht="77.599999999999994" x14ac:dyDescent="0.4">
      <c r="A166" s="44">
        <v>163</v>
      </c>
      <c r="B166" s="44">
        <v>1</v>
      </c>
      <c r="C166" s="45" t="str">
        <f>INDEX(Helper!$N$2:$N$4, MATCH(B166, Helper!$M$2:$M$4, 0))</f>
        <v>Beginner</v>
      </c>
      <c r="D166" s="45" t="s">
        <v>148</v>
      </c>
      <c r="E166" s="45" t="s">
        <v>150</v>
      </c>
      <c r="F166" s="5">
        <v>1</v>
      </c>
      <c r="G166" s="44">
        <v>9</v>
      </c>
      <c r="H166" s="44" t="str">
        <f>INDEX(Helper!$C:$C, MATCH(G166, Helper!$A:$A, 0))</f>
        <v>C#G#C#F#A#D#</v>
      </c>
      <c r="I166" s="44" t="s">
        <v>63</v>
      </c>
      <c r="J166" s="64" t="s">
        <v>15</v>
      </c>
      <c r="K166" s="44" t="str">
        <f>INDEX(Helper!$F:$F, MATCH(J166, Helper!$E:$E, 0))</f>
        <v>#C2C2A1</v>
      </c>
      <c r="L166" s="45" t="s">
        <v>553</v>
      </c>
      <c r="M166" s="50" t="s">
        <v>615</v>
      </c>
      <c r="N166" s="45" t="s">
        <v>828</v>
      </c>
      <c r="O166" s="74" t="s">
        <v>1102</v>
      </c>
    </row>
    <row r="167" spans="1:15" ht="77.599999999999994" x14ac:dyDescent="0.4">
      <c r="A167" s="44">
        <v>164</v>
      </c>
      <c r="B167" s="44">
        <v>1</v>
      </c>
      <c r="C167" s="45" t="str">
        <f>INDEX(Helper!$N$2:$N$4, MATCH(B167, Helper!$M$2:$M$4, 0))</f>
        <v>Beginner</v>
      </c>
      <c r="D167" s="45" t="s">
        <v>151</v>
      </c>
      <c r="E167" s="45" t="s">
        <v>152</v>
      </c>
      <c r="F167" s="5">
        <v>1</v>
      </c>
      <c r="G167" s="44">
        <v>1</v>
      </c>
      <c r="H167" s="44" t="str">
        <f>INDEX(Helper!$C:$C, MATCH(G167, Helper!$A:$A, 0))</f>
        <v>Standard (EADGBE)</v>
      </c>
      <c r="I167" s="44" t="s">
        <v>394</v>
      </c>
      <c r="J167" s="61" t="s">
        <v>11</v>
      </c>
      <c r="K167" s="44" t="str">
        <f>INDEX(Helper!$F:$F, MATCH(J167, Helper!$E:$E, 0))</f>
        <v>#E8AD1D</v>
      </c>
      <c r="L167" s="45" t="s">
        <v>554</v>
      </c>
      <c r="M167" s="45" t="s">
        <v>640</v>
      </c>
      <c r="N167" s="45" t="s">
        <v>830</v>
      </c>
      <c r="O167" s="74" t="s">
        <v>1103</v>
      </c>
    </row>
    <row r="168" spans="1:15" ht="347.6" x14ac:dyDescent="0.4">
      <c r="A168" s="44">
        <v>165</v>
      </c>
      <c r="B168" s="44">
        <v>1</v>
      </c>
      <c r="C168" s="45" t="str">
        <f>INDEX(Helper!$N$2:$N$4, MATCH(B168, Helper!$M$2:$M$4, 0))</f>
        <v>Beginner</v>
      </c>
      <c r="D168" s="45" t="s">
        <v>81</v>
      </c>
      <c r="E168" s="45" t="s">
        <v>153</v>
      </c>
      <c r="F168" s="5">
        <v>0</v>
      </c>
      <c r="G168" s="44">
        <v>10</v>
      </c>
      <c r="H168" s="44" t="str">
        <f>INDEX(Helper!$C:$C, MATCH(G168, Helper!$A:$A, 0))</f>
        <v>(EABGBD#)</v>
      </c>
      <c r="I168" s="44" t="s">
        <v>60</v>
      </c>
      <c r="J168" s="65" t="s">
        <v>13</v>
      </c>
      <c r="K168" s="44" t="str">
        <f>INDEX(Helper!$F:$F, MATCH(J168, Helper!$E:$E, 0))</f>
        <v>#FF4F53</v>
      </c>
      <c r="L168" s="45" t="s">
        <v>555</v>
      </c>
      <c r="M168" s="45" t="s">
        <v>615</v>
      </c>
      <c r="N168" s="45" t="s">
        <v>831</v>
      </c>
      <c r="O168" s="74" t="s">
        <v>1104</v>
      </c>
    </row>
    <row r="169" spans="1:15" ht="167.6" x14ac:dyDescent="0.4">
      <c r="A169" s="44">
        <v>166</v>
      </c>
      <c r="B169" s="44">
        <v>1</v>
      </c>
      <c r="C169" s="45" t="str">
        <f>INDEX(Helper!$N$2:$N$4, MATCH(B169, Helper!$M$2:$M$4, 0))</f>
        <v>Beginner</v>
      </c>
      <c r="D169" s="45" t="s">
        <v>81</v>
      </c>
      <c r="E169" s="45" t="s">
        <v>154</v>
      </c>
      <c r="F169" s="5">
        <v>1</v>
      </c>
      <c r="G169" s="44">
        <v>1</v>
      </c>
      <c r="H169" s="44" t="str">
        <f>INDEX(Helper!$C:$C, MATCH(G169, Helper!$A:$A, 0))</f>
        <v>Standard (EADGBE)</v>
      </c>
      <c r="I169" s="44" t="s">
        <v>63</v>
      </c>
      <c r="J169" s="65" t="s">
        <v>13</v>
      </c>
      <c r="K169" s="44" t="str">
        <f>INDEX(Helper!$F:$F, MATCH(J169, Helper!$E:$E, 0))</f>
        <v>#FF4F53</v>
      </c>
      <c r="L169" s="45" t="s">
        <v>556</v>
      </c>
      <c r="M169" s="45" t="s">
        <v>615</v>
      </c>
      <c r="N169" s="45" t="s">
        <v>833</v>
      </c>
      <c r="O169" s="74" t="s">
        <v>1105</v>
      </c>
    </row>
    <row r="170" spans="1:15" ht="167.6" x14ac:dyDescent="0.4">
      <c r="A170" s="44">
        <v>167</v>
      </c>
      <c r="B170" s="44">
        <v>1</v>
      </c>
      <c r="C170" s="45" t="str">
        <f>INDEX(Helper!$N$2:$N$4, MATCH(B170, Helper!$M$2:$M$4, 0))</f>
        <v>Beginner</v>
      </c>
      <c r="D170" s="45" t="s">
        <v>81</v>
      </c>
      <c r="E170" s="45" t="s">
        <v>82</v>
      </c>
      <c r="F170" s="5">
        <v>1</v>
      </c>
      <c r="G170" s="44">
        <v>1</v>
      </c>
      <c r="H170" s="44" t="str">
        <f>INDEX(Helper!$C:$C, MATCH(G170, Helper!$A:$A, 0))</f>
        <v>Standard (EADGBE)</v>
      </c>
      <c r="I170" s="44" t="s">
        <v>634</v>
      </c>
      <c r="J170" s="65" t="s">
        <v>13</v>
      </c>
      <c r="K170" s="44" t="str">
        <f>INDEX(Helper!$F:$F, MATCH(J170, Helper!$E:$E, 0))</f>
        <v>#FF4F53</v>
      </c>
      <c r="L170" s="45" t="s">
        <v>557</v>
      </c>
      <c r="M170" s="45" t="s">
        <v>615</v>
      </c>
      <c r="N170" s="45" t="s">
        <v>834</v>
      </c>
      <c r="O170" s="74" t="s">
        <v>1106</v>
      </c>
    </row>
    <row r="171" spans="1:15" ht="77.599999999999994" x14ac:dyDescent="0.4">
      <c r="A171" s="44">
        <v>168</v>
      </c>
      <c r="B171" s="44">
        <v>2</v>
      </c>
      <c r="C171" s="45" t="str">
        <f>INDEX(Helper!$N$2:$N$4, MATCH(B171, Helper!$M$2:$M$4, 0))</f>
        <v>Intermediate</v>
      </c>
      <c r="D171" s="45" t="s">
        <v>155</v>
      </c>
      <c r="E171" s="45" t="s">
        <v>156</v>
      </c>
      <c r="F171" s="5">
        <v>1</v>
      </c>
      <c r="G171" s="44">
        <v>1</v>
      </c>
      <c r="H171" s="44" t="str">
        <f>INDEX(Helper!$C:$C, MATCH(G171, Helper!$A:$A, 0))</f>
        <v>Standard (EADGBE)</v>
      </c>
      <c r="I171" s="44" t="s">
        <v>624</v>
      </c>
      <c r="J171" s="60" t="s">
        <v>29</v>
      </c>
      <c r="K171" s="44" t="str">
        <f>INDEX(Helper!$F:$F, MATCH(J171, Helper!$E:$E, 0))</f>
        <v>#66E586</v>
      </c>
      <c r="L171" s="45" t="s">
        <v>558</v>
      </c>
      <c r="M171" s="45" t="s">
        <v>615</v>
      </c>
      <c r="N171" s="45" t="s">
        <v>835</v>
      </c>
      <c r="O171" s="74" t="s">
        <v>1107</v>
      </c>
    </row>
    <row r="172" spans="1:15" ht="167.6" x14ac:dyDescent="0.4">
      <c r="A172" s="44">
        <v>169</v>
      </c>
      <c r="B172" s="44">
        <v>2</v>
      </c>
      <c r="C172" s="45" t="str">
        <f>INDEX(Helper!$N$2:$N$4, MATCH(B172, Helper!$M$2:$M$4, 0))</f>
        <v>Intermediate</v>
      </c>
      <c r="D172" s="45" t="s">
        <v>155</v>
      </c>
      <c r="E172" s="45" t="s">
        <v>157</v>
      </c>
      <c r="F172" s="5">
        <v>0</v>
      </c>
      <c r="G172" s="44">
        <v>1</v>
      </c>
      <c r="H172" s="44" t="str">
        <f>INDEX(Helper!$C:$C, MATCH(G172, Helper!$A:$A, 0))</f>
        <v>Standard (EADGBE)</v>
      </c>
      <c r="I172" s="44" t="s">
        <v>63</v>
      </c>
      <c r="J172" s="60" t="s">
        <v>29</v>
      </c>
      <c r="K172" s="44" t="str">
        <f>INDEX(Helper!$F:$F, MATCH(J172, Helper!$E:$E, 0))</f>
        <v>#66E586</v>
      </c>
      <c r="L172" s="45" t="s">
        <v>559</v>
      </c>
      <c r="M172" s="45" t="s">
        <v>615</v>
      </c>
      <c r="N172" s="45" t="s">
        <v>836</v>
      </c>
      <c r="O172" s="74" t="s">
        <v>1108</v>
      </c>
    </row>
    <row r="173" spans="1:15" ht="257.60000000000002" x14ac:dyDescent="0.4">
      <c r="A173" s="44">
        <v>170</v>
      </c>
      <c r="B173" s="44">
        <v>2</v>
      </c>
      <c r="C173" s="45" t="str">
        <f>INDEX(Helper!$N$2:$N$4, MATCH(B173, Helper!$M$2:$M$4, 0))</f>
        <v>Intermediate</v>
      </c>
      <c r="D173" s="45" t="s">
        <v>123</v>
      </c>
      <c r="E173" s="45" t="s">
        <v>158</v>
      </c>
      <c r="F173" s="5">
        <v>1</v>
      </c>
      <c r="G173" s="44">
        <v>1</v>
      </c>
      <c r="H173" s="44" t="str">
        <f>INDEX(Helper!$C:$C, MATCH(G173, Helper!$A:$A, 0))</f>
        <v>Standard (EADGBE)</v>
      </c>
      <c r="I173" s="44" t="s">
        <v>63</v>
      </c>
      <c r="J173" s="65" t="s">
        <v>13</v>
      </c>
      <c r="K173" s="44" t="str">
        <f>INDEX(Helper!$F:$F, MATCH(J173, Helper!$E:$E, 0))</f>
        <v>#FF4F53</v>
      </c>
      <c r="L173" s="45" t="s">
        <v>560</v>
      </c>
      <c r="M173" s="45" t="s">
        <v>615</v>
      </c>
      <c r="N173" s="45" t="s">
        <v>837</v>
      </c>
      <c r="O173" s="74" t="s">
        <v>1109</v>
      </c>
    </row>
    <row r="174" spans="1:15" ht="77.599999999999994" x14ac:dyDescent="0.4">
      <c r="A174" s="44">
        <v>171</v>
      </c>
      <c r="B174" s="44">
        <v>2</v>
      </c>
      <c r="C174" s="45" t="str">
        <f>INDEX(Helper!$N$2:$N$4, MATCH(B174, Helper!$M$2:$M$4, 0))</f>
        <v>Intermediate</v>
      </c>
      <c r="D174" s="45" t="s">
        <v>127</v>
      </c>
      <c r="E174" s="45" t="s">
        <v>160</v>
      </c>
      <c r="F174" s="5">
        <v>1</v>
      </c>
      <c r="G174" s="44">
        <v>1</v>
      </c>
      <c r="H174" s="44" t="str">
        <f>INDEX(Helper!$C:$C, MATCH(G174, Helper!$A:$A, 0))</f>
        <v>Standard (EADGBE)</v>
      </c>
      <c r="I174" s="44" t="s">
        <v>619</v>
      </c>
      <c r="J174" s="59" t="s">
        <v>10</v>
      </c>
      <c r="K174" s="44" t="str">
        <f>INDEX(Helper!$F:$F, MATCH(J174, Helper!$E:$E, 0))</f>
        <v>#F5943C</v>
      </c>
      <c r="L174" s="45" t="s">
        <v>561</v>
      </c>
      <c r="M174" s="45" t="s">
        <v>615</v>
      </c>
      <c r="N174" s="45" t="s">
        <v>838</v>
      </c>
      <c r="O174" s="74" t="s">
        <v>1110</v>
      </c>
    </row>
    <row r="175" spans="1:15" ht="51.9" x14ac:dyDescent="0.4">
      <c r="A175" s="44">
        <v>172</v>
      </c>
      <c r="B175" s="44">
        <v>2</v>
      </c>
      <c r="C175" s="45" t="str">
        <f>INDEX(Helper!$N$2:$N$4, MATCH(B175, Helper!$M$2:$M$4, 0))</f>
        <v>Intermediate</v>
      </c>
      <c r="D175" s="45" t="s">
        <v>132</v>
      </c>
      <c r="E175" s="45" t="s">
        <v>161</v>
      </c>
      <c r="F175" s="5">
        <v>1</v>
      </c>
      <c r="G175" s="44">
        <v>1</v>
      </c>
      <c r="H175" s="44" t="str">
        <f>INDEX(Helper!$C:$C, MATCH(G175, Helper!$A:$A, 0))</f>
        <v>Standard (EADGBE)</v>
      </c>
      <c r="I175" s="44" t="s">
        <v>795</v>
      </c>
      <c r="J175" s="65" t="s">
        <v>13</v>
      </c>
      <c r="K175" s="44" t="str">
        <f>INDEX(Helper!$F:$F, MATCH(J175, Helper!$E:$E, 0))</f>
        <v>#FF4F53</v>
      </c>
      <c r="L175" s="45" t="s">
        <v>562</v>
      </c>
      <c r="M175" s="45" t="s">
        <v>615</v>
      </c>
      <c r="N175" s="46" t="s">
        <v>839</v>
      </c>
      <c r="O175" s="74" t="s">
        <v>1111</v>
      </c>
    </row>
    <row r="176" spans="1:15" ht="77.599999999999994" x14ac:dyDescent="0.4">
      <c r="A176" s="44">
        <v>173</v>
      </c>
      <c r="B176" s="44">
        <v>1</v>
      </c>
      <c r="C176" s="45" t="str">
        <f>INDEX(Helper!$N$2:$N$4, MATCH(B176, Helper!$M$2:$M$4, 0))</f>
        <v>Beginner</v>
      </c>
      <c r="D176" s="45" t="s">
        <v>78</v>
      </c>
      <c r="E176" s="45" t="s">
        <v>162</v>
      </c>
      <c r="F176" s="5">
        <v>1</v>
      </c>
      <c r="G176" s="44">
        <v>2</v>
      </c>
      <c r="H176" s="44" t="str">
        <f>INDEX(Helper!$C:$C, MATCH(G176, Helper!$A:$A, 0))</f>
        <v>Drop D (DADGBE)</v>
      </c>
      <c r="I176" s="44" t="s">
        <v>627</v>
      </c>
      <c r="J176" s="65" t="s">
        <v>13</v>
      </c>
      <c r="K176" s="44" t="str">
        <f>INDEX(Helper!$F:$F, MATCH(J176, Helper!$E:$E, 0))</f>
        <v>#FF4F53</v>
      </c>
      <c r="L176" s="45" t="s">
        <v>563</v>
      </c>
      <c r="M176" s="45" t="s">
        <v>615</v>
      </c>
      <c r="N176" s="45" t="s">
        <v>840</v>
      </c>
      <c r="O176" s="74" t="s">
        <v>1112</v>
      </c>
    </row>
    <row r="177" spans="1:15" ht="409.6" x14ac:dyDescent="0.4">
      <c r="A177" s="44">
        <v>174</v>
      </c>
      <c r="B177" s="44">
        <v>2</v>
      </c>
      <c r="C177" s="45" t="str">
        <f>INDEX(Helper!$N$2:$N$4, MATCH(B177, Helper!$M$2:$M$4, 0))</f>
        <v>Intermediate</v>
      </c>
      <c r="D177" s="45" t="s">
        <v>84</v>
      </c>
      <c r="E177" s="45" t="s">
        <v>163</v>
      </c>
      <c r="F177" s="5">
        <v>1</v>
      </c>
      <c r="G177" s="30">
        <v>1</v>
      </c>
      <c r="H177" s="44" t="str">
        <f>INDEX(Helper!$C:$C, MATCH(G177, Helper!$A:$A, 0))</f>
        <v>Standard (EADGBE)</v>
      </c>
      <c r="I177" s="44" t="s">
        <v>60</v>
      </c>
      <c r="J177" s="65" t="s">
        <v>13</v>
      </c>
      <c r="K177" s="44" t="str">
        <f>INDEX(Helper!$F:$F, MATCH(J177, Helper!$E:$E, 0))</f>
        <v>#FF4F53</v>
      </c>
      <c r="L177" s="45" t="s">
        <v>384</v>
      </c>
      <c r="M177" s="45" t="s">
        <v>615</v>
      </c>
      <c r="N177" s="45" t="s">
        <v>841</v>
      </c>
      <c r="O177" s="74" t="s">
        <v>1113</v>
      </c>
    </row>
    <row r="178" spans="1:15" ht="77.599999999999994" x14ac:dyDescent="0.4">
      <c r="A178" s="44">
        <v>175</v>
      </c>
      <c r="B178" s="44">
        <v>2</v>
      </c>
      <c r="C178" s="45" t="str">
        <f>INDEX(Helper!$N$2:$N$4, MATCH(B178, Helper!$M$2:$M$4, 0))</f>
        <v>Intermediate</v>
      </c>
      <c r="D178" s="45" t="s">
        <v>84</v>
      </c>
      <c r="E178" s="45" t="s">
        <v>164</v>
      </c>
      <c r="F178" s="5">
        <v>0</v>
      </c>
      <c r="G178" s="44">
        <v>1</v>
      </c>
      <c r="H178" s="44" t="str">
        <f>INDEX(Helper!$C:$C, MATCH(G178, Helper!$A:$A, 0))</f>
        <v>Standard (EADGBE)</v>
      </c>
      <c r="I178" s="44" t="s">
        <v>620</v>
      </c>
      <c r="J178" s="65" t="s">
        <v>13</v>
      </c>
      <c r="K178" s="44" t="str">
        <f>INDEX(Helper!$F:$F, MATCH(J178, Helper!$E:$E, 0))</f>
        <v>#FF4F53</v>
      </c>
      <c r="L178" s="45" t="s">
        <v>564</v>
      </c>
      <c r="M178" s="45" t="s">
        <v>615</v>
      </c>
      <c r="N178" s="46" t="s">
        <v>842</v>
      </c>
      <c r="O178" s="74" t="s">
        <v>1114</v>
      </c>
    </row>
    <row r="179" spans="1:15" ht="257.60000000000002" x14ac:dyDescent="0.4">
      <c r="A179" s="44">
        <v>176</v>
      </c>
      <c r="B179" s="44">
        <v>2</v>
      </c>
      <c r="C179" s="45" t="str">
        <f>INDEX(Helper!$N$2:$N$4, MATCH(B179, Helper!$M$2:$M$4, 0))</f>
        <v>Intermediate</v>
      </c>
      <c r="D179" s="45" t="s">
        <v>41</v>
      </c>
      <c r="E179" s="45" t="s">
        <v>165</v>
      </c>
      <c r="F179" s="5">
        <v>1</v>
      </c>
      <c r="G179" s="44">
        <v>1</v>
      </c>
      <c r="H179" s="44" t="str">
        <f>INDEX(Helper!$C:$C, MATCH(G179, Helper!$A:$A, 0))</f>
        <v>Standard (EADGBE)</v>
      </c>
      <c r="I179" s="44" t="s">
        <v>843</v>
      </c>
      <c r="J179" s="59" t="s">
        <v>10</v>
      </c>
      <c r="K179" s="44" t="str">
        <f>INDEX(Helper!$F:$F, MATCH(J179, Helper!$E:$E, 0))</f>
        <v>#F5943C</v>
      </c>
      <c r="L179" s="48" t="s">
        <v>565</v>
      </c>
      <c r="M179" s="45" t="s">
        <v>615</v>
      </c>
      <c r="N179" s="48" t="s">
        <v>849</v>
      </c>
      <c r="O179" s="74" t="s">
        <v>1115</v>
      </c>
    </row>
    <row r="180" spans="1:15" ht="167.6" x14ac:dyDescent="0.4">
      <c r="A180" s="44">
        <v>177</v>
      </c>
      <c r="B180" s="44">
        <v>2</v>
      </c>
      <c r="C180" s="45" t="str">
        <f>INDEX(Helper!$N$2:$N$4, MATCH(B180, Helper!$M$2:$M$4, 0))</f>
        <v>Intermediate</v>
      </c>
      <c r="D180" s="45" t="s">
        <v>41</v>
      </c>
      <c r="E180" s="45" t="s">
        <v>166</v>
      </c>
      <c r="F180" s="5">
        <v>0</v>
      </c>
      <c r="G180" s="44">
        <v>3</v>
      </c>
      <c r="H180" s="44" t="str">
        <f>INDEX(Helper!$C:$C, MATCH(G180, Helper!$A:$A, 0))</f>
        <v>Half Step Down (D#G#C#F#A#D#)</v>
      </c>
      <c r="I180" s="44" t="s">
        <v>60</v>
      </c>
      <c r="J180" s="59" t="s">
        <v>10</v>
      </c>
      <c r="K180" s="44" t="str">
        <f>INDEX(Helper!$F:$F, MATCH(J180, Helper!$E:$E, 0))</f>
        <v>#F5943C</v>
      </c>
      <c r="L180" s="45" t="s">
        <v>566</v>
      </c>
      <c r="M180" s="45" t="s">
        <v>615</v>
      </c>
      <c r="N180" s="45" t="s">
        <v>850</v>
      </c>
      <c r="O180" s="74" t="s">
        <v>1116</v>
      </c>
    </row>
    <row r="181" spans="1:15" ht="167.6" x14ac:dyDescent="0.4">
      <c r="A181" s="44">
        <v>178</v>
      </c>
      <c r="B181" s="44">
        <v>2</v>
      </c>
      <c r="C181" s="45" t="str">
        <f>INDEX(Helper!$N$2:$N$4, MATCH(B181, Helper!$M$2:$M$4, 0))</f>
        <v>Intermediate</v>
      </c>
      <c r="D181" s="45" t="s">
        <v>41</v>
      </c>
      <c r="E181" s="45" t="s">
        <v>383</v>
      </c>
      <c r="F181" s="5">
        <v>1</v>
      </c>
      <c r="G181" s="44">
        <v>3</v>
      </c>
      <c r="H181" s="44" t="str">
        <f>INDEX(Helper!$C:$C, MATCH(G181, Helper!$A:$A, 0))</f>
        <v>Half Step Down (D#G#C#F#A#D#)</v>
      </c>
      <c r="I181" s="44" t="s">
        <v>795</v>
      </c>
      <c r="J181" s="59" t="s">
        <v>10</v>
      </c>
      <c r="K181" s="44" t="str">
        <f>INDEX(Helper!$F:$F, MATCH(J181, Helper!$E:$E, 0))</f>
        <v>#F5943C</v>
      </c>
      <c r="L181" s="45" t="s">
        <v>938</v>
      </c>
      <c r="M181" s="45" t="s">
        <v>615</v>
      </c>
      <c r="N181" s="45" t="s">
        <v>851</v>
      </c>
      <c r="O181" s="74" t="s">
        <v>1117</v>
      </c>
    </row>
    <row r="182" spans="1:15" ht="167.6" x14ac:dyDescent="0.4">
      <c r="A182" s="44">
        <v>179</v>
      </c>
      <c r="B182" s="44">
        <v>2</v>
      </c>
      <c r="C182" s="45" t="str">
        <f>INDEX(Helper!$N$2:$N$4, MATCH(B182, Helper!$M$2:$M$4, 0))</f>
        <v>Intermediate</v>
      </c>
      <c r="D182" s="45" t="s">
        <v>42</v>
      </c>
      <c r="E182" s="45" t="s">
        <v>167</v>
      </c>
      <c r="F182" s="5">
        <v>0</v>
      </c>
      <c r="G182" s="44">
        <v>3</v>
      </c>
      <c r="H182" s="44" t="str">
        <f>INDEX(Helper!$C:$C, MATCH(G182, Helper!$A:$A, 0))</f>
        <v>Half Step Down (D#G#C#F#A#D#)</v>
      </c>
      <c r="I182" s="44" t="s">
        <v>68</v>
      </c>
      <c r="J182" s="70" t="s">
        <v>373</v>
      </c>
      <c r="K182" s="44" t="str">
        <f>INDEX(Helper!$F:$F, MATCH(J182, Helper!$E:$E, 0))</f>
        <v>#C476D4</v>
      </c>
      <c r="L182" s="45" t="s">
        <v>567</v>
      </c>
      <c r="M182" s="45" t="s">
        <v>615</v>
      </c>
      <c r="N182" s="45" t="s">
        <v>852</v>
      </c>
      <c r="O182" s="74" t="s">
        <v>1118</v>
      </c>
    </row>
    <row r="183" spans="1:15" ht="77.599999999999994" x14ac:dyDescent="0.4">
      <c r="A183" s="44">
        <v>180</v>
      </c>
      <c r="B183" s="44">
        <v>2</v>
      </c>
      <c r="C183" s="45" t="str">
        <f>INDEX(Helper!$N$2:$N$4, MATCH(B183, Helper!$M$2:$M$4, 0))</f>
        <v>Intermediate</v>
      </c>
      <c r="D183" s="45" t="s">
        <v>42</v>
      </c>
      <c r="E183" s="45" t="s">
        <v>168</v>
      </c>
      <c r="F183" s="5">
        <v>1</v>
      </c>
      <c r="G183" s="44">
        <v>1</v>
      </c>
      <c r="H183" s="44" t="str">
        <f>INDEX(Helper!$C:$C, MATCH(G183, Helper!$A:$A, 0))</f>
        <v>Standard (EADGBE)</v>
      </c>
      <c r="I183" s="44" t="s">
        <v>68</v>
      </c>
      <c r="J183" s="70" t="s">
        <v>373</v>
      </c>
      <c r="K183" s="44" t="str">
        <f>INDEX(Helper!$F:$F, MATCH(J183, Helper!$E:$E, 0))</f>
        <v>#C476D4</v>
      </c>
      <c r="L183" s="45" t="s">
        <v>568</v>
      </c>
      <c r="M183" s="45" t="s">
        <v>615</v>
      </c>
      <c r="N183" s="45" t="s">
        <v>853</v>
      </c>
      <c r="O183" s="74" t="s">
        <v>1119</v>
      </c>
    </row>
    <row r="184" spans="1:15" ht="167.6" x14ac:dyDescent="0.4">
      <c r="A184" s="44">
        <v>181</v>
      </c>
      <c r="B184" s="44">
        <v>2</v>
      </c>
      <c r="C184" s="45" t="str">
        <f>INDEX(Helper!$N$2:$N$4, MATCH(B184, Helper!$M$2:$M$4, 0))</f>
        <v>Intermediate</v>
      </c>
      <c r="D184" s="45" t="s">
        <v>88</v>
      </c>
      <c r="E184" s="45" t="s">
        <v>169</v>
      </c>
      <c r="F184" s="5">
        <v>1</v>
      </c>
      <c r="G184" s="44">
        <v>1</v>
      </c>
      <c r="H184" s="44" t="str">
        <f>INDEX(Helper!$C:$C, MATCH(G184, Helper!$A:$A, 0))</f>
        <v>Standard (EADGBE)</v>
      </c>
      <c r="I184" s="44" t="s">
        <v>59</v>
      </c>
      <c r="J184" s="65" t="s">
        <v>13</v>
      </c>
      <c r="K184" s="44" t="str">
        <f>INDEX(Helper!$F:$F, MATCH(J184, Helper!$E:$E, 0))</f>
        <v>#FF4F53</v>
      </c>
      <c r="L184" s="45" t="s">
        <v>569</v>
      </c>
      <c r="M184" s="45" t="s">
        <v>615</v>
      </c>
      <c r="N184" s="45" t="s">
        <v>854</v>
      </c>
      <c r="O184" s="74" t="s">
        <v>1120</v>
      </c>
    </row>
    <row r="185" spans="1:15" ht="167.6" x14ac:dyDescent="0.4">
      <c r="A185" s="44">
        <v>182</v>
      </c>
      <c r="B185" s="44">
        <v>2</v>
      </c>
      <c r="C185" s="45" t="str">
        <f>INDEX(Helper!$N$2:$N$4, MATCH(B185, Helper!$M$2:$M$4, 0))</f>
        <v>Intermediate</v>
      </c>
      <c r="D185" s="45" t="s">
        <v>90</v>
      </c>
      <c r="E185" s="45" t="s">
        <v>170</v>
      </c>
      <c r="F185" s="5">
        <v>1</v>
      </c>
      <c r="G185" s="44">
        <v>1</v>
      </c>
      <c r="H185" s="44" t="str">
        <f>INDEX(Helper!$C:$C, MATCH(G185, Helper!$A:$A, 0))</f>
        <v>Standard (EADGBE)</v>
      </c>
      <c r="I185" s="44" t="s">
        <v>619</v>
      </c>
      <c r="J185" s="65" t="s">
        <v>13</v>
      </c>
      <c r="K185" s="44" t="str">
        <f>INDEX(Helper!$F:$F, MATCH(J185, Helper!$E:$E, 0))</f>
        <v>#FF4F53</v>
      </c>
      <c r="L185" s="45" t="s">
        <v>570</v>
      </c>
      <c r="M185" s="45" t="s">
        <v>615</v>
      </c>
      <c r="N185" s="45" t="s">
        <v>855</v>
      </c>
      <c r="O185" s="74" t="s">
        <v>1121</v>
      </c>
    </row>
    <row r="186" spans="1:15" ht="77.599999999999994" x14ac:dyDescent="0.4">
      <c r="A186" s="44">
        <v>183</v>
      </c>
      <c r="B186" s="44">
        <v>2</v>
      </c>
      <c r="C186" s="45" t="str">
        <f>INDEX(Helper!$N$2:$N$4, MATCH(B186, Helper!$M$2:$M$4, 0))</f>
        <v>Intermediate</v>
      </c>
      <c r="D186" s="45" t="s">
        <v>171</v>
      </c>
      <c r="E186" s="45" t="s">
        <v>844</v>
      </c>
      <c r="F186" s="5">
        <v>0</v>
      </c>
      <c r="G186" s="44">
        <v>1</v>
      </c>
      <c r="H186" s="44" t="str">
        <f>INDEX(Helper!$C:$C, MATCH(G186, Helper!$A:$A, 0))</f>
        <v>Standard (EADGBE)</v>
      </c>
      <c r="I186" s="44" t="s">
        <v>65</v>
      </c>
      <c r="J186" s="63" t="s">
        <v>19</v>
      </c>
      <c r="K186" s="44" t="str">
        <f>INDEX(Helper!$F:$F, MATCH(J186, Helper!$E:$E, 0))</f>
        <v>#FFDD21</v>
      </c>
      <c r="L186" s="45" t="s">
        <v>571</v>
      </c>
      <c r="M186" s="45" t="s">
        <v>615</v>
      </c>
      <c r="N186" s="45" t="s">
        <v>856</v>
      </c>
      <c r="O186" s="74" t="s">
        <v>1122</v>
      </c>
    </row>
    <row r="187" spans="1:15" ht="77.599999999999994" x14ac:dyDescent="0.4">
      <c r="A187" s="44">
        <v>184</v>
      </c>
      <c r="B187" s="44">
        <v>2</v>
      </c>
      <c r="C187" s="45" t="str">
        <f>INDEX(Helper!$N$2:$N$4, MATCH(B187, Helper!$M$2:$M$4, 0))</f>
        <v>Intermediate</v>
      </c>
      <c r="D187" s="45" t="s">
        <v>36</v>
      </c>
      <c r="E187" s="45" t="s">
        <v>172</v>
      </c>
      <c r="F187" s="5">
        <v>0</v>
      </c>
      <c r="G187" s="44">
        <v>3</v>
      </c>
      <c r="H187" s="44" t="str">
        <f>INDEX(Helper!$C:$C, MATCH(G187, Helper!$A:$A, 0))</f>
        <v>Half Step Down (D#G#C#F#A#D#)</v>
      </c>
      <c r="I187" s="44" t="s">
        <v>795</v>
      </c>
      <c r="J187" s="64" t="s">
        <v>15</v>
      </c>
      <c r="K187" s="44" t="str">
        <f>INDEX(Helper!$F:$F, MATCH(J187, Helper!$E:$E, 0))</f>
        <v>#C2C2A1</v>
      </c>
      <c r="L187" s="45" t="s">
        <v>572</v>
      </c>
      <c r="M187" s="45" t="s">
        <v>615</v>
      </c>
      <c r="N187" s="45" t="s">
        <v>857</v>
      </c>
      <c r="O187" s="74" t="s">
        <v>1123</v>
      </c>
    </row>
    <row r="188" spans="1:15" ht="77.599999999999994" x14ac:dyDescent="0.4">
      <c r="A188" s="44">
        <v>185</v>
      </c>
      <c r="B188" s="44">
        <v>1</v>
      </c>
      <c r="C188" s="45" t="str">
        <f>INDEX(Helper!$N$2:$N$4, MATCH(B188, Helper!$M$2:$M$4, 0))</f>
        <v>Beginner</v>
      </c>
      <c r="D188" s="45" t="s">
        <v>36</v>
      </c>
      <c r="E188" s="45" t="s">
        <v>858</v>
      </c>
      <c r="F188" s="5">
        <v>1</v>
      </c>
      <c r="G188" s="44">
        <v>1</v>
      </c>
      <c r="H188" s="44" t="str">
        <f>INDEX(Helper!$C:$C, MATCH(G188, Helper!$A:$A, 0))</f>
        <v>Standard (EADGBE)</v>
      </c>
      <c r="I188" s="44" t="s">
        <v>68</v>
      </c>
      <c r="J188" s="64" t="s">
        <v>15</v>
      </c>
      <c r="K188" s="44" t="str">
        <f>INDEX(Helper!$F:$F, MATCH(J188, Helper!$E:$E, 0))</f>
        <v>#C2C2A1</v>
      </c>
      <c r="L188" s="45" t="s">
        <v>573</v>
      </c>
      <c r="M188" s="45" t="s">
        <v>615</v>
      </c>
      <c r="N188" s="45" t="s">
        <v>859</v>
      </c>
      <c r="O188" s="74" t="s">
        <v>1124</v>
      </c>
    </row>
    <row r="189" spans="1:15" ht="167.6" x14ac:dyDescent="0.4">
      <c r="A189" s="44">
        <v>186</v>
      </c>
      <c r="B189" s="44">
        <v>1</v>
      </c>
      <c r="C189" s="45" t="str">
        <f>INDEX(Helper!$N$2:$N$4, MATCH(B189, Helper!$M$2:$M$4, 0))</f>
        <v>Beginner</v>
      </c>
      <c r="D189" s="45" t="s">
        <v>36</v>
      </c>
      <c r="E189" s="45" t="s">
        <v>173</v>
      </c>
      <c r="F189" s="5">
        <v>1</v>
      </c>
      <c r="G189" s="44">
        <v>3</v>
      </c>
      <c r="H189" s="44" t="str">
        <f>INDEX(Helper!$C:$C, MATCH(G189, Helper!$A:$A, 0))</f>
        <v>Half Step Down (D#G#C#F#A#D#)</v>
      </c>
      <c r="I189" s="44" t="s">
        <v>845</v>
      </c>
      <c r="J189" s="64" t="s">
        <v>15</v>
      </c>
      <c r="K189" s="44" t="str">
        <f>INDEX(Helper!$F:$F, MATCH(J189, Helper!$E:$E, 0))</f>
        <v>#C2C2A1</v>
      </c>
      <c r="L189" s="45" t="s">
        <v>574</v>
      </c>
      <c r="M189" s="45" t="s">
        <v>615</v>
      </c>
      <c r="N189" s="45" t="s">
        <v>860</v>
      </c>
      <c r="O189" s="74" t="s">
        <v>1125</v>
      </c>
    </row>
    <row r="190" spans="1:15" ht="77.599999999999994" x14ac:dyDescent="0.4">
      <c r="A190" s="44">
        <v>187</v>
      </c>
      <c r="B190" s="44">
        <v>2</v>
      </c>
      <c r="C190" s="45" t="str">
        <f>INDEX(Helper!$N$2:$N$4, MATCH(B190, Helper!$M$2:$M$4, 0))</f>
        <v>Intermediate</v>
      </c>
      <c r="D190" s="45" t="s">
        <v>102</v>
      </c>
      <c r="E190" s="45" t="s">
        <v>174</v>
      </c>
      <c r="F190" s="5">
        <v>1</v>
      </c>
      <c r="G190" s="44">
        <v>1</v>
      </c>
      <c r="H190" s="44" t="str">
        <f>INDEX(Helper!$C:$C, MATCH(G190, Helper!$A:$A, 0))</f>
        <v>Standard (EADGBE)</v>
      </c>
      <c r="I190" s="44" t="s">
        <v>66</v>
      </c>
      <c r="J190" s="70" t="s">
        <v>373</v>
      </c>
      <c r="K190" s="44" t="str">
        <f>INDEX(Helper!$F:$F, MATCH(J190, Helper!$E:$E, 0))</f>
        <v>#C476D4</v>
      </c>
      <c r="L190" s="45" t="s">
        <v>575</v>
      </c>
      <c r="M190" s="45" t="s">
        <v>615</v>
      </c>
      <c r="N190" s="45" t="s">
        <v>861</v>
      </c>
      <c r="O190" s="74" t="s">
        <v>1126</v>
      </c>
    </row>
    <row r="191" spans="1:15" ht="167.6" x14ac:dyDescent="0.4">
      <c r="A191" s="44">
        <v>188</v>
      </c>
      <c r="B191" s="44">
        <v>2</v>
      </c>
      <c r="C191" s="45" t="str">
        <f>INDEX(Helper!$N$2:$N$4, MATCH(B191, Helper!$M$2:$M$4, 0))</f>
        <v>Intermediate</v>
      </c>
      <c r="D191" s="45" t="s">
        <v>175</v>
      </c>
      <c r="E191" s="45" t="s">
        <v>176</v>
      </c>
      <c r="F191" s="5">
        <v>1</v>
      </c>
      <c r="G191" s="53">
        <v>1</v>
      </c>
      <c r="H191" s="44" t="str">
        <f>INDEX(Helper!$C:$C, MATCH(G191, Helper!$A:$A, 0))</f>
        <v>Standard (EADGBE)</v>
      </c>
      <c r="I191" s="44" t="s">
        <v>627</v>
      </c>
      <c r="J191" s="63" t="s">
        <v>24</v>
      </c>
      <c r="K191" s="44" t="str">
        <f>INDEX(Helper!$F:$F, MATCH(J191, Helper!$E:$E, 0))</f>
        <v>#F1D764</v>
      </c>
      <c r="L191" s="45" t="s">
        <v>576</v>
      </c>
      <c r="M191" s="45" t="s">
        <v>615</v>
      </c>
      <c r="N191" s="45" t="s">
        <v>862</v>
      </c>
      <c r="O191" s="74" t="s">
        <v>1127</v>
      </c>
    </row>
    <row r="192" spans="1:15" ht="347.6" x14ac:dyDescent="0.4">
      <c r="A192" s="44">
        <v>189</v>
      </c>
      <c r="B192" s="44">
        <v>2</v>
      </c>
      <c r="C192" s="45" t="str">
        <f>INDEX(Helper!$N$2:$N$4, MATCH(B192, Helper!$M$2:$M$4, 0))</f>
        <v>Intermediate</v>
      </c>
      <c r="D192" s="45" t="s">
        <v>175</v>
      </c>
      <c r="E192" s="45" t="s">
        <v>177</v>
      </c>
      <c r="F192" s="5">
        <v>1</v>
      </c>
      <c r="G192" s="44">
        <v>1</v>
      </c>
      <c r="H192" s="44" t="str">
        <f>INDEX(Helper!$C:$C, MATCH(G192, Helper!$A:$A, 0))</f>
        <v>Standard (EADGBE)</v>
      </c>
      <c r="I192" s="44" t="s">
        <v>843</v>
      </c>
      <c r="J192" s="63" t="s">
        <v>24</v>
      </c>
      <c r="K192" s="44" t="str">
        <f>INDEX(Helper!$F:$F, MATCH(J192, Helper!$E:$E, 0))</f>
        <v>#F1D764</v>
      </c>
      <c r="L192" s="45" t="s">
        <v>577</v>
      </c>
      <c r="M192" s="45" t="s">
        <v>615</v>
      </c>
      <c r="N192" s="45" t="s">
        <v>863</v>
      </c>
      <c r="O192" s="74" t="s">
        <v>1128</v>
      </c>
    </row>
    <row r="193" spans="1:15" ht="180.45" x14ac:dyDescent="0.4">
      <c r="A193" s="44">
        <v>190</v>
      </c>
      <c r="B193" s="44">
        <v>2</v>
      </c>
      <c r="C193" s="45" t="str">
        <f>INDEX(Helper!$N$2:$N$4, MATCH(B193, Helper!$M$2:$M$4, 0))</f>
        <v>Intermediate</v>
      </c>
      <c r="D193" s="45" t="s">
        <v>178</v>
      </c>
      <c r="E193" s="45" t="s">
        <v>179</v>
      </c>
      <c r="F193" s="5">
        <v>0</v>
      </c>
      <c r="G193" s="44">
        <v>1</v>
      </c>
      <c r="H193" s="44" t="str">
        <f>INDEX(Helper!$C:$C, MATCH(G193, Helper!$A:$A, 0))</f>
        <v>Standard (EADGBE)</v>
      </c>
      <c r="I193" s="44" t="s">
        <v>394</v>
      </c>
      <c r="J193" s="65" t="s">
        <v>13</v>
      </c>
      <c r="K193" s="44" t="str">
        <f>INDEX(Helper!$F:$F, MATCH(J193, Helper!$E:$E, 0))</f>
        <v>#FF4F53</v>
      </c>
      <c r="L193" s="45" t="s">
        <v>578</v>
      </c>
      <c r="M193" s="45" t="s">
        <v>615</v>
      </c>
      <c r="N193" s="46" t="s">
        <v>901</v>
      </c>
      <c r="O193" s="74" t="s">
        <v>1129</v>
      </c>
    </row>
    <row r="194" spans="1:15" ht="167.6" x14ac:dyDescent="0.4">
      <c r="A194" s="44">
        <v>191</v>
      </c>
      <c r="B194" s="44">
        <v>2</v>
      </c>
      <c r="C194" s="45" t="str">
        <f>INDEX(Helper!$N$2:$N$4, MATCH(B194, Helper!$M$2:$M$4, 0))</f>
        <v>Intermediate</v>
      </c>
      <c r="D194" s="45" t="s">
        <v>110</v>
      </c>
      <c r="E194" s="45" t="s">
        <v>180</v>
      </c>
      <c r="F194" s="5">
        <v>1</v>
      </c>
      <c r="G194" s="44">
        <v>9</v>
      </c>
      <c r="H194" s="44" t="str">
        <f>INDEX(Helper!$C:$C, MATCH(G194, Helper!$A:$A, 0))</f>
        <v>C#G#C#F#A#D#</v>
      </c>
      <c r="I194" s="44" t="s">
        <v>795</v>
      </c>
      <c r="J194" s="71" t="s">
        <v>27</v>
      </c>
      <c r="K194" s="44" t="str">
        <f>INDEX(Helper!$F:$F, MATCH(J194, Helper!$E:$E, 0))</f>
        <v>#B2DB4B</v>
      </c>
      <c r="L194" s="45" t="s">
        <v>579</v>
      </c>
      <c r="M194" s="45" t="s">
        <v>615</v>
      </c>
      <c r="N194" s="45" t="s">
        <v>902</v>
      </c>
      <c r="O194" s="74" t="s">
        <v>1130</v>
      </c>
    </row>
    <row r="195" spans="1:15" ht="167.6" x14ac:dyDescent="0.4">
      <c r="A195" s="44">
        <v>192</v>
      </c>
      <c r="B195" s="44">
        <v>2</v>
      </c>
      <c r="C195" s="45" t="str">
        <f>INDEX(Helper!$N$2:$N$4, MATCH(B195, Helper!$M$2:$M$4, 0))</f>
        <v>Intermediate</v>
      </c>
      <c r="D195" s="45" t="s">
        <v>181</v>
      </c>
      <c r="E195" s="45" t="s">
        <v>182</v>
      </c>
      <c r="F195" s="5">
        <v>0</v>
      </c>
      <c r="G195" s="44">
        <v>9</v>
      </c>
      <c r="H195" s="44" t="str">
        <f>INDEX(Helper!$C:$C, MATCH(G195, Helper!$A:$A, 0))</f>
        <v>C#G#C#F#A#D#</v>
      </c>
      <c r="I195" s="44" t="s">
        <v>843</v>
      </c>
      <c r="J195" s="64" t="s">
        <v>15</v>
      </c>
      <c r="K195" s="44" t="str">
        <f>INDEX(Helper!$F:$F, MATCH(J195, Helper!$E:$E, 0))</f>
        <v>#C2C2A1</v>
      </c>
      <c r="L195" s="45" t="s">
        <v>580</v>
      </c>
      <c r="M195" s="45" t="s">
        <v>640</v>
      </c>
      <c r="N195" s="45" t="s">
        <v>903</v>
      </c>
      <c r="O195" s="74" t="s">
        <v>1131</v>
      </c>
    </row>
    <row r="196" spans="1:15" ht="167.6" x14ac:dyDescent="0.4">
      <c r="A196" s="44">
        <v>193</v>
      </c>
      <c r="B196" s="44">
        <v>2</v>
      </c>
      <c r="C196" s="45" t="str">
        <f>INDEX(Helper!$N$2:$N$4, MATCH(B196, Helper!$M$2:$M$4, 0))</f>
        <v>Intermediate</v>
      </c>
      <c r="D196" s="45" t="s">
        <v>181</v>
      </c>
      <c r="E196" s="45" t="s">
        <v>183</v>
      </c>
      <c r="F196" s="5">
        <v>0</v>
      </c>
      <c r="G196" s="44">
        <v>9</v>
      </c>
      <c r="H196" s="44" t="str">
        <f>INDEX(Helper!$C:$C, MATCH(G196, Helper!$A:$A, 0))</f>
        <v>C#G#C#F#A#D#</v>
      </c>
      <c r="I196" s="44" t="s">
        <v>394</v>
      </c>
      <c r="J196" s="64" t="s">
        <v>15</v>
      </c>
      <c r="K196" s="44" t="str">
        <f>INDEX(Helper!$F:$F, MATCH(J196, Helper!$E:$E, 0))</f>
        <v>#C2C2A1</v>
      </c>
      <c r="L196" s="45" t="s">
        <v>581</v>
      </c>
      <c r="M196" s="45" t="s">
        <v>615</v>
      </c>
      <c r="N196" s="46" t="s">
        <v>904</v>
      </c>
      <c r="O196" s="74" t="s">
        <v>1132</v>
      </c>
    </row>
    <row r="197" spans="1:15" ht="167.6" x14ac:dyDescent="0.4">
      <c r="A197" s="44">
        <v>194</v>
      </c>
      <c r="B197" s="44">
        <v>2</v>
      </c>
      <c r="C197" s="45" t="str">
        <f>INDEX(Helper!$N$2:$N$4, MATCH(B197, Helper!$M$2:$M$4, 0))</f>
        <v>Intermediate</v>
      </c>
      <c r="D197" s="45" t="s">
        <v>118</v>
      </c>
      <c r="E197" s="45" t="s">
        <v>185</v>
      </c>
      <c r="F197" s="5">
        <v>0</v>
      </c>
      <c r="G197" s="44">
        <v>1</v>
      </c>
      <c r="H197" s="44" t="str">
        <f>INDEX(Helper!$C:$C, MATCH(G197, Helper!$A:$A, 0))</f>
        <v>Standard (EADGBE)</v>
      </c>
      <c r="I197" s="44" t="s">
        <v>627</v>
      </c>
      <c r="J197" s="61" t="s">
        <v>11</v>
      </c>
      <c r="K197" s="44" t="str">
        <f>INDEX(Helper!$F:$F, MATCH(J197, Helper!$E:$E, 0))</f>
        <v>#E8AD1D</v>
      </c>
      <c r="L197" s="45" t="s">
        <v>582</v>
      </c>
      <c r="M197" s="45" t="s">
        <v>615</v>
      </c>
      <c r="N197" s="45" t="s">
        <v>905</v>
      </c>
      <c r="O197" s="74" t="s">
        <v>1133</v>
      </c>
    </row>
    <row r="198" spans="1:15" ht="167.6" x14ac:dyDescent="0.4">
      <c r="A198" s="44">
        <v>195</v>
      </c>
      <c r="B198" s="44">
        <v>2</v>
      </c>
      <c r="C198" s="45" t="str">
        <f>INDEX(Helper!$N$2:$N$4, MATCH(B198, Helper!$M$2:$M$4, 0))</f>
        <v>Intermediate</v>
      </c>
      <c r="D198" s="45" t="s">
        <v>186</v>
      </c>
      <c r="E198" s="45" t="s">
        <v>187</v>
      </c>
      <c r="F198" s="5">
        <v>0</v>
      </c>
      <c r="G198" s="44">
        <v>1</v>
      </c>
      <c r="H198" s="44" t="str">
        <f>INDEX(Helper!$C:$C, MATCH(G198, Helper!$A:$A, 0))</f>
        <v>Standard (EADGBE)</v>
      </c>
      <c r="I198" s="44" t="s">
        <v>62</v>
      </c>
      <c r="J198" s="59" t="s">
        <v>10</v>
      </c>
      <c r="K198" s="44" t="str">
        <f>INDEX(Helper!$F:$F, MATCH(J198, Helper!$E:$E, 0))</f>
        <v>#F5943C</v>
      </c>
      <c r="L198" s="45" t="s">
        <v>583</v>
      </c>
      <c r="M198" s="45" t="s">
        <v>615</v>
      </c>
      <c r="N198" s="45" t="s">
        <v>906</v>
      </c>
      <c r="O198" s="74" t="s">
        <v>1134</v>
      </c>
    </row>
    <row r="199" spans="1:15" ht="77.599999999999994" x14ac:dyDescent="0.4">
      <c r="A199" s="44">
        <v>196</v>
      </c>
      <c r="B199" s="44">
        <v>2</v>
      </c>
      <c r="C199" s="45" t="str">
        <f>INDEX(Helper!$N$2:$N$4, MATCH(B199, Helper!$M$2:$M$4, 0))</f>
        <v>Intermediate</v>
      </c>
      <c r="D199" s="45" t="s">
        <v>186</v>
      </c>
      <c r="E199" s="45" t="s">
        <v>188</v>
      </c>
      <c r="F199" s="5">
        <v>1</v>
      </c>
      <c r="G199" s="44">
        <v>1</v>
      </c>
      <c r="H199" s="44" t="str">
        <f>INDEX(Helper!$C:$C, MATCH(G199, Helper!$A:$A, 0))</f>
        <v>Standard (EADGBE)</v>
      </c>
      <c r="I199" s="44" t="s">
        <v>64</v>
      </c>
      <c r="J199" s="59" t="s">
        <v>10</v>
      </c>
      <c r="K199" s="44" t="str">
        <f>INDEX(Helper!$F:$F, MATCH(J199, Helper!$E:$E, 0))</f>
        <v>#F5943C</v>
      </c>
      <c r="L199" s="45" t="s">
        <v>584</v>
      </c>
      <c r="M199" s="45" t="s">
        <v>615</v>
      </c>
      <c r="N199" s="45" t="s">
        <v>907</v>
      </c>
      <c r="O199" s="74" t="s">
        <v>1135</v>
      </c>
    </row>
    <row r="200" spans="1:15" ht="257.60000000000002" x14ac:dyDescent="0.4">
      <c r="A200" s="44">
        <v>197</v>
      </c>
      <c r="B200" s="44">
        <v>2</v>
      </c>
      <c r="C200" s="45" t="str">
        <f>INDEX(Helper!$N$2:$N$4, MATCH(B200, Helper!$M$2:$M$4, 0))</f>
        <v>Intermediate</v>
      </c>
      <c r="D200" s="45" t="s">
        <v>121</v>
      </c>
      <c r="E200" s="45" t="s">
        <v>189</v>
      </c>
      <c r="F200" s="5">
        <v>0</v>
      </c>
      <c r="G200" s="44">
        <v>3</v>
      </c>
      <c r="H200" s="44" t="str">
        <f>INDEX(Helper!$C:$C, MATCH(G200, Helper!$A:$A, 0))</f>
        <v>Half Step Down (D#G#C#F#A#D#)</v>
      </c>
      <c r="I200" s="44" t="s">
        <v>70</v>
      </c>
      <c r="J200" s="59" t="s">
        <v>10</v>
      </c>
      <c r="K200" s="44" t="str">
        <f>INDEX(Helper!$F:$F, MATCH(J200, Helper!$E:$E, 0))</f>
        <v>#F5943C</v>
      </c>
      <c r="L200" s="45" t="s">
        <v>585</v>
      </c>
      <c r="M200" s="45" t="s">
        <v>615</v>
      </c>
      <c r="N200" s="45" t="s">
        <v>908</v>
      </c>
      <c r="O200" s="74" t="s">
        <v>1136</v>
      </c>
    </row>
    <row r="201" spans="1:15" ht="257.60000000000002" x14ac:dyDescent="0.4">
      <c r="A201" s="44">
        <v>198</v>
      </c>
      <c r="B201" s="44">
        <v>2</v>
      </c>
      <c r="C201" s="45" t="str">
        <f>INDEX(Helper!$N$2:$N$4, MATCH(B201, Helper!$M$2:$M$4, 0))</f>
        <v>Intermediate</v>
      </c>
      <c r="D201" s="45" t="s">
        <v>127</v>
      </c>
      <c r="E201" s="45" t="s">
        <v>190</v>
      </c>
      <c r="F201" s="5">
        <v>1</v>
      </c>
      <c r="G201" s="44">
        <v>1</v>
      </c>
      <c r="H201" s="44" t="str">
        <f>INDEX(Helper!$C:$C, MATCH(G201, Helper!$A:$A, 0))</f>
        <v>Standard (EADGBE)</v>
      </c>
      <c r="I201" s="44" t="s">
        <v>394</v>
      </c>
      <c r="J201" s="59" t="s">
        <v>10</v>
      </c>
      <c r="K201" s="44" t="str">
        <f>INDEX(Helper!$F:$F, MATCH(J201, Helper!$E:$E, 0))</f>
        <v>#F5943C</v>
      </c>
      <c r="L201" s="45" t="s">
        <v>586</v>
      </c>
      <c r="M201" s="45" t="s">
        <v>615</v>
      </c>
      <c r="N201" s="45" t="s">
        <v>909</v>
      </c>
      <c r="O201" s="74" t="s">
        <v>1137</v>
      </c>
    </row>
    <row r="202" spans="1:15" ht="257.60000000000002" x14ac:dyDescent="0.4">
      <c r="A202" s="44">
        <v>199</v>
      </c>
      <c r="B202" s="44">
        <v>2</v>
      </c>
      <c r="C202" s="45" t="str">
        <f>INDEX(Helper!$N$2:$N$4, MATCH(B202, Helper!$M$2:$M$4, 0))</f>
        <v>Intermediate</v>
      </c>
      <c r="D202" s="45" t="s">
        <v>138</v>
      </c>
      <c r="E202" s="45" t="s">
        <v>910</v>
      </c>
      <c r="F202" s="5">
        <v>0</v>
      </c>
      <c r="G202" s="44">
        <v>1</v>
      </c>
      <c r="H202" s="44" t="str">
        <f>INDEX(Helper!$C:$C, MATCH(G202, Helper!$A:$A, 0))</f>
        <v>Standard (EADGBE)</v>
      </c>
      <c r="I202" s="44" t="s">
        <v>66</v>
      </c>
      <c r="J202" s="67" t="s">
        <v>12</v>
      </c>
      <c r="K202" s="44" t="str">
        <f>INDEX(Helper!$F:$F, MATCH(J202, Helper!$E:$E, 0))</f>
        <v>#FFE129</v>
      </c>
      <c r="L202" s="45" t="s">
        <v>381</v>
      </c>
      <c r="M202" s="45" t="s">
        <v>615</v>
      </c>
      <c r="N202" s="45" t="s">
        <v>911</v>
      </c>
      <c r="O202" s="74" t="s">
        <v>1138</v>
      </c>
    </row>
    <row r="203" spans="1:15" ht="77.599999999999994" x14ac:dyDescent="0.4">
      <c r="A203" s="44">
        <v>200</v>
      </c>
      <c r="B203" s="44">
        <v>2</v>
      </c>
      <c r="C203" s="45" t="str">
        <f>INDEX(Helper!$N$2:$N$4, MATCH(B203, Helper!$M$2:$M$4, 0))</f>
        <v>Intermediate</v>
      </c>
      <c r="D203" s="45" t="s">
        <v>142</v>
      </c>
      <c r="E203" s="45" t="s">
        <v>191</v>
      </c>
      <c r="F203" s="5">
        <v>1</v>
      </c>
      <c r="G203" s="44">
        <v>13</v>
      </c>
      <c r="H203" s="44" t="str">
        <f>INDEX(Helper!$C:$C, MATCH(G203, Helper!$A:$A, 0))</f>
        <v>C Standard (CFA#D#GC)</v>
      </c>
      <c r="I203" s="44" t="s">
        <v>64</v>
      </c>
      <c r="J203" s="61" t="s">
        <v>11</v>
      </c>
      <c r="K203" s="44" t="str">
        <f>INDEX(Helper!$F:$F, MATCH(J203, Helper!$E:$E, 0))</f>
        <v>#E8AD1D</v>
      </c>
      <c r="L203" s="45" t="s">
        <v>587</v>
      </c>
      <c r="M203" s="45" t="s">
        <v>615</v>
      </c>
      <c r="N203" s="45" t="s">
        <v>914</v>
      </c>
      <c r="O203" s="74" t="s">
        <v>1139</v>
      </c>
    </row>
    <row r="204" spans="1:15" ht="347.6" x14ac:dyDescent="0.4">
      <c r="A204" s="44">
        <v>201</v>
      </c>
      <c r="B204" s="44">
        <v>2</v>
      </c>
      <c r="C204" s="45" t="str">
        <f>INDEX(Helper!$N$2:$N$4, MATCH(B204, Helper!$M$2:$M$4, 0))</f>
        <v>Intermediate</v>
      </c>
      <c r="D204" s="45" t="s">
        <v>144</v>
      </c>
      <c r="E204" s="45" t="s">
        <v>192</v>
      </c>
      <c r="F204" s="5">
        <v>1</v>
      </c>
      <c r="G204" s="44">
        <v>2</v>
      </c>
      <c r="H204" s="44" t="str">
        <f>INDEX(Helper!$C:$C, MATCH(G204, Helper!$A:$A, 0))</f>
        <v>Drop D (DADGBE)</v>
      </c>
      <c r="I204" s="44" t="s">
        <v>627</v>
      </c>
      <c r="J204" s="64" t="s">
        <v>15</v>
      </c>
      <c r="K204" s="44" t="str">
        <f>INDEX(Helper!$F:$F, MATCH(J204, Helper!$E:$E, 0))</f>
        <v>#C2C2A1</v>
      </c>
      <c r="L204" s="45" t="s">
        <v>380</v>
      </c>
      <c r="M204" s="45" t="s">
        <v>615</v>
      </c>
      <c r="N204" s="75" t="s">
        <v>935</v>
      </c>
      <c r="O204" s="74" t="s">
        <v>1140</v>
      </c>
    </row>
    <row r="205" spans="1:15" ht="257.60000000000002" x14ac:dyDescent="0.4">
      <c r="A205" s="44">
        <v>202</v>
      </c>
      <c r="B205" s="44">
        <v>2</v>
      </c>
      <c r="C205" s="45" t="str">
        <f>INDEX(Helper!$N$2:$N$4, MATCH(B205, Helper!$M$2:$M$4, 0))</f>
        <v>Intermediate</v>
      </c>
      <c r="D205" s="45" t="s">
        <v>146</v>
      </c>
      <c r="E205" s="45" t="s">
        <v>193</v>
      </c>
      <c r="F205" s="5">
        <v>1</v>
      </c>
      <c r="G205" s="44">
        <v>1</v>
      </c>
      <c r="H205" s="44" t="str">
        <f>INDEX(Helper!$C:$C, MATCH(G205, Helper!$A:$A, 0))</f>
        <v>Standard (EADGBE)</v>
      </c>
      <c r="I205" s="44" t="s">
        <v>64</v>
      </c>
      <c r="J205" s="65" t="s">
        <v>13</v>
      </c>
      <c r="K205" s="44" t="str">
        <f>INDEX(Helper!$F:$F, MATCH(J205, Helper!$E:$E, 0))</f>
        <v>#FF4F53</v>
      </c>
      <c r="L205" s="45" t="s">
        <v>588</v>
      </c>
      <c r="M205" s="45" t="s">
        <v>615</v>
      </c>
      <c r="N205" s="45" t="s">
        <v>915</v>
      </c>
      <c r="O205" s="74" t="s">
        <v>1141</v>
      </c>
    </row>
    <row r="206" spans="1:15" ht="77.599999999999994" x14ac:dyDescent="0.4">
      <c r="A206" s="44">
        <v>203</v>
      </c>
      <c r="B206" s="44">
        <v>1</v>
      </c>
      <c r="C206" s="45" t="str">
        <f>INDEX(Helper!$N$2:$N$4, MATCH(B206, Helper!$M$2:$M$4, 0))</f>
        <v>Beginner</v>
      </c>
      <c r="D206" s="45" t="s">
        <v>148</v>
      </c>
      <c r="E206" s="45" t="s">
        <v>196</v>
      </c>
      <c r="F206" s="5">
        <v>0</v>
      </c>
      <c r="G206" s="53">
        <v>9</v>
      </c>
      <c r="H206" s="44" t="str">
        <f>INDEX(Helper!$C:$C, MATCH(G206, Helper!$A:$A, 0))</f>
        <v>C#G#C#F#A#D#</v>
      </c>
      <c r="I206" s="44" t="s">
        <v>394</v>
      </c>
      <c r="J206" s="64" t="s">
        <v>15</v>
      </c>
      <c r="K206" s="44" t="str">
        <f>INDEX(Helper!$F:$F, MATCH(J206, Helper!$E:$E, 0))</f>
        <v>#C2C2A1</v>
      </c>
      <c r="L206" s="45" t="s">
        <v>379</v>
      </c>
      <c r="M206" s="45" t="s">
        <v>615</v>
      </c>
      <c r="N206" s="46" t="s">
        <v>829</v>
      </c>
      <c r="O206" s="74" t="s">
        <v>1142</v>
      </c>
    </row>
    <row r="207" spans="1:15" ht="257.60000000000002" x14ac:dyDescent="0.4">
      <c r="A207" s="44">
        <v>204</v>
      </c>
      <c r="B207" s="44">
        <v>2</v>
      </c>
      <c r="C207" s="45" t="str">
        <f>INDEX(Helper!$N$2:$N$4, MATCH(B207, Helper!$M$2:$M$4, 0))</f>
        <v>Intermediate</v>
      </c>
      <c r="D207" s="45" t="s">
        <v>81</v>
      </c>
      <c r="E207" s="45" t="s">
        <v>197</v>
      </c>
      <c r="F207" s="5">
        <v>0</v>
      </c>
      <c r="G207" s="44">
        <v>1</v>
      </c>
      <c r="H207" s="44" t="str">
        <f>INDEX(Helper!$C:$C, MATCH(G207, Helper!$A:$A, 0))</f>
        <v>Standard (EADGBE)</v>
      </c>
      <c r="I207" s="44" t="s">
        <v>65</v>
      </c>
      <c r="J207" s="65" t="s">
        <v>13</v>
      </c>
      <c r="K207" s="44" t="str">
        <f>INDEX(Helper!$F:$F, MATCH(J207, Helper!$E:$E, 0))</f>
        <v>#FF4F53</v>
      </c>
      <c r="L207" s="45" t="s">
        <v>589</v>
      </c>
      <c r="M207" s="45" t="s">
        <v>615</v>
      </c>
      <c r="N207" s="45" t="s">
        <v>866</v>
      </c>
      <c r="O207" s="74" t="s">
        <v>1143</v>
      </c>
    </row>
    <row r="208" spans="1:15" ht="270.45" x14ac:dyDescent="0.4">
      <c r="A208" s="44">
        <v>205</v>
      </c>
      <c r="B208" s="44">
        <v>2</v>
      </c>
      <c r="C208" s="45" t="str">
        <f>INDEX(Helper!$N$2:$N$4, MATCH(B208, Helper!$M$2:$M$4, 0))</f>
        <v>Intermediate</v>
      </c>
      <c r="D208" s="45" t="s">
        <v>81</v>
      </c>
      <c r="E208" s="45" t="s">
        <v>198</v>
      </c>
      <c r="F208" s="5">
        <v>1</v>
      </c>
      <c r="G208" s="44">
        <v>1</v>
      </c>
      <c r="H208" s="44" t="str">
        <f>INDEX(Helper!$C:$C, MATCH(G208, Helper!$A:$A, 0))</f>
        <v>Standard (EADGBE)</v>
      </c>
      <c r="I208" s="44" t="s">
        <v>66</v>
      </c>
      <c r="J208" s="65" t="s">
        <v>13</v>
      </c>
      <c r="K208" s="44" t="str">
        <f>INDEX(Helper!$F:$F, MATCH(J208, Helper!$E:$E, 0))</f>
        <v>#FF4F53</v>
      </c>
      <c r="L208" s="45" t="s">
        <v>936</v>
      </c>
      <c r="M208" s="45" t="s">
        <v>615</v>
      </c>
      <c r="N208" s="46" t="s">
        <v>900</v>
      </c>
      <c r="O208" s="74" t="s">
        <v>1144</v>
      </c>
    </row>
    <row r="209" spans="1:15" ht="167.6" x14ac:dyDescent="0.4">
      <c r="A209" s="44">
        <v>206</v>
      </c>
      <c r="B209" s="44">
        <v>2</v>
      </c>
      <c r="C209" s="45" t="str">
        <f>INDEX(Helper!$N$2:$N$4, MATCH(B209, Helper!$M$2:$M$4, 0))</f>
        <v>Intermediate</v>
      </c>
      <c r="D209" s="45" t="s">
        <v>81</v>
      </c>
      <c r="E209" s="45" t="s">
        <v>199</v>
      </c>
      <c r="F209" s="5">
        <v>0</v>
      </c>
      <c r="G209" s="44">
        <v>1</v>
      </c>
      <c r="H209" s="44" t="str">
        <f>INDEX(Helper!$C:$C, MATCH(G209, Helper!$A:$A, 0))</f>
        <v>Standard (EADGBE)</v>
      </c>
      <c r="I209" s="44" t="s">
        <v>624</v>
      </c>
      <c r="J209" s="65" t="s">
        <v>13</v>
      </c>
      <c r="K209" s="44" t="str">
        <f>INDEX(Helper!$F:$F, MATCH(J209, Helper!$E:$E, 0))</f>
        <v>#FF4F53</v>
      </c>
      <c r="L209" s="45" t="s">
        <v>590</v>
      </c>
      <c r="M209" s="45" t="s">
        <v>615</v>
      </c>
      <c r="N209" s="45" t="s">
        <v>867</v>
      </c>
      <c r="O209" s="74" t="s">
        <v>1145</v>
      </c>
    </row>
    <row r="210" spans="1:15" ht="167.6" x14ac:dyDescent="0.4">
      <c r="A210" s="44">
        <v>207</v>
      </c>
      <c r="B210" s="44">
        <v>2</v>
      </c>
      <c r="C210" s="45" t="str">
        <f>INDEX(Helper!$N$2:$N$4, MATCH(B210, Helper!$M$2:$M$4, 0))</f>
        <v>Intermediate</v>
      </c>
      <c r="D210" s="45" t="s">
        <v>387</v>
      </c>
      <c r="E210" s="45" t="s">
        <v>869</v>
      </c>
      <c r="F210" s="5">
        <v>1</v>
      </c>
      <c r="G210" s="44">
        <v>1</v>
      </c>
      <c r="H210" s="44" t="str">
        <f>INDEX(Helper!$C:$C, MATCH(G210, Helper!$A:$A, 0))</f>
        <v>Standard (EADGBE)</v>
      </c>
      <c r="I210" s="44" t="s">
        <v>67</v>
      </c>
      <c r="J210" s="59" t="s">
        <v>10</v>
      </c>
      <c r="K210" s="44" t="str">
        <f>INDEX(Helper!$F:$F, MATCH(J210, Helper!$E:$E, 0))</f>
        <v>#F5943C</v>
      </c>
      <c r="L210" s="45" t="s">
        <v>591</v>
      </c>
      <c r="M210" s="45" t="s">
        <v>615</v>
      </c>
      <c r="N210" s="45" t="s">
        <v>868</v>
      </c>
      <c r="O210" s="74" t="s">
        <v>1146</v>
      </c>
    </row>
    <row r="211" spans="1:15" ht="386.15" x14ac:dyDescent="0.4">
      <c r="A211" s="44">
        <v>208</v>
      </c>
      <c r="B211" s="44">
        <v>3</v>
      </c>
      <c r="C211" s="45" t="str">
        <f>INDEX(Helper!$N$2:$N$4, MATCH(B211, Helper!$M$2:$M$4, 0))</f>
        <v>Advanced</v>
      </c>
      <c r="D211" s="45" t="s">
        <v>387</v>
      </c>
      <c r="E211" s="45" t="s">
        <v>870</v>
      </c>
      <c r="F211" s="5">
        <v>1</v>
      </c>
      <c r="G211" s="44">
        <v>1</v>
      </c>
      <c r="H211" s="44" t="str">
        <f>INDEX(Helper!$C:$C, MATCH(G211, Helper!$A:$A, 0))</f>
        <v>Standard (EADGBE)</v>
      </c>
      <c r="I211" s="44" t="s">
        <v>63</v>
      </c>
      <c r="J211" s="59" t="s">
        <v>10</v>
      </c>
      <c r="K211" s="44" t="str">
        <f>INDEX(Helper!$F:$F, MATCH(J211, Helper!$E:$E, 0))</f>
        <v>#F5943C</v>
      </c>
      <c r="L211" s="45" t="s">
        <v>592</v>
      </c>
      <c r="M211" s="45" t="s">
        <v>615</v>
      </c>
      <c r="N211" s="46" t="s">
        <v>873</v>
      </c>
      <c r="O211" s="74" t="s">
        <v>1147</v>
      </c>
    </row>
    <row r="212" spans="1:15" ht="409.6" x14ac:dyDescent="0.4">
      <c r="A212" s="44">
        <v>209</v>
      </c>
      <c r="B212" s="44">
        <v>3</v>
      </c>
      <c r="C212" s="45" t="str">
        <f>INDEX(Helper!$N$2:$N$4, MATCH(B212, Helper!$M$2:$M$4, 0))</f>
        <v>Advanced</v>
      </c>
      <c r="D212" s="45" t="s">
        <v>387</v>
      </c>
      <c r="E212" s="45" t="s">
        <v>470</v>
      </c>
      <c r="F212" s="5">
        <v>0</v>
      </c>
      <c r="G212" s="44">
        <v>3</v>
      </c>
      <c r="H212" s="44" t="str">
        <f>INDEX(Helper!$C:$C, MATCH(G212, Helper!$A:$A, 0))</f>
        <v>Half Step Down (D#G#C#F#A#D#)</v>
      </c>
      <c r="I212" s="44" t="s">
        <v>795</v>
      </c>
      <c r="J212" s="59" t="s">
        <v>10</v>
      </c>
      <c r="K212" s="44" t="str">
        <f>INDEX(Helper!$F:$F, MATCH(J212, Helper!$E:$E, 0))</f>
        <v>#F5943C</v>
      </c>
      <c r="L212" s="45" t="s">
        <v>593</v>
      </c>
      <c r="M212" s="45" t="s">
        <v>615</v>
      </c>
      <c r="N212" s="45" t="s">
        <v>871</v>
      </c>
      <c r="O212" s="74" t="s">
        <v>1148</v>
      </c>
    </row>
    <row r="213" spans="1:15" ht="167.6" x14ac:dyDescent="0.4">
      <c r="A213" s="44">
        <v>210</v>
      </c>
      <c r="B213" s="44">
        <v>3</v>
      </c>
      <c r="C213" s="45" t="str">
        <f>INDEX(Helper!$N$2:$N$4, MATCH(B213, Helper!$M$2:$M$4, 0))</f>
        <v>Advanced</v>
      </c>
      <c r="D213" s="45" t="s">
        <v>41</v>
      </c>
      <c r="E213" s="45" t="s">
        <v>200</v>
      </c>
      <c r="F213" s="5">
        <v>0</v>
      </c>
      <c r="G213" s="44">
        <v>3</v>
      </c>
      <c r="H213" s="44" t="str">
        <f>INDEX(Helper!$C:$C, MATCH(G213, Helper!$A:$A, 0))</f>
        <v>Half Step Down (D#G#C#F#A#D#)</v>
      </c>
      <c r="I213" s="44" t="s">
        <v>68</v>
      </c>
      <c r="J213" s="59" t="s">
        <v>10</v>
      </c>
      <c r="K213" s="44" t="str">
        <f>INDEX(Helper!$F:$F, MATCH(J213, Helper!$E:$E, 0))</f>
        <v>#F5943C</v>
      </c>
      <c r="L213" s="45" t="s">
        <v>939</v>
      </c>
      <c r="M213" s="45" t="s">
        <v>615</v>
      </c>
      <c r="N213" s="45" t="s">
        <v>872</v>
      </c>
      <c r="O213" s="74" t="s">
        <v>1149</v>
      </c>
    </row>
    <row r="214" spans="1:15" ht="347.6" x14ac:dyDescent="0.4">
      <c r="A214" s="44">
        <v>211</v>
      </c>
      <c r="B214" s="44">
        <v>3</v>
      </c>
      <c r="C214" s="45" t="str">
        <f>INDEX(Helper!$N$2:$N$4, MATCH(B214, Helper!$M$2:$M$4, 0))</f>
        <v>Advanced</v>
      </c>
      <c r="D214" s="45" t="s">
        <v>99</v>
      </c>
      <c r="E214" s="45" t="s">
        <v>201</v>
      </c>
      <c r="F214" s="5">
        <v>1</v>
      </c>
      <c r="G214" s="44">
        <v>3</v>
      </c>
      <c r="H214" s="44" t="str">
        <f>INDEX(Helper!$C:$C, MATCH(G214, Helper!$A:$A, 0))</f>
        <v>Half Step Down (D#G#C#F#A#D#)</v>
      </c>
      <c r="I214" s="44" t="s">
        <v>795</v>
      </c>
      <c r="J214" s="59" t="s">
        <v>10</v>
      </c>
      <c r="K214" s="44" t="str">
        <f>INDEX(Helper!$F:$F, MATCH(J214, Helper!$E:$E, 0))</f>
        <v>#F5943C</v>
      </c>
      <c r="L214" s="45" t="s">
        <v>594</v>
      </c>
      <c r="M214" s="45" t="s">
        <v>615</v>
      </c>
      <c r="N214" s="45" t="s">
        <v>874</v>
      </c>
      <c r="O214" s="74" t="s">
        <v>1150</v>
      </c>
    </row>
    <row r="215" spans="1:15" ht="347.6" x14ac:dyDescent="0.4">
      <c r="A215" s="44">
        <v>212</v>
      </c>
      <c r="B215" s="44">
        <v>3</v>
      </c>
      <c r="C215" s="45" t="str">
        <f>INDEX(Helper!$N$2:$N$4, MATCH(B215, Helper!$M$2:$M$4, 0))</f>
        <v>Advanced</v>
      </c>
      <c r="D215" s="45" t="s">
        <v>99</v>
      </c>
      <c r="E215" s="45" t="s">
        <v>202</v>
      </c>
      <c r="F215" s="5">
        <v>0</v>
      </c>
      <c r="G215" s="44">
        <v>1</v>
      </c>
      <c r="H215" s="44" t="str">
        <f>INDEX(Helper!$C:$C, MATCH(G215, Helper!$A:$A, 0))</f>
        <v>Standard (EADGBE)</v>
      </c>
      <c r="I215" s="44" t="s">
        <v>68</v>
      </c>
      <c r="J215" s="59" t="s">
        <v>10</v>
      </c>
      <c r="K215" s="44" t="str">
        <f>INDEX(Helper!$F:$F, MATCH(J215, Helper!$E:$E, 0))</f>
        <v>#F5943C</v>
      </c>
      <c r="L215" s="45" t="s">
        <v>595</v>
      </c>
      <c r="M215" s="45" t="s">
        <v>615</v>
      </c>
      <c r="N215" s="46" t="s">
        <v>875</v>
      </c>
      <c r="O215" s="74" t="s">
        <v>1151</v>
      </c>
    </row>
    <row r="216" spans="1:15" ht="409.6" x14ac:dyDescent="0.4">
      <c r="A216" s="44">
        <v>213</v>
      </c>
      <c r="B216" s="44">
        <v>3</v>
      </c>
      <c r="C216" s="45" t="str">
        <f>INDEX(Helper!$N$2:$N$4, MATCH(B216, Helper!$M$2:$M$4, 0))</f>
        <v>Advanced</v>
      </c>
      <c r="D216" s="45" t="s">
        <v>99</v>
      </c>
      <c r="E216" s="45" t="s">
        <v>203</v>
      </c>
      <c r="F216" s="5">
        <v>0</v>
      </c>
      <c r="G216" s="44">
        <v>1</v>
      </c>
      <c r="H216" s="44" t="str">
        <f>INDEX(Helper!$C:$C, MATCH(G216, Helper!$A:$A, 0))</f>
        <v>Standard (EADGBE)</v>
      </c>
      <c r="I216" s="44" t="s">
        <v>627</v>
      </c>
      <c r="J216" s="59" t="s">
        <v>10</v>
      </c>
      <c r="K216" s="44" t="str">
        <f>INDEX(Helper!$F:$F, MATCH(J216, Helper!$E:$E, 0))</f>
        <v>#F5943C</v>
      </c>
      <c r="L216" s="45" t="s">
        <v>378</v>
      </c>
      <c r="M216" s="45" t="s">
        <v>615</v>
      </c>
      <c r="N216" s="46" t="s">
        <v>878</v>
      </c>
      <c r="O216" s="74" t="s">
        <v>1152</v>
      </c>
    </row>
    <row r="217" spans="1:15" ht="167.6" x14ac:dyDescent="0.4">
      <c r="A217" s="44">
        <v>214</v>
      </c>
      <c r="B217" s="44">
        <v>3</v>
      </c>
      <c r="C217" s="45" t="str">
        <f>INDEX(Helper!$N$2:$N$4, MATCH(B217, Helper!$M$2:$M$4, 0))</f>
        <v>Advanced</v>
      </c>
      <c r="D217" s="45" t="s">
        <v>171</v>
      </c>
      <c r="E217" s="45" t="s">
        <v>204</v>
      </c>
      <c r="F217" s="5">
        <v>1</v>
      </c>
      <c r="G217" s="44">
        <v>1</v>
      </c>
      <c r="H217" s="44" t="str">
        <f>INDEX(Helper!$C:$C, MATCH(G217, Helper!$A:$A, 0))</f>
        <v>Standard (EADGBE)</v>
      </c>
      <c r="I217" s="44" t="s">
        <v>63</v>
      </c>
      <c r="J217" s="63" t="s">
        <v>19</v>
      </c>
      <c r="K217" s="44" t="str">
        <f>INDEX(Helper!$F:$F, MATCH(J217, Helper!$E:$E, 0))</f>
        <v>#FFDD21</v>
      </c>
      <c r="L217" s="45" t="s">
        <v>596</v>
      </c>
      <c r="M217" s="45" t="s">
        <v>615</v>
      </c>
      <c r="N217" s="46" t="s">
        <v>877</v>
      </c>
      <c r="O217" s="74" t="s">
        <v>1153</v>
      </c>
    </row>
    <row r="218" spans="1:15" ht="167.6" x14ac:dyDescent="0.4">
      <c r="A218" s="44">
        <v>215</v>
      </c>
      <c r="B218" s="44">
        <v>3</v>
      </c>
      <c r="C218" s="45" t="str">
        <f>INDEX(Helper!$N$2:$N$4, MATCH(B218, Helper!$M$2:$M$4, 0))</f>
        <v>Advanced</v>
      </c>
      <c r="D218" s="45" t="s">
        <v>181</v>
      </c>
      <c r="E218" s="45" t="s">
        <v>205</v>
      </c>
      <c r="F218" s="5">
        <v>1</v>
      </c>
      <c r="G218" s="44">
        <v>9</v>
      </c>
      <c r="H218" s="44" t="str">
        <f>INDEX(Helper!$C:$C, MATCH(G218, Helper!$A:$A, 0))</f>
        <v>C#G#C#F#A#D#</v>
      </c>
      <c r="I218" s="44" t="s">
        <v>795</v>
      </c>
      <c r="J218" s="64" t="s">
        <v>15</v>
      </c>
      <c r="K218" s="44" t="str">
        <f>INDEX(Helper!$F:$F, MATCH(J218, Helper!$E:$E, 0))</f>
        <v>#C2C2A1</v>
      </c>
      <c r="L218" s="45" t="s">
        <v>597</v>
      </c>
      <c r="M218" s="45" t="s">
        <v>615</v>
      </c>
      <c r="N218" s="45" t="s">
        <v>876</v>
      </c>
      <c r="O218" s="74" t="s">
        <v>1154</v>
      </c>
    </row>
    <row r="219" spans="1:15" ht="167.6" x14ac:dyDescent="0.4">
      <c r="A219" s="44">
        <v>216</v>
      </c>
      <c r="B219" s="44">
        <v>2</v>
      </c>
      <c r="C219" s="45" t="str">
        <f>INDEX(Helper!$N$2:$N$4, MATCH(B219, Helper!$M$2:$M$4, 0))</f>
        <v>Intermediate</v>
      </c>
      <c r="D219" s="45" t="s">
        <v>181</v>
      </c>
      <c r="E219" s="45" t="s">
        <v>206</v>
      </c>
      <c r="F219" s="5">
        <v>1</v>
      </c>
      <c r="G219" s="44">
        <v>11</v>
      </c>
      <c r="H219" s="44" t="str">
        <f>INDEX(Helper!$C:$C, MATCH(G219, Helper!$A:$A, 0))</f>
        <v>CGCFAD</v>
      </c>
      <c r="I219" s="44" t="s">
        <v>68</v>
      </c>
      <c r="J219" s="64" t="s">
        <v>15</v>
      </c>
      <c r="K219" s="44" t="str">
        <f>INDEX(Helper!$F:$F, MATCH(J219, Helper!$E:$E, 0))</f>
        <v>#C2C2A1</v>
      </c>
      <c r="L219" s="45" t="s">
        <v>598</v>
      </c>
      <c r="M219" s="45" t="s">
        <v>615</v>
      </c>
      <c r="N219" s="45" t="s">
        <v>880</v>
      </c>
      <c r="O219" s="74" t="s">
        <v>879</v>
      </c>
    </row>
    <row r="220" spans="1:15" ht="167.6" x14ac:dyDescent="0.4">
      <c r="A220" s="44">
        <v>217</v>
      </c>
      <c r="B220" s="44">
        <v>3</v>
      </c>
      <c r="C220" s="45" t="str">
        <f>INDEX(Helper!$N$2:$N$4, MATCH(B220, Helper!$M$2:$M$4, 0))</f>
        <v>Advanced</v>
      </c>
      <c r="D220" s="45" t="s">
        <v>181</v>
      </c>
      <c r="E220" s="45" t="s">
        <v>207</v>
      </c>
      <c r="F220" s="5">
        <v>0</v>
      </c>
      <c r="G220" s="44">
        <v>11</v>
      </c>
      <c r="H220" s="44" t="str">
        <f>INDEX(Helper!$C:$C, MATCH(G220, Helper!$A:$A, 0))</f>
        <v>CGCFAD</v>
      </c>
      <c r="I220" s="44" t="s">
        <v>68</v>
      </c>
      <c r="J220" s="64" t="s">
        <v>15</v>
      </c>
      <c r="K220" s="44" t="str">
        <f>INDEX(Helper!$F:$F, MATCH(J220, Helper!$E:$E, 0))</f>
        <v>#C2C2A1</v>
      </c>
      <c r="L220" s="45" t="s">
        <v>599</v>
      </c>
      <c r="M220" s="45" t="s">
        <v>615</v>
      </c>
      <c r="N220" s="45" t="s">
        <v>883</v>
      </c>
      <c r="O220" s="74" t="s">
        <v>1155</v>
      </c>
    </row>
    <row r="221" spans="1:15" ht="77.599999999999994" x14ac:dyDescent="0.4">
      <c r="A221" s="44">
        <v>218</v>
      </c>
      <c r="B221" s="44">
        <v>3</v>
      </c>
      <c r="C221" s="45" t="str">
        <f>INDEX(Helper!$N$2:$N$4, MATCH(B221, Helper!$M$2:$M$4, 0))</f>
        <v>Advanced</v>
      </c>
      <c r="D221" s="45" t="s">
        <v>208</v>
      </c>
      <c r="E221" s="45" t="s">
        <v>209</v>
      </c>
      <c r="F221" s="5">
        <v>0</v>
      </c>
      <c r="G221" s="53">
        <v>3</v>
      </c>
      <c r="H221" s="44" t="str">
        <f>INDEX(Helper!$C:$C, MATCH(G221, Helper!$A:$A, 0))</f>
        <v>Half Step Down (D#G#C#F#A#D#)</v>
      </c>
      <c r="I221" s="44" t="s">
        <v>795</v>
      </c>
      <c r="J221" s="65" t="s">
        <v>13</v>
      </c>
      <c r="K221" s="44" t="str">
        <f>INDEX(Helper!$F:$F, MATCH(J221, Helper!$E:$E, 0))</f>
        <v>#FF4F53</v>
      </c>
      <c r="L221" s="45" t="s">
        <v>600</v>
      </c>
      <c r="M221" s="45" t="s">
        <v>615</v>
      </c>
      <c r="N221" s="45" t="s">
        <v>884</v>
      </c>
      <c r="O221" s="74" t="s">
        <v>1156</v>
      </c>
    </row>
    <row r="222" spans="1:15" ht="409.6" x14ac:dyDescent="0.4">
      <c r="A222" s="44">
        <v>219</v>
      </c>
      <c r="B222" s="44">
        <v>3</v>
      </c>
      <c r="C222" s="45" t="str">
        <f>INDEX(Helper!$N$2:$N$4, MATCH(B222, Helper!$M$2:$M$4, 0))</f>
        <v>Advanced</v>
      </c>
      <c r="D222" s="45" t="s">
        <v>210</v>
      </c>
      <c r="E222" s="45" t="s">
        <v>212</v>
      </c>
      <c r="F222" s="5">
        <v>0</v>
      </c>
      <c r="G222" s="44">
        <v>1</v>
      </c>
      <c r="H222" s="44" t="str">
        <f>INDEX(Helper!$C:$C, MATCH(G222, Helper!$A:$A, 0))</f>
        <v>Standard (EADGBE)</v>
      </c>
      <c r="I222" s="44" t="s">
        <v>68</v>
      </c>
      <c r="J222" s="57" t="s">
        <v>21</v>
      </c>
      <c r="K222" s="44" t="str">
        <f>INDEX(Helper!$F:$F, MATCH(J222, Helper!$E:$E, 0))</f>
        <v>#45F0E2</v>
      </c>
      <c r="L222" s="45" t="s">
        <v>601</v>
      </c>
      <c r="M222" s="45" t="s">
        <v>615</v>
      </c>
      <c r="N222" s="45" t="s">
        <v>885</v>
      </c>
      <c r="O222" s="74" t="s">
        <v>1157</v>
      </c>
    </row>
    <row r="223" spans="1:15" ht="77.599999999999994" x14ac:dyDescent="0.4">
      <c r="A223" s="44">
        <v>220</v>
      </c>
      <c r="B223" s="44">
        <v>3</v>
      </c>
      <c r="C223" s="45" t="str">
        <f>INDEX(Helper!$N$2:$N$4, MATCH(B223, Helper!$M$2:$M$4, 0))</f>
        <v>Advanced</v>
      </c>
      <c r="D223" s="45" t="s">
        <v>134</v>
      </c>
      <c r="E223" s="45" t="s">
        <v>213</v>
      </c>
      <c r="F223" s="5">
        <v>1</v>
      </c>
      <c r="G223" s="44">
        <v>1</v>
      </c>
      <c r="H223" s="44" t="str">
        <f>INDEX(Helper!$C:$C, MATCH(G223, Helper!$A:$A, 0))</f>
        <v>Standard (EADGBE)</v>
      </c>
      <c r="I223" s="44" t="s">
        <v>394</v>
      </c>
      <c r="J223" s="57" t="s">
        <v>21</v>
      </c>
      <c r="K223" s="44" t="str">
        <f>INDEX(Helper!$F:$F, MATCH(J223, Helper!$E:$E, 0))</f>
        <v>#45F0E2</v>
      </c>
      <c r="L223" s="45" t="s">
        <v>602</v>
      </c>
      <c r="M223" s="45" t="s">
        <v>615</v>
      </c>
      <c r="N223" s="45" t="s">
        <v>886</v>
      </c>
      <c r="O223" s="74" t="s">
        <v>1158</v>
      </c>
    </row>
    <row r="224" spans="1:15" ht="347.6" x14ac:dyDescent="0.4">
      <c r="A224" s="44">
        <v>221</v>
      </c>
      <c r="B224" s="44">
        <v>3</v>
      </c>
      <c r="C224" s="45" t="str">
        <f>INDEX(Helper!$N$2:$N$4, MATCH(B224, Helper!$M$2:$M$4, 0))</f>
        <v>Advanced</v>
      </c>
      <c r="D224" s="45" t="s">
        <v>214</v>
      </c>
      <c r="E224" s="45" t="s">
        <v>215</v>
      </c>
      <c r="F224" s="5">
        <v>0</v>
      </c>
      <c r="G224" s="44">
        <v>12</v>
      </c>
      <c r="H224" s="44" t="str">
        <f>INDEX(Helper!$C:$C, MATCH(G224, Helper!$A:$A, 0))</f>
        <v>Dropped A (AEADF#B)</v>
      </c>
      <c r="I224" s="44" t="s">
        <v>627</v>
      </c>
      <c r="J224" s="64" t="s">
        <v>15</v>
      </c>
      <c r="K224" s="44" t="str">
        <f>INDEX(Helper!$F:$F, MATCH(J224, Helper!$E:$E, 0))</f>
        <v>#C2C2A1</v>
      </c>
      <c r="L224" s="45" t="s">
        <v>603</v>
      </c>
      <c r="M224" s="45" t="s">
        <v>615</v>
      </c>
      <c r="N224" s="45" t="s">
        <v>887</v>
      </c>
      <c r="O224" s="74" t="s">
        <v>1159</v>
      </c>
    </row>
    <row r="225" spans="1:15" ht="257.60000000000002" x14ac:dyDescent="0.4">
      <c r="A225" s="44">
        <v>222</v>
      </c>
      <c r="B225" s="44">
        <v>3</v>
      </c>
      <c r="C225" s="45" t="str">
        <f>INDEX(Helper!$N$2:$N$4, MATCH(B225, Helper!$M$2:$M$4, 0))</f>
        <v>Advanced</v>
      </c>
      <c r="D225" s="45" t="s">
        <v>194</v>
      </c>
      <c r="E225" s="45" t="s">
        <v>216</v>
      </c>
      <c r="F225" s="5">
        <v>1</v>
      </c>
      <c r="G225" s="44">
        <v>2</v>
      </c>
      <c r="H225" s="44" t="str">
        <f>INDEX(Helper!$C:$C, MATCH(G225, Helper!$A:$A, 0))</f>
        <v>Drop D (DADGBE)</v>
      </c>
      <c r="I225" s="44" t="s">
        <v>795</v>
      </c>
      <c r="J225" s="64" t="s">
        <v>15</v>
      </c>
      <c r="K225" s="44" t="str">
        <f>INDEX(Helper!$F:$F, MATCH(J225, Helper!$E:$E, 0))</f>
        <v>#C2C2A1</v>
      </c>
      <c r="L225" s="48" t="s">
        <v>604</v>
      </c>
      <c r="M225" s="45" t="s">
        <v>615</v>
      </c>
      <c r="N225" s="48" t="s">
        <v>890</v>
      </c>
      <c r="O225" s="74" t="s">
        <v>1160</v>
      </c>
    </row>
    <row r="226" spans="1:15" ht="409.6" x14ac:dyDescent="0.4">
      <c r="A226" s="44">
        <v>223</v>
      </c>
      <c r="B226" s="44">
        <v>3</v>
      </c>
      <c r="C226" s="45" t="str">
        <f>INDEX(Helper!$N$2:$N$4, MATCH(B226, Helper!$M$2:$M$4, 0))</f>
        <v>Advanced</v>
      </c>
      <c r="D226" s="45" t="s">
        <v>194</v>
      </c>
      <c r="E226" s="45" t="s">
        <v>195</v>
      </c>
      <c r="F226" s="5">
        <v>1</v>
      </c>
      <c r="G226" s="44">
        <v>11</v>
      </c>
      <c r="H226" s="44" t="str">
        <f>INDEX(Helper!$C:$C, MATCH(G226, Helper!$A:$A, 0))</f>
        <v>CGCFAD</v>
      </c>
      <c r="I226" s="44" t="s">
        <v>638</v>
      </c>
      <c r="J226" s="64" t="s">
        <v>15</v>
      </c>
      <c r="K226" s="44" t="str">
        <f>INDEX(Helper!$F:$F, MATCH(J226, Helper!$E:$E, 0))</f>
        <v>#C2C2A1</v>
      </c>
      <c r="L226" s="45" t="s">
        <v>605</v>
      </c>
      <c r="M226" s="45" t="s">
        <v>615</v>
      </c>
      <c r="N226" s="46" t="s">
        <v>891</v>
      </c>
      <c r="O226" s="74" t="s">
        <v>1161</v>
      </c>
    </row>
    <row r="227" spans="1:15" ht="409.6" x14ac:dyDescent="0.4">
      <c r="A227" s="44">
        <v>224</v>
      </c>
      <c r="B227" s="44">
        <v>3</v>
      </c>
      <c r="C227" s="45" t="str">
        <f>INDEX(Helper!$N$2:$N$4, MATCH(B227, Helper!$M$2:$M$4, 0))</f>
        <v>Advanced</v>
      </c>
      <c r="D227" s="45" t="s">
        <v>116</v>
      </c>
      <c r="E227" s="45" t="s">
        <v>184</v>
      </c>
      <c r="F227" s="5">
        <v>0</v>
      </c>
      <c r="G227" s="44">
        <v>1</v>
      </c>
      <c r="H227" s="44" t="str">
        <f>INDEX(Helper!$C:$C, MATCH(G227, Helper!$A:$A, 0))</f>
        <v>Standard (EADGBE)</v>
      </c>
      <c r="I227" s="44" t="s">
        <v>60</v>
      </c>
      <c r="J227" s="63" t="s">
        <v>19</v>
      </c>
      <c r="K227" s="44" t="str">
        <f>INDEX(Helper!$F:$F, MATCH(J227, Helper!$E:$E, 0))</f>
        <v>#FFDD21</v>
      </c>
      <c r="L227" s="45" t="s">
        <v>382</v>
      </c>
      <c r="M227" s="45" t="s">
        <v>615</v>
      </c>
      <c r="N227" s="46" t="s">
        <v>892</v>
      </c>
      <c r="O227" s="74" t="s">
        <v>1162</v>
      </c>
    </row>
    <row r="228" spans="1:15" ht="257.60000000000002" x14ac:dyDescent="0.4">
      <c r="A228" s="44">
        <v>225</v>
      </c>
      <c r="B228" s="44">
        <v>3</v>
      </c>
      <c r="C228" s="45" t="str">
        <f>INDEX(Helper!$N$2:$N$4, MATCH(B228, Helper!$M$2:$M$4, 0))</f>
        <v>Advanced</v>
      </c>
      <c r="D228" s="45" t="s">
        <v>178</v>
      </c>
      <c r="E228" s="45" t="s">
        <v>846</v>
      </c>
      <c r="F228" s="5">
        <v>1</v>
      </c>
      <c r="G228" s="44">
        <v>1</v>
      </c>
      <c r="H228" s="44" t="str">
        <f>INDEX(Helper!$C:$C, MATCH(G228, Helper!$A:$A, 0))</f>
        <v>Standard (EADGBE)</v>
      </c>
      <c r="I228" s="44" t="s">
        <v>394</v>
      </c>
      <c r="J228" s="65" t="s">
        <v>13</v>
      </c>
      <c r="K228" s="44" t="str">
        <f>INDEX(Helper!$F:$F, MATCH(J228, Helper!$E:$E, 0))</f>
        <v>#FF4F53</v>
      </c>
      <c r="L228" s="45" t="s">
        <v>606</v>
      </c>
      <c r="M228" s="45" t="s">
        <v>615</v>
      </c>
      <c r="N228" s="45" t="s">
        <v>848</v>
      </c>
      <c r="O228" s="74" t="s">
        <v>1163</v>
      </c>
    </row>
    <row r="229" spans="1:15" ht="409.6" x14ac:dyDescent="0.4">
      <c r="A229" s="44">
        <v>226</v>
      </c>
      <c r="B229" s="44">
        <v>3</v>
      </c>
      <c r="C229" s="45" t="str">
        <f>INDEX(Helper!$N$2:$N$4, MATCH(B229, Helper!$M$2:$M$4, 0))</f>
        <v>Advanced</v>
      </c>
      <c r="D229" s="45" t="s">
        <v>395</v>
      </c>
      <c r="E229" s="45" t="s">
        <v>396</v>
      </c>
      <c r="F229" s="5">
        <v>0</v>
      </c>
      <c r="G229" s="44">
        <v>1</v>
      </c>
      <c r="H229" s="44" t="str">
        <f>INDEX(Helper!$C:$C, MATCH(G229, Helper!$A:$A, 0))</f>
        <v>Standard (EADGBE)</v>
      </c>
      <c r="I229" s="44" t="s">
        <v>67</v>
      </c>
      <c r="J229" s="64" t="s">
        <v>15</v>
      </c>
      <c r="K229" s="44" t="str">
        <f>INDEX(Helper!$F:$F, MATCH(J229, Helper!$E:$E, 0))</f>
        <v>#C2C2A1</v>
      </c>
      <c r="L229" s="45" t="s">
        <v>397</v>
      </c>
      <c r="M229" s="45" t="s">
        <v>615</v>
      </c>
      <c r="N229" s="45" t="s">
        <v>893</v>
      </c>
      <c r="O229" s="74" t="s">
        <v>1164</v>
      </c>
    </row>
    <row r="230" spans="1:15" ht="347.6" x14ac:dyDescent="0.4">
      <c r="A230" s="44">
        <v>227</v>
      </c>
      <c r="B230" s="44">
        <v>3</v>
      </c>
      <c r="C230" s="45" t="str">
        <f>INDEX(Helper!$N$2:$N$4, MATCH(B230, Helper!$M$2:$M$4, 0))</f>
        <v>Advanced</v>
      </c>
      <c r="D230" s="54" t="s">
        <v>78</v>
      </c>
      <c r="E230" s="54" t="s">
        <v>480</v>
      </c>
      <c r="F230" s="5">
        <v>0</v>
      </c>
      <c r="G230" s="44">
        <v>2</v>
      </c>
      <c r="H230" s="44" t="str">
        <f>INDEX(Helper!$C:$C, MATCH(G230, Helper!$A:$A, 0))</f>
        <v>Drop D (DADGBE)</v>
      </c>
      <c r="I230" s="44" t="s">
        <v>65</v>
      </c>
      <c r="J230" s="65" t="s">
        <v>13</v>
      </c>
      <c r="K230" s="44" t="str">
        <f>INDEX(Helper!$F:$F, MATCH(J230, Helper!$E:$E, 0))</f>
        <v>#FF4F53</v>
      </c>
      <c r="L230" s="45" t="s">
        <v>481</v>
      </c>
      <c r="M230" s="45" t="s">
        <v>615</v>
      </c>
      <c r="N230" s="45" t="s">
        <v>894</v>
      </c>
      <c r="O230" s="74" t="s">
        <v>1165</v>
      </c>
    </row>
    <row r="231" spans="1:15" ht="77.599999999999994" x14ac:dyDescent="0.4">
      <c r="A231" s="44">
        <v>228</v>
      </c>
      <c r="B231" s="44">
        <v>1</v>
      </c>
      <c r="C231" s="45" t="str">
        <f>INDEX(Helper!$N$2:$N$4, MATCH(B231, Helper!$M$2:$M$4, 0))</f>
        <v>Beginner</v>
      </c>
      <c r="D231" s="45" t="s">
        <v>151</v>
      </c>
      <c r="E231" s="45" t="s">
        <v>789</v>
      </c>
      <c r="F231" s="5">
        <v>1</v>
      </c>
      <c r="G231" s="44">
        <v>1</v>
      </c>
      <c r="H231" s="44" t="str">
        <f>INDEX(Helper!$C:$C, MATCH(G231, Helper!$A:$A, 0))</f>
        <v>Standard (EADGBE)</v>
      </c>
      <c r="I231" s="44" t="s">
        <v>638</v>
      </c>
      <c r="J231" s="65" t="s">
        <v>13</v>
      </c>
      <c r="K231" s="44" t="str">
        <f>INDEX(Helper!$F:$F, MATCH(J231, Helper!$E:$E, 0))</f>
        <v>#FF4F53</v>
      </c>
      <c r="L231" s="45" t="s">
        <v>847</v>
      </c>
      <c r="M231" s="45" t="s">
        <v>640</v>
      </c>
      <c r="N231" s="46" t="s">
        <v>895</v>
      </c>
      <c r="O231" s="74" t="s">
        <v>1166</v>
      </c>
    </row>
    <row r="232" spans="1:15" ht="77.599999999999994" x14ac:dyDescent="0.4">
      <c r="A232" s="44">
        <v>229</v>
      </c>
      <c r="B232" s="44">
        <v>2</v>
      </c>
      <c r="C232" s="45" t="str">
        <f>INDEX(Helper!$N$2:$N$4, MATCH(B232, Helper!$M$2:$M$4, 0))</f>
        <v>Intermediate</v>
      </c>
      <c r="D232" s="45" t="s">
        <v>865</v>
      </c>
      <c r="E232" s="45" t="s">
        <v>864</v>
      </c>
      <c r="F232" s="5">
        <v>1</v>
      </c>
      <c r="G232" s="44">
        <v>3</v>
      </c>
      <c r="H232" s="44" t="str">
        <f>INDEX(Helper!$C:$C, MATCH(G232, Helper!$A:$A, 0))</f>
        <v>Half Step Down (D#G#C#F#A#D#)</v>
      </c>
      <c r="I232" s="44" t="s">
        <v>634</v>
      </c>
      <c r="J232" s="65" t="s">
        <v>13</v>
      </c>
      <c r="K232" s="44" t="str">
        <f>INDEX(Helper!$F:$F, MATCH(J232, Helper!$E:$E, 0))</f>
        <v>#FF4F53</v>
      </c>
      <c r="L232" s="45" t="s">
        <v>896</v>
      </c>
      <c r="M232" s="45" t="s">
        <v>615</v>
      </c>
      <c r="N232" s="46" t="s">
        <v>897</v>
      </c>
      <c r="O232" s="74" t="s">
        <v>1167</v>
      </c>
    </row>
    <row r="233" spans="1:15" ht="257.60000000000002" x14ac:dyDescent="0.4">
      <c r="A233" s="44">
        <v>230</v>
      </c>
      <c r="B233" s="44">
        <v>3</v>
      </c>
      <c r="C233" s="45" t="str">
        <f>INDEX(Helper!$N$2:$N$4, MATCH(B233, Helper!$M$2:$M$4, 0))</f>
        <v>Advanced</v>
      </c>
      <c r="D233" s="45" t="s">
        <v>254</v>
      </c>
      <c r="E233" s="45" t="s">
        <v>933</v>
      </c>
      <c r="F233" s="5">
        <v>0</v>
      </c>
      <c r="G233" s="44">
        <v>1</v>
      </c>
      <c r="H233" s="44" t="str">
        <f>INDEX(Helper!$C:$C, MATCH(G233, Helper!$A:$A, 0))</f>
        <v>Standard (EADGBE)</v>
      </c>
      <c r="I233" s="44" t="s">
        <v>843</v>
      </c>
      <c r="J233" s="64" t="s">
        <v>15</v>
      </c>
      <c r="K233" s="44" t="str">
        <f>INDEX(Helper!$F:$F, MATCH(J233, Helper!$E:$E, 0))</f>
        <v>#C2C2A1</v>
      </c>
      <c r="L233" s="45" t="s">
        <v>898</v>
      </c>
      <c r="M233" s="45" t="s">
        <v>615</v>
      </c>
      <c r="N233" s="46" t="s">
        <v>899</v>
      </c>
      <c r="O233" s="74" t="s">
        <v>1168</v>
      </c>
    </row>
    <row r="234" spans="1:15" ht="77.599999999999994" x14ac:dyDescent="0.4">
      <c r="A234" s="44">
        <v>231</v>
      </c>
      <c r="B234" s="53">
        <v>2</v>
      </c>
      <c r="C234" s="45" t="str">
        <f>INDEX(Helper!$N$2:$N$4, MATCH(B234, Helper!$M$2:$M$4, 0))</f>
        <v>Intermediate</v>
      </c>
      <c r="D234" s="45" t="s">
        <v>271</v>
      </c>
      <c r="E234" s="45" t="s">
        <v>1372</v>
      </c>
      <c r="F234" s="7">
        <v>2</v>
      </c>
      <c r="G234" s="44">
        <v>1</v>
      </c>
      <c r="H234" s="44" t="str">
        <f>INDEX(Helper!$C:$C, MATCH(G234, Helper!$A:$A, 0))</f>
        <v>Standard (EADGBE)</v>
      </c>
      <c r="I234" s="44" t="s">
        <v>61</v>
      </c>
      <c r="J234" s="64" t="s">
        <v>15</v>
      </c>
      <c r="K234" s="44" t="str">
        <f>INDEX(Helper!$F:$F, MATCH(J234, Helper!$E:$E, 0))</f>
        <v>#C2C2A1</v>
      </c>
      <c r="L234" s="54" t="s">
        <v>1278</v>
      </c>
      <c r="M234" s="45" t="s">
        <v>615</v>
      </c>
      <c r="N234" s="82" t="s">
        <v>1374</v>
      </c>
      <c r="O234" s="81" t="s">
        <v>1373</v>
      </c>
    </row>
    <row r="235" spans="1:15" ht="167.6" x14ac:dyDescent="0.4">
      <c r="A235" s="44">
        <v>232</v>
      </c>
      <c r="B235" s="44">
        <v>3</v>
      </c>
      <c r="C235" s="45" t="str">
        <f>INDEX(Helper!$N$2:$N$4, MATCH(B235, Helper!$M$2:$M$4, 0))</f>
        <v>Advanced</v>
      </c>
      <c r="D235" s="45" t="s">
        <v>271</v>
      </c>
      <c r="E235" s="45" t="s">
        <v>1209</v>
      </c>
      <c r="F235" s="5">
        <v>0</v>
      </c>
      <c r="G235" s="44">
        <v>1</v>
      </c>
      <c r="H235" s="44" t="str">
        <f>INDEX(Helper!$C:$C, MATCH(G235, Helper!$A:$A, 0))</f>
        <v>Standard (EADGBE)</v>
      </c>
      <c r="I235" s="44" t="s">
        <v>619</v>
      </c>
      <c r="J235" s="64" t="s">
        <v>15</v>
      </c>
      <c r="K235" s="44" t="str">
        <f>INDEX(Helper!$F:$F, MATCH(J235, Helper!$E:$E, 0))</f>
        <v>#C2C2A1</v>
      </c>
      <c r="L235" s="45" t="s">
        <v>1279</v>
      </c>
      <c r="M235" s="45" t="s">
        <v>615</v>
      </c>
      <c r="N235" s="75" t="s">
        <v>1376</v>
      </c>
      <c r="O235" s="74" t="s">
        <v>1375</v>
      </c>
    </row>
    <row r="236" spans="1:15" ht="77.599999999999994" x14ac:dyDescent="0.4">
      <c r="A236" s="44">
        <v>233</v>
      </c>
      <c r="B236" s="44">
        <v>2</v>
      </c>
      <c r="C236" s="45" t="str">
        <f>INDEX(Helper!$N$2:$N$4, MATCH(B236, Helper!$M$2:$M$4, 0))</f>
        <v>Intermediate</v>
      </c>
      <c r="D236" s="45" t="s">
        <v>271</v>
      </c>
      <c r="E236" s="45" t="s">
        <v>1210</v>
      </c>
      <c r="F236" s="5">
        <v>2</v>
      </c>
      <c r="G236" s="44">
        <v>1</v>
      </c>
      <c r="H236" s="44" t="str">
        <f>INDEX(Helper!$C:$C, MATCH(G236, Helper!$A:$A, 0))</f>
        <v>Standard (EADGBE)</v>
      </c>
      <c r="I236" s="44" t="s">
        <v>619</v>
      </c>
      <c r="J236" s="64" t="s">
        <v>15</v>
      </c>
      <c r="K236" s="44" t="str">
        <f>INDEX(Helper!$F:$F, MATCH(J236, Helper!$E:$E, 0))</f>
        <v>#C2C2A1</v>
      </c>
      <c r="L236" s="45" t="s">
        <v>1280</v>
      </c>
      <c r="M236" s="45" t="s">
        <v>615</v>
      </c>
      <c r="N236" s="75" t="s">
        <v>1378</v>
      </c>
      <c r="O236" s="74" t="s">
        <v>1377</v>
      </c>
    </row>
    <row r="237" spans="1:15" ht="167.6" x14ac:dyDescent="0.4">
      <c r="A237" s="44">
        <v>234</v>
      </c>
      <c r="B237" s="44">
        <v>2</v>
      </c>
      <c r="C237" s="45" t="str">
        <f>INDEX(Helper!$N$2:$N$4, MATCH(B237, Helper!$M$2:$M$4, 0))</f>
        <v>Intermediate</v>
      </c>
      <c r="D237" s="45" t="s">
        <v>271</v>
      </c>
      <c r="E237" s="45" t="s">
        <v>1211</v>
      </c>
      <c r="F237" s="5">
        <v>0</v>
      </c>
      <c r="G237" s="44">
        <v>1</v>
      </c>
      <c r="H237" s="44" t="str">
        <f>INDEX(Helper!$C:$C, MATCH(G237, Helper!$A:$A, 0))</f>
        <v>Standard (EADGBE)</v>
      </c>
      <c r="I237" s="44" t="s">
        <v>61</v>
      </c>
      <c r="J237" s="64" t="s">
        <v>15</v>
      </c>
      <c r="K237" s="44" t="str">
        <f>INDEX(Helper!$F:$F, MATCH(J237, Helper!$E:$E, 0))</f>
        <v>#C2C2A1</v>
      </c>
      <c r="L237" s="45" t="s">
        <v>1281</v>
      </c>
      <c r="M237" s="45" t="s">
        <v>615</v>
      </c>
      <c r="N237" s="75" t="s">
        <v>1380</v>
      </c>
      <c r="O237" s="74" t="s">
        <v>1379</v>
      </c>
    </row>
    <row r="238" spans="1:15" ht="409.6" x14ac:dyDescent="0.4">
      <c r="A238" s="44">
        <v>235</v>
      </c>
      <c r="B238" s="44">
        <v>2</v>
      </c>
      <c r="C238" s="45" t="str">
        <f>INDEX(Helper!$N$2:$N$4, MATCH(B238, Helper!$M$2:$M$4, 0))</f>
        <v>Intermediate</v>
      </c>
      <c r="D238" s="45" t="s">
        <v>271</v>
      </c>
      <c r="E238" s="45" t="s">
        <v>1212</v>
      </c>
      <c r="F238" s="5">
        <v>2</v>
      </c>
      <c r="G238" s="44">
        <v>1</v>
      </c>
      <c r="H238" s="44" t="str">
        <f>INDEX(Helper!$C:$C, MATCH(G238, Helper!$A:$A, 0))</f>
        <v>Standard (EADGBE)</v>
      </c>
      <c r="I238" s="44" t="s">
        <v>64</v>
      </c>
      <c r="J238" s="64" t="s">
        <v>15</v>
      </c>
      <c r="K238" s="44" t="str">
        <f>INDEX(Helper!$F:$F, MATCH(J238, Helper!$E:$E, 0))</f>
        <v>#C2C2A1</v>
      </c>
      <c r="L238" s="45" t="s">
        <v>1282</v>
      </c>
      <c r="M238" s="45" t="s">
        <v>615</v>
      </c>
      <c r="N238" s="75" t="s">
        <v>1382</v>
      </c>
      <c r="O238" s="74" t="s">
        <v>1381</v>
      </c>
    </row>
    <row r="239" spans="1:15" ht="167.6" x14ac:dyDescent="0.4">
      <c r="A239" s="44">
        <v>236</v>
      </c>
      <c r="B239" s="44">
        <v>2</v>
      </c>
      <c r="C239" s="45" t="str">
        <f>INDEX(Helper!$N$2:$N$4, MATCH(B239, Helper!$M$2:$M$4, 0))</f>
        <v>Intermediate</v>
      </c>
      <c r="D239" s="45" t="s">
        <v>271</v>
      </c>
      <c r="E239" s="45" t="s">
        <v>1213</v>
      </c>
      <c r="F239" s="5">
        <v>2</v>
      </c>
      <c r="G239" s="44">
        <v>1</v>
      </c>
      <c r="H239" s="44" t="str">
        <f>INDEX(Helper!$C:$C, MATCH(G239, Helper!$A:$A, 0))</f>
        <v>Standard (EADGBE)</v>
      </c>
      <c r="I239" s="44" t="s">
        <v>619</v>
      </c>
      <c r="J239" s="64" t="s">
        <v>15</v>
      </c>
      <c r="K239" s="44" t="str">
        <f>INDEX(Helper!$F:$F, MATCH(J239, Helper!$E:$E, 0))</f>
        <v>#C2C2A1</v>
      </c>
      <c r="L239" s="45" t="s">
        <v>1283</v>
      </c>
      <c r="M239" s="45" t="s">
        <v>615</v>
      </c>
      <c r="N239" s="75" t="s">
        <v>1384</v>
      </c>
      <c r="O239" s="74" t="s">
        <v>1383</v>
      </c>
    </row>
    <row r="240" spans="1:15" ht="167.6" x14ac:dyDescent="0.4">
      <c r="A240" s="44">
        <v>237</v>
      </c>
      <c r="B240" s="44">
        <v>3</v>
      </c>
      <c r="C240" s="45" t="str">
        <f>INDEX(Helper!$N$2:$N$4, MATCH(B240, Helper!$M$2:$M$4, 0))</f>
        <v>Advanced</v>
      </c>
      <c r="D240" s="45" t="s">
        <v>271</v>
      </c>
      <c r="E240" s="45" t="s">
        <v>1169</v>
      </c>
      <c r="F240" s="5">
        <v>2</v>
      </c>
      <c r="G240" s="44">
        <v>1</v>
      </c>
      <c r="H240" s="44" t="str">
        <f>INDEX(Helper!$C:$C, MATCH(G240, Helper!$A:$A, 0))</f>
        <v>Standard (EADGBE)</v>
      </c>
      <c r="I240" s="44" t="s">
        <v>66</v>
      </c>
      <c r="J240" s="64" t="s">
        <v>15</v>
      </c>
      <c r="K240" s="44" t="str">
        <f>INDEX(Helper!$F:$F, MATCH(J240, Helper!$E:$E, 0))</f>
        <v>#C2C2A1</v>
      </c>
      <c r="L240" s="45" t="s">
        <v>1284</v>
      </c>
      <c r="M240" s="45" t="s">
        <v>615</v>
      </c>
      <c r="N240" s="75" t="s">
        <v>1386</v>
      </c>
      <c r="O240" s="74" t="s">
        <v>1385</v>
      </c>
    </row>
    <row r="241" spans="1:15" ht="257.60000000000002" x14ac:dyDescent="0.4">
      <c r="A241" s="44">
        <v>238</v>
      </c>
      <c r="B241" s="44">
        <v>2</v>
      </c>
      <c r="C241" s="45" t="str">
        <f>INDEX(Helper!$N$2:$N$4, MATCH(B241, Helper!$M$2:$M$4, 0))</f>
        <v>Intermediate</v>
      </c>
      <c r="D241" s="45" t="s">
        <v>271</v>
      </c>
      <c r="E241" s="45" t="s">
        <v>1170</v>
      </c>
      <c r="F241" s="5">
        <v>0</v>
      </c>
      <c r="G241" s="44">
        <v>3</v>
      </c>
      <c r="H241" s="44" t="str">
        <f>INDEX(Helper!$C:$C, MATCH(G241, Helper!$A:$A, 0))</f>
        <v>Half Step Down (D#G#C#F#A#D#)</v>
      </c>
      <c r="I241" s="44" t="s">
        <v>795</v>
      </c>
      <c r="J241" s="64" t="s">
        <v>15</v>
      </c>
      <c r="K241" s="44" t="str">
        <f>INDEX(Helper!$F:$F, MATCH(J241, Helper!$E:$E, 0))</f>
        <v>#C2C2A1</v>
      </c>
      <c r="L241" s="45" t="s">
        <v>1285</v>
      </c>
      <c r="M241" s="45" t="s">
        <v>615</v>
      </c>
      <c r="N241" s="75" t="s">
        <v>1388</v>
      </c>
      <c r="O241" s="74" t="s">
        <v>1387</v>
      </c>
    </row>
    <row r="242" spans="1:15" ht="77.599999999999994" x14ac:dyDescent="0.4">
      <c r="A242" s="44">
        <v>239</v>
      </c>
      <c r="B242" s="44">
        <v>1</v>
      </c>
      <c r="C242" s="45" t="str">
        <f>INDEX(Helper!$N$2:$N$4, MATCH(B242, Helper!$M$2:$M$4, 0))</f>
        <v>Beginner</v>
      </c>
      <c r="D242" s="45" t="s">
        <v>271</v>
      </c>
      <c r="E242" s="45" t="s">
        <v>1265</v>
      </c>
      <c r="F242" s="5">
        <v>2</v>
      </c>
      <c r="G242" s="44">
        <v>11</v>
      </c>
      <c r="H242" s="44" t="str">
        <f>INDEX(Helper!$C:$C, MATCH(G242, Helper!$A:$A, 0))</f>
        <v>CGCFAD</v>
      </c>
      <c r="I242" s="44" t="s">
        <v>64</v>
      </c>
      <c r="J242" s="64" t="s">
        <v>15</v>
      </c>
      <c r="K242" s="44" t="str">
        <f>INDEX(Helper!$F:$F, MATCH(J242, Helper!$E:$E, 0))</f>
        <v>#C2C2A1</v>
      </c>
      <c r="L242" s="45" t="s">
        <v>1286</v>
      </c>
      <c r="M242" s="45" t="s">
        <v>615</v>
      </c>
      <c r="N242" s="75" t="s">
        <v>1389</v>
      </c>
      <c r="O242" s="74" t="s">
        <v>1390</v>
      </c>
    </row>
    <row r="243" spans="1:15" ht="77.599999999999994" x14ac:dyDescent="0.4">
      <c r="A243" s="44">
        <v>240</v>
      </c>
      <c r="B243" s="44">
        <v>1</v>
      </c>
      <c r="C243" s="45" t="str">
        <f>INDEX(Helper!$N$2:$N$4, MATCH(B243, Helper!$M$2:$M$4, 0))</f>
        <v>Beginner</v>
      </c>
      <c r="D243" s="45" t="s">
        <v>271</v>
      </c>
      <c r="E243" s="45" t="s">
        <v>1214</v>
      </c>
      <c r="F243" s="5">
        <v>0</v>
      </c>
      <c r="G243" s="44">
        <v>3</v>
      </c>
      <c r="H243" s="44" t="str">
        <f>INDEX(Helper!$C:$C, MATCH(G243, Helper!$A:$A, 0))</f>
        <v>Half Step Down (D#G#C#F#A#D#)</v>
      </c>
      <c r="I243" s="44" t="s">
        <v>68</v>
      </c>
      <c r="J243" s="64" t="s">
        <v>15</v>
      </c>
      <c r="K243" s="44" t="str">
        <f>INDEX(Helper!$F:$F, MATCH(J243, Helper!$E:$E, 0))</f>
        <v>#C2C2A1</v>
      </c>
      <c r="L243" s="45" t="s">
        <v>1288</v>
      </c>
      <c r="M243" s="45" t="s">
        <v>640</v>
      </c>
      <c r="N243" s="87" t="s">
        <v>1391</v>
      </c>
      <c r="O243" s="74" t="s">
        <v>1392</v>
      </c>
    </row>
    <row r="244" spans="1:15" ht="154.75" x14ac:dyDescent="0.4">
      <c r="A244" s="44">
        <v>241</v>
      </c>
      <c r="B244" s="44">
        <v>2</v>
      </c>
      <c r="C244" s="45" t="str">
        <f>INDEX(Helper!$N$2:$N$4, MATCH(B244, Helper!$M$2:$M$4, 0))</f>
        <v>Intermediate</v>
      </c>
      <c r="D244" s="45" t="s">
        <v>271</v>
      </c>
      <c r="E244" s="45" t="s">
        <v>1215</v>
      </c>
      <c r="F244" s="5">
        <v>0</v>
      </c>
      <c r="G244" s="44">
        <v>1</v>
      </c>
      <c r="H244" s="44" t="str">
        <f>INDEX(Helper!$C:$C, MATCH(G244, Helper!$A:$A, 0))</f>
        <v>Standard (EADGBE)</v>
      </c>
      <c r="I244" s="44" t="s">
        <v>61</v>
      </c>
      <c r="J244" s="64" t="s">
        <v>15</v>
      </c>
      <c r="K244" s="44" t="str">
        <f>INDEX(Helper!$F:$F, MATCH(J244, Helper!$E:$E, 0))</f>
        <v>#C2C2A1</v>
      </c>
      <c r="L244" s="45" t="s">
        <v>1287</v>
      </c>
      <c r="M244" s="45" t="s">
        <v>615</v>
      </c>
      <c r="N244" s="75" t="s">
        <v>1393</v>
      </c>
      <c r="O244" s="74" t="s">
        <v>1590</v>
      </c>
    </row>
    <row r="245" spans="1:15" ht="77.599999999999994" x14ac:dyDescent="0.4">
      <c r="A245" s="44">
        <v>242</v>
      </c>
      <c r="B245" s="44">
        <v>2</v>
      </c>
      <c r="C245" s="45" t="str">
        <f>INDEX(Helper!$N$2:$N$4, MATCH(B245, Helper!$M$2:$M$4, 0))</f>
        <v>Intermediate</v>
      </c>
      <c r="D245" s="45" t="s">
        <v>271</v>
      </c>
      <c r="E245" s="45" t="s">
        <v>1216</v>
      </c>
      <c r="F245" s="5">
        <v>2</v>
      </c>
      <c r="G245" s="44">
        <v>5</v>
      </c>
      <c r="H245" s="44" t="str">
        <f>INDEX(Helper!$C:$C, MATCH(G245, Helper!$A:$A, 0))</f>
        <v>Whole Step Down (DGCFAD)</v>
      </c>
      <c r="I245" s="44" t="s">
        <v>65</v>
      </c>
      <c r="J245" s="64" t="s">
        <v>15</v>
      </c>
      <c r="K245" s="44" t="str">
        <f>INDEX(Helper!$F:$F, MATCH(J245, Helper!$E:$E, 0))</f>
        <v>#C2C2A1</v>
      </c>
      <c r="L245" s="45" t="s">
        <v>1289</v>
      </c>
      <c r="M245" s="45" t="s">
        <v>615</v>
      </c>
      <c r="N245" s="87" t="s">
        <v>1394</v>
      </c>
      <c r="O245" s="74" t="s">
        <v>1395</v>
      </c>
    </row>
    <row r="246" spans="1:15" ht="77.599999999999994" x14ac:dyDescent="0.4">
      <c r="A246" s="44">
        <v>243</v>
      </c>
      <c r="B246" s="44">
        <v>2</v>
      </c>
      <c r="C246" s="45" t="str">
        <f>INDEX(Helper!$N$2:$N$4, MATCH(B246, Helper!$M$2:$M$4, 0))</f>
        <v>Intermediate</v>
      </c>
      <c r="D246" s="45" t="s">
        <v>34</v>
      </c>
      <c r="E246" s="45" t="s">
        <v>1266</v>
      </c>
      <c r="F246" s="5">
        <v>2</v>
      </c>
      <c r="G246" s="44">
        <v>1</v>
      </c>
      <c r="H246" s="44" t="str">
        <f>INDEX(Helper!$C:$C, MATCH(G246, Helper!$A:$A, 0))</f>
        <v>Standard (EADGBE)</v>
      </c>
      <c r="I246" s="44" t="s">
        <v>627</v>
      </c>
      <c r="J246" s="59" t="s">
        <v>10</v>
      </c>
      <c r="K246" s="44" t="str">
        <f>INDEX(Helper!$F:$F, MATCH(J246, Helper!$E:$E, 0))</f>
        <v>#F5943C</v>
      </c>
      <c r="L246" s="45" t="s">
        <v>1290</v>
      </c>
      <c r="M246" s="45" t="s">
        <v>615</v>
      </c>
      <c r="N246" s="75" t="s">
        <v>1397</v>
      </c>
      <c r="O246" s="74" t="s">
        <v>1396</v>
      </c>
    </row>
    <row r="247" spans="1:15" ht="77.599999999999994" x14ac:dyDescent="0.4">
      <c r="A247" s="44">
        <v>244</v>
      </c>
      <c r="B247" s="44">
        <v>3</v>
      </c>
      <c r="C247" s="45" t="str">
        <f>INDEX(Helper!$N$2:$N$4, MATCH(B247, Helper!$M$2:$M$4, 0))</f>
        <v>Advanced</v>
      </c>
      <c r="D247" s="45" t="s">
        <v>34</v>
      </c>
      <c r="E247" s="45" t="s">
        <v>1217</v>
      </c>
      <c r="F247" s="5">
        <v>2</v>
      </c>
      <c r="G247" s="44">
        <v>1</v>
      </c>
      <c r="H247" s="44" t="str">
        <f>INDEX(Helper!$C:$C, MATCH(G247, Helper!$A:$A, 0))</f>
        <v>Standard (EADGBE)</v>
      </c>
      <c r="I247" s="44" t="s">
        <v>627</v>
      </c>
      <c r="J247" s="59" t="s">
        <v>10</v>
      </c>
      <c r="K247" s="44" t="str">
        <f>INDEX(Helper!$F:$F, MATCH(J247, Helper!$E:$E, 0))</f>
        <v>#F5943C</v>
      </c>
      <c r="L247" s="45" t="s">
        <v>1291</v>
      </c>
      <c r="M247" s="45" t="s">
        <v>615</v>
      </c>
      <c r="N247" s="75" t="s">
        <v>1399</v>
      </c>
      <c r="O247" s="74" t="s">
        <v>1398</v>
      </c>
    </row>
    <row r="248" spans="1:15" ht="77.599999999999994" x14ac:dyDescent="0.4">
      <c r="A248" s="44">
        <v>245</v>
      </c>
      <c r="B248" s="44">
        <v>2</v>
      </c>
      <c r="C248" s="45" t="str">
        <f>INDEX(Helper!$N$2:$N$4, MATCH(B248, Helper!$M$2:$M$4, 0))</f>
        <v>Intermediate</v>
      </c>
      <c r="D248" s="45" t="s">
        <v>34</v>
      </c>
      <c r="E248" s="45" t="s">
        <v>1218</v>
      </c>
      <c r="F248" s="5">
        <v>2</v>
      </c>
      <c r="G248" s="44">
        <v>1</v>
      </c>
      <c r="H248" s="44" t="str">
        <f>INDEX(Helper!$C:$C, MATCH(G248, Helper!$A:$A, 0))</f>
        <v>Standard (EADGBE)</v>
      </c>
      <c r="I248" s="44" t="s">
        <v>627</v>
      </c>
      <c r="J248" s="59" t="s">
        <v>10</v>
      </c>
      <c r="K248" s="44" t="str">
        <f>INDEX(Helper!$F:$F, MATCH(J248, Helper!$E:$E, 0))</f>
        <v>#F5943C</v>
      </c>
      <c r="L248" s="45" t="s">
        <v>1292</v>
      </c>
      <c r="M248" s="45" t="s">
        <v>640</v>
      </c>
      <c r="N248" s="85" t="s">
        <v>1401</v>
      </c>
      <c r="O248" s="74" t="s">
        <v>1400</v>
      </c>
    </row>
    <row r="249" spans="1:15" ht="116.15" x14ac:dyDescent="0.4">
      <c r="A249" s="44">
        <v>246</v>
      </c>
      <c r="B249" s="44">
        <v>2</v>
      </c>
      <c r="C249" s="45" t="str">
        <f>INDEX(Helper!$N$2:$N$4, MATCH(B249, Helper!$M$2:$M$4, 0))</f>
        <v>Intermediate</v>
      </c>
      <c r="D249" s="45" t="s">
        <v>34</v>
      </c>
      <c r="E249" s="45" t="s">
        <v>1219</v>
      </c>
      <c r="F249" s="5">
        <v>2</v>
      </c>
      <c r="G249" s="44">
        <v>1</v>
      </c>
      <c r="H249" s="44" t="str">
        <f>INDEX(Helper!$C:$C, MATCH(G249, Helper!$A:$A, 0))</f>
        <v>Standard (EADGBE)</v>
      </c>
      <c r="I249" s="44" t="s">
        <v>65</v>
      </c>
      <c r="J249" s="59" t="s">
        <v>10</v>
      </c>
      <c r="K249" s="44" t="str">
        <f>INDEX(Helper!$F:$F, MATCH(J249, Helper!$E:$E, 0))</f>
        <v>#F5943C</v>
      </c>
      <c r="L249" s="45" t="s">
        <v>1293</v>
      </c>
      <c r="M249" s="45" t="s">
        <v>615</v>
      </c>
      <c r="N249" s="75" t="s">
        <v>1402</v>
      </c>
      <c r="O249" s="74" t="s">
        <v>1575</v>
      </c>
    </row>
    <row r="250" spans="1:15" ht="167.6" x14ac:dyDescent="0.4">
      <c r="A250" s="44">
        <v>247</v>
      </c>
      <c r="B250" s="44">
        <v>2</v>
      </c>
      <c r="C250" s="45" t="str">
        <f>INDEX(Helper!$N$2:$N$4, MATCH(B250, Helper!$M$2:$M$4, 0))</f>
        <v>Intermediate</v>
      </c>
      <c r="D250" s="45" t="s">
        <v>34</v>
      </c>
      <c r="E250" s="45" t="s">
        <v>1220</v>
      </c>
      <c r="F250" s="5">
        <v>0</v>
      </c>
      <c r="G250" s="44">
        <v>1</v>
      </c>
      <c r="H250" s="44" t="str">
        <f>INDEX(Helper!$C:$C, MATCH(G250, Helper!$A:$A, 0))</f>
        <v>Standard (EADGBE)</v>
      </c>
      <c r="I250" s="44" t="s">
        <v>59</v>
      </c>
      <c r="J250" s="59" t="s">
        <v>10</v>
      </c>
      <c r="K250" s="44" t="str">
        <f>INDEX(Helper!$F:$F, MATCH(J250, Helper!$E:$E, 0))</f>
        <v>#F5943C</v>
      </c>
      <c r="L250" s="45" t="s">
        <v>1294</v>
      </c>
      <c r="M250" s="45" t="s">
        <v>615</v>
      </c>
      <c r="N250" s="75" t="s">
        <v>1404</v>
      </c>
      <c r="O250" s="74" t="s">
        <v>1403</v>
      </c>
    </row>
    <row r="251" spans="1:15" ht="77.599999999999994" x14ac:dyDescent="0.4">
      <c r="A251" s="44">
        <v>248</v>
      </c>
      <c r="B251" s="44">
        <v>1</v>
      </c>
      <c r="C251" s="45" t="str">
        <f>INDEX(Helper!$N$2:$N$4, MATCH(B251, Helper!$M$2:$M$4, 0))</f>
        <v>Beginner</v>
      </c>
      <c r="D251" s="45" t="s">
        <v>34</v>
      </c>
      <c r="E251" s="45" t="s">
        <v>1221</v>
      </c>
      <c r="F251" s="5">
        <v>2</v>
      </c>
      <c r="G251" s="44">
        <v>1</v>
      </c>
      <c r="H251" s="44" t="str">
        <f>INDEX(Helper!$C:$C, MATCH(G251, Helper!$A:$A, 0))</f>
        <v>Standard (EADGBE)</v>
      </c>
      <c r="I251" s="44" t="s">
        <v>63</v>
      </c>
      <c r="J251" s="59" t="s">
        <v>10</v>
      </c>
      <c r="K251" s="44" t="str">
        <f>INDEX(Helper!$F:$F, MATCH(J251, Helper!$E:$E, 0))</f>
        <v>#F5943C</v>
      </c>
      <c r="L251" s="45" t="s">
        <v>1295</v>
      </c>
      <c r="M251" s="45" t="s">
        <v>615</v>
      </c>
      <c r="N251" s="87" t="s">
        <v>1405</v>
      </c>
      <c r="O251" s="74" t="s">
        <v>1578</v>
      </c>
    </row>
    <row r="252" spans="1:15" ht="77.599999999999994" x14ac:dyDescent="0.4">
      <c r="A252" s="44">
        <v>249</v>
      </c>
      <c r="B252" s="44">
        <v>1</v>
      </c>
      <c r="C252" s="45" t="str">
        <f>INDEX(Helper!$N$2:$N$4, MATCH(B252, Helper!$M$2:$M$4, 0))</f>
        <v>Beginner</v>
      </c>
      <c r="D252" s="45" t="s">
        <v>34</v>
      </c>
      <c r="E252" s="45" t="s">
        <v>1267</v>
      </c>
      <c r="F252" s="5">
        <v>0</v>
      </c>
      <c r="G252" s="44">
        <v>3</v>
      </c>
      <c r="H252" s="44" t="str">
        <f>INDEX(Helper!$C:$C, MATCH(G252, Helper!$A:$A, 0))</f>
        <v>Half Step Down (D#G#C#F#A#D#)</v>
      </c>
      <c r="I252" s="44" t="s">
        <v>394</v>
      </c>
      <c r="J252" s="59" t="s">
        <v>10</v>
      </c>
      <c r="K252" s="44" t="str">
        <f>INDEX(Helper!$F:$F, MATCH(J252, Helper!$E:$E, 0))</f>
        <v>#F5943C</v>
      </c>
      <c r="L252" s="45" t="s">
        <v>1296</v>
      </c>
      <c r="M252" s="45" t="s">
        <v>615</v>
      </c>
      <c r="N252" s="87" t="s">
        <v>1406</v>
      </c>
      <c r="O252" s="74" t="s">
        <v>1407</v>
      </c>
    </row>
    <row r="253" spans="1:15" ht="77.599999999999994" x14ac:dyDescent="0.4">
      <c r="A253" s="44">
        <v>250</v>
      </c>
      <c r="B253" s="44">
        <v>2</v>
      </c>
      <c r="C253" s="45" t="str">
        <f>INDEX(Helper!$N$2:$N$4, MATCH(B253, Helper!$M$2:$M$4, 0))</f>
        <v>Intermediate</v>
      </c>
      <c r="D253" s="45" t="s">
        <v>34</v>
      </c>
      <c r="E253" s="45" t="s">
        <v>1222</v>
      </c>
      <c r="F253" s="5">
        <v>0</v>
      </c>
      <c r="G253" s="44">
        <v>3</v>
      </c>
      <c r="H253" s="44" t="str">
        <f>INDEX(Helper!$C:$C, MATCH(G253, Helper!$A:$A, 0))</f>
        <v>Half Step Down (D#G#C#F#A#D#)</v>
      </c>
      <c r="I253" s="44" t="s">
        <v>66</v>
      </c>
      <c r="J253" s="59" t="s">
        <v>10</v>
      </c>
      <c r="K253" s="44" t="str">
        <f>INDEX(Helper!$F:$F, MATCH(J253, Helper!$E:$E, 0))</f>
        <v>#F5943C</v>
      </c>
      <c r="L253" s="45" t="s">
        <v>1297</v>
      </c>
      <c r="M253" s="45" t="s">
        <v>615</v>
      </c>
      <c r="N253" s="75" t="s">
        <v>1408</v>
      </c>
      <c r="O253" s="74" t="s">
        <v>1409</v>
      </c>
    </row>
    <row r="254" spans="1:15" ht="347.6" x14ac:dyDescent="0.4">
      <c r="A254" s="44">
        <v>251</v>
      </c>
      <c r="B254" s="44">
        <v>1</v>
      </c>
      <c r="C254" s="45" t="str">
        <f>INDEX(Helper!$N$2:$N$4, MATCH(B254, Helper!$M$2:$M$4, 0))</f>
        <v>Beginner</v>
      </c>
      <c r="D254" s="45" t="s">
        <v>34</v>
      </c>
      <c r="E254" s="45" t="s">
        <v>1223</v>
      </c>
      <c r="F254" s="5">
        <v>2</v>
      </c>
      <c r="G254" s="44">
        <v>3</v>
      </c>
      <c r="H254" s="44" t="str">
        <f>INDEX(Helper!$C:$C, MATCH(G254, Helper!$A:$A, 0))</f>
        <v>Half Step Down (D#G#C#F#A#D#)</v>
      </c>
      <c r="I254" s="44" t="s">
        <v>795</v>
      </c>
      <c r="J254" s="59" t="s">
        <v>10</v>
      </c>
      <c r="K254" s="44" t="str">
        <f>INDEX(Helper!$F:$F, MATCH(J254, Helper!$E:$E, 0))</f>
        <v>#F5943C</v>
      </c>
      <c r="L254" s="45" t="s">
        <v>1298</v>
      </c>
      <c r="M254" s="45" t="s">
        <v>615</v>
      </c>
      <c r="N254" s="75" t="s">
        <v>1411</v>
      </c>
      <c r="O254" s="74" t="s">
        <v>1410</v>
      </c>
    </row>
    <row r="255" spans="1:15" ht="77.599999999999994" x14ac:dyDescent="0.4">
      <c r="A255" s="44">
        <v>252</v>
      </c>
      <c r="B255" s="44">
        <v>2</v>
      </c>
      <c r="C255" s="45" t="str">
        <f>INDEX(Helper!$N$2:$N$4, MATCH(B255, Helper!$M$2:$M$4, 0))</f>
        <v>Intermediate</v>
      </c>
      <c r="D255" s="45" t="s">
        <v>34</v>
      </c>
      <c r="E255" s="45" t="s">
        <v>1224</v>
      </c>
      <c r="F255" s="5">
        <v>2</v>
      </c>
      <c r="G255" s="44">
        <v>1</v>
      </c>
      <c r="H255" s="44" t="str">
        <f>INDEX(Helper!$C:$C, MATCH(G255, Helper!$A:$A, 0))</f>
        <v>Standard (EADGBE)</v>
      </c>
      <c r="I255" s="44" t="s">
        <v>1268</v>
      </c>
      <c r="J255" s="59" t="s">
        <v>10</v>
      </c>
      <c r="K255" s="44" t="str">
        <f>INDEX(Helper!$F:$F, MATCH(J255, Helper!$E:$E, 0))</f>
        <v>#F5943C</v>
      </c>
      <c r="L255" s="45" t="s">
        <v>1299</v>
      </c>
      <c r="M255" s="45" t="s">
        <v>615</v>
      </c>
      <c r="N255" s="75" t="s">
        <v>1412</v>
      </c>
      <c r="O255" s="74" t="s">
        <v>1413</v>
      </c>
    </row>
    <row r="256" spans="1:15" ht="77.599999999999994" x14ac:dyDescent="0.4">
      <c r="A256" s="44">
        <v>253</v>
      </c>
      <c r="B256" s="44">
        <v>1</v>
      </c>
      <c r="C256" s="45" t="str">
        <f>INDEX(Helper!$N$2:$N$4, MATCH(B256, Helper!$M$2:$M$4, 0))</f>
        <v>Beginner</v>
      </c>
      <c r="D256" s="45" t="s">
        <v>34</v>
      </c>
      <c r="E256" s="45" t="s">
        <v>1171</v>
      </c>
      <c r="F256" s="5">
        <v>0</v>
      </c>
      <c r="G256" s="44">
        <v>1</v>
      </c>
      <c r="H256" s="44" t="str">
        <f>INDEX(Helper!$C:$C, MATCH(G256, Helper!$A:$A, 0))</f>
        <v>Standard (EADGBE)</v>
      </c>
      <c r="I256" s="44" t="s">
        <v>394</v>
      </c>
      <c r="J256" s="59" t="s">
        <v>10</v>
      </c>
      <c r="K256" s="44" t="str">
        <f>INDEX(Helper!$F:$F, MATCH(J256, Helper!$E:$E, 0))</f>
        <v>#F5943C</v>
      </c>
      <c r="L256" s="45" t="s">
        <v>1300</v>
      </c>
      <c r="M256" s="45" t="s">
        <v>615</v>
      </c>
      <c r="N256" s="87" t="s">
        <v>1415</v>
      </c>
      <c r="O256" s="74" t="s">
        <v>1414</v>
      </c>
    </row>
    <row r="257" spans="1:15" ht="77.599999999999994" x14ac:dyDescent="0.4">
      <c r="A257" s="44">
        <v>254</v>
      </c>
      <c r="B257" s="44">
        <v>2</v>
      </c>
      <c r="C257" s="45" t="str">
        <f>INDEX(Helper!$N$2:$N$4, MATCH(B257, Helper!$M$2:$M$4, 0))</f>
        <v>Intermediate</v>
      </c>
      <c r="D257" s="45" t="s">
        <v>34</v>
      </c>
      <c r="E257" s="45" t="s">
        <v>1172</v>
      </c>
      <c r="F257" s="5">
        <v>2</v>
      </c>
      <c r="G257" s="44">
        <v>1</v>
      </c>
      <c r="H257" s="44" t="str">
        <f>INDEX(Helper!$C:$C, MATCH(G257, Helper!$A:$A, 0))</f>
        <v>Standard (EADGBE)</v>
      </c>
      <c r="I257" s="44" t="s">
        <v>394</v>
      </c>
      <c r="J257" s="59" t="s">
        <v>10</v>
      </c>
      <c r="K257" s="44" t="str">
        <f>INDEX(Helper!$F:$F, MATCH(J257, Helper!$E:$E, 0))</f>
        <v>#F5943C</v>
      </c>
      <c r="L257" s="45" t="s">
        <v>1301</v>
      </c>
      <c r="M257" s="45" t="s">
        <v>615</v>
      </c>
      <c r="N257" s="75" t="s">
        <v>1417</v>
      </c>
      <c r="O257" s="74" t="s">
        <v>1416</v>
      </c>
    </row>
    <row r="258" spans="1:15" ht="167.6" x14ac:dyDescent="0.4">
      <c r="A258" s="44">
        <v>255</v>
      </c>
      <c r="B258" s="44">
        <v>1</v>
      </c>
      <c r="C258" s="45" t="str">
        <f>INDEX(Helper!$N$2:$N$4, MATCH(B258, Helper!$M$2:$M$4, 0))</f>
        <v>Beginner</v>
      </c>
      <c r="D258" s="45" t="s">
        <v>232</v>
      </c>
      <c r="E258" s="45" t="s">
        <v>1225</v>
      </c>
      <c r="F258" s="5">
        <v>2</v>
      </c>
      <c r="G258" s="44">
        <v>3</v>
      </c>
      <c r="H258" s="44" t="str">
        <f>INDEX(Helper!$C:$C, MATCH(G258, Helper!$A:$A, 0))</f>
        <v>Half Step Down (D#G#C#F#A#D#)</v>
      </c>
      <c r="I258" s="44" t="s">
        <v>795</v>
      </c>
      <c r="J258" s="65" t="s">
        <v>13</v>
      </c>
      <c r="K258" s="44" t="str">
        <f>INDEX(Helper!$F:$F, MATCH(J258, Helper!$E:$E, 0))</f>
        <v>#FF4F53</v>
      </c>
      <c r="L258" s="45" t="s">
        <v>1302</v>
      </c>
      <c r="M258" s="45" t="s">
        <v>615</v>
      </c>
      <c r="N258" s="87" t="s">
        <v>1419</v>
      </c>
      <c r="O258" s="74" t="s">
        <v>1418</v>
      </c>
    </row>
    <row r="259" spans="1:15" ht="77.599999999999994" x14ac:dyDescent="0.4">
      <c r="A259" s="44">
        <v>256</v>
      </c>
      <c r="B259" s="44">
        <v>1</v>
      </c>
      <c r="C259" s="45" t="str">
        <f>INDEX(Helper!$N$2:$N$4, MATCH(B259, Helper!$M$2:$M$4, 0))</f>
        <v>Beginner</v>
      </c>
      <c r="D259" s="45" t="s">
        <v>232</v>
      </c>
      <c r="E259" s="45" t="s">
        <v>1226</v>
      </c>
      <c r="F259" s="5">
        <v>0</v>
      </c>
      <c r="G259" s="44">
        <v>9</v>
      </c>
      <c r="H259" s="44" t="str">
        <f>INDEX(Helper!$C:$C, MATCH(G259, Helper!$A:$A, 0))</f>
        <v>C#G#C#F#A#D#</v>
      </c>
      <c r="I259" s="44" t="s">
        <v>70</v>
      </c>
      <c r="J259" s="65" t="s">
        <v>13</v>
      </c>
      <c r="K259" s="44" t="str">
        <f>INDEX(Helper!$F:$F, MATCH(J259, Helper!$E:$E, 0))</f>
        <v>#FF4F53</v>
      </c>
      <c r="L259" s="45" t="s">
        <v>1303</v>
      </c>
      <c r="M259" s="45" t="s">
        <v>615</v>
      </c>
      <c r="N259" s="75" t="s">
        <v>1420</v>
      </c>
      <c r="O259" s="74" t="s">
        <v>1421</v>
      </c>
    </row>
    <row r="260" spans="1:15" ht="77.599999999999994" x14ac:dyDescent="0.4">
      <c r="A260" s="44">
        <v>257</v>
      </c>
      <c r="B260" s="44">
        <v>1</v>
      </c>
      <c r="C260" s="45" t="str">
        <f>INDEX(Helper!$N$2:$N$4, MATCH(B260, Helper!$M$2:$M$4, 0))</f>
        <v>Beginner</v>
      </c>
      <c r="D260" s="45" t="s">
        <v>232</v>
      </c>
      <c r="E260" s="45" t="s">
        <v>1173</v>
      </c>
      <c r="F260" s="5">
        <v>2</v>
      </c>
      <c r="G260" s="44">
        <v>3</v>
      </c>
      <c r="H260" s="44" t="str">
        <f>INDEX(Helper!$C:$C, MATCH(G260, Helper!$A:$A, 0))</f>
        <v>Half Step Down (D#G#C#F#A#D#)</v>
      </c>
      <c r="I260" s="44" t="s">
        <v>70</v>
      </c>
      <c r="J260" s="65" t="s">
        <v>13</v>
      </c>
      <c r="K260" s="44" t="str">
        <f>INDEX(Helper!$F:$F, MATCH(J260, Helper!$E:$E, 0))</f>
        <v>#FF4F53</v>
      </c>
      <c r="L260" s="45" t="s">
        <v>1304</v>
      </c>
      <c r="M260" s="45" t="s">
        <v>615</v>
      </c>
      <c r="N260" s="87" t="s">
        <v>1423</v>
      </c>
      <c r="O260" s="74" t="s">
        <v>1422</v>
      </c>
    </row>
    <row r="261" spans="1:15" ht="77.599999999999994" x14ac:dyDescent="0.4">
      <c r="A261" s="44">
        <v>258</v>
      </c>
      <c r="B261" s="44">
        <v>2</v>
      </c>
      <c r="C261" s="45" t="str">
        <f>INDEX(Helper!$N$2:$N$4, MATCH(B261, Helper!$M$2:$M$4, 0))</f>
        <v>Intermediate</v>
      </c>
      <c r="D261" s="45" t="s">
        <v>232</v>
      </c>
      <c r="E261" s="45" t="s">
        <v>1174</v>
      </c>
      <c r="F261" s="5">
        <v>0</v>
      </c>
      <c r="G261" s="44">
        <v>5</v>
      </c>
      <c r="H261" s="44" t="str">
        <f>INDEX(Helper!$C:$C, MATCH(G261, Helper!$A:$A, 0))</f>
        <v>Whole Step Down (DGCFAD)</v>
      </c>
      <c r="I261" s="44" t="s">
        <v>65</v>
      </c>
      <c r="J261" s="65" t="s">
        <v>13</v>
      </c>
      <c r="K261" s="44" t="str">
        <f>INDEX(Helper!$F:$F, MATCH(J261, Helper!$E:$E, 0))</f>
        <v>#FF4F53</v>
      </c>
      <c r="L261" s="45" t="s">
        <v>1305</v>
      </c>
      <c r="M261" s="45" t="s">
        <v>615</v>
      </c>
      <c r="N261" s="75" t="s">
        <v>1427</v>
      </c>
      <c r="O261" s="74" t="s">
        <v>1424</v>
      </c>
    </row>
    <row r="262" spans="1:15" ht="257.60000000000002" x14ac:dyDescent="0.4">
      <c r="A262" s="44">
        <v>259</v>
      </c>
      <c r="B262" s="44">
        <v>2</v>
      </c>
      <c r="C262" s="45" t="str">
        <f>INDEX(Helper!$N$2:$N$4, MATCH(B262, Helper!$M$2:$M$4, 0))</f>
        <v>Intermediate</v>
      </c>
      <c r="D262" s="45" t="s">
        <v>232</v>
      </c>
      <c r="E262" s="45" t="s">
        <v>1227</v>
      </c>
      <c r="F262" s="5">
        <v>2</v>
      </c>
      <c r="G262" s="44">
        <v>1</v>
      </c>
      <c r="H262" s="44" t="str">
        <f>INDEX(Helper!$C:$C, MATCH(G262, Helper!$A:$A, 0))</f>
        <v>Standard (EADGBE)</v>
      </c>
      <c r="I262" s="44" t="s">
        <v>843</v>
      </c>
      <c r="J262" s="65" t="s">
        <v>13</v>
      </c>
      <c r="K262" s="44" t="str">
        <f>INDEX(Helper!$F:$F, MATCH(J262, Helper!$E:$E, 0))</f>
        <v>#FF4F53</v>
      </c>
      <c r="L262" s="45" t="s">
        <v>1306</v>
      </c>
      <c r="M262" s="45" t="s">
        <v>615</v>
      </c>
      <c r="N262" s="87" t="s">
        <v>1426</v>
      </c>
      <c r="O262" s="74" t="s">
        <v>1425</v>
      </c>
    </row>
    <row r="263" spans="1:15" ht="77.599999999999994" x14ac:dyDescent="0.4">
      <c r="A263" s="44">
        <v>260</v>
      </c>
      <c r="B263" s="44">
        <v>2</v>
      </c>
      <c r="C263" s="45" t="str">
        <f>INDEX(Helper!$N$2:$N$4, MATCH(B263, Helper!$M$2:$M$4, 0))</f>
        <v>Intermediate</v>
      </c>
      <c r="D263" s="45" t="s">
        <v>1177</v>
      </c>
      <c r="E263" s="45" t="s">
        <v>1228</v>
      </c>
      <c r="F263" s="5">
        <v>2</v>
      </c>
      <c r="G263" s="44">
        <v>1</v>
      </c>
      <c r="H263" s="44" t="str">
        <f>INDEX(Helper!$C:$C, MATCH(G263, Helper!$A:$A, 0))</f>
        <v>Standard (EADGBE)</v>
      </c>
      <c r="I263" s="44" t="s">
        <v>627</v>
      </c>
      <c r="J263" s="65" t="s">
        <v>13</v>
      </c>
      <c r="K263" s="44" t="str">
        <f>INDEX(Helper!$F:$F, MATCH(J263, Helper!$E:$E, 0))</f>
        <v>#FF4F53</v>
      </c>
      <c r="L263" s="45" t="s">
        <v>1307</v>
      </c>
      <c r="M263" s="45" t="s">
        <v>615</v>
      </c>
      <c r="N263" s="85" t="s">
        <v>1428</v>
      </c>
      <c r="O263" s="74" t="s">
        <v>1430</v>
      </c>
    </row>
    <row r="264" spans="1:15" ht="77.599999999999994" x14ac:dyDescent="0.4">
      <c r="A264" s="44">
        <v>261</v>
      </c>
      <c r="B264" s="44">
        <v>1</v>
      </c>
      <c r="C264" s="45" t="str">
        <f>INDEX(Helper!$N$2:$N$4, MATCH(B264, Helper!$M$2:$M$4, 0))</f>
        <v>Beginner</v>
      </c>
      <c r="D264" s="45" t="s">
        <v>1177</v>
      </c>
      <c r="E264" s="45" t="s">
        <v>1175</v>
      </c>
      <c r="F264" s="5">
        <v>0</v>
      </c>
      <c r="G264" s="44">
        <v>1</v>
      </c>
      <c r="H264" s="44" t="str">
        <f>INDEX(Helper!$C:$C, MATCH(G264, Helper!$A:$A, 0))</f>
        <v>Standard (EADGBE)</v>
      </c>
      <c r="I264" s="44" t="s">
        <v>627</v>
      </c>
      <c r="J264" s="65" t="s">
        <v>13</v>
      </c>
      <c r="K264" s="44" t="str">
        <f>INDEX(Helper!$F:$F, MATCH(J264, Helper!$E:$E, 0))</f>
        <v>#FF4F53</v>
      </c>
      <c r="L264" s="45" t="s">
        <v>1308</v>
      </c>
      <c r="M264" s="45" t="s">
        <v>615</v>
      </c>
      <c r="N264" s="87" t="s">
        <v>1429</v>
      </c>
      <c r="O264" s="74" t="s">
        <v>1576</v>
      </c>
    </row>
    <row r="265" spans="1:15" ht="77.599999999999994" x14ac:dyDescent="0.4">
      <c r="A265" s="44">
        <v>262</v>
      </c>
      <c r="B265" s="44">
        <v>2</v>
      </c>
      <c r="C265" s="45" t="str">
        <f>INDEX(Helper!$N$2:$N$4, MATCH(B265, Helper!$M$2:$M$4, 0))</f>
        <v>Intermediate</v>
      </c>
      <c r="D265" s="45" t="s">
        <v>1177</v>
      </c>
      <c r="E265" s="45" t="s">
        <v>1229</v>
      </c>
      <c r="F265" s="5">
        <v>0</v>
      </c>
      <c r="G265" s="44">
        <v>1</v>
      </c>
      <c r="H265" s="44" t="str">
        <f>INDEX(Helper!$C:$C, MATCH(G265, Helper!$A:$A, 0))</f>
        <v>Standard (EADGBE)</v>
      </c>
      <c r="I265" s="44" t="s">
        <v>61</v>
      </c>
      <c r="J265" s="65" t="s">
        <v>13</v>
      </c>
      <c r="K265" s="44" t="str">
        <f>INDEX(Helper!$F:$F, MATCH(J265, Helper!$E:$E, 0))</f>
        <v>#FF4F53</v>
      </c>
      <c r="L265" s="45" t="s">
        <v>1309</v>
      </c>
      <c r="M265" s="45" t="s">
        <v>615</v>
      </c>
      <c r="N265" s="87" t="s">
        <v>1432</v>
      </c>
      <c r="O265" s="74" t="s">
        <v>1431</v>
      </c>
    </row>
    <row r="266" spans="1:15" ht="77.599999999999994" x14ac:dyDescent="0.4">
      <c r="A266" s="44">
        <v>263</v>
      </c>
      <c r="B266" s="44">
        <v>2</v>
      </c>
      <c r="C266" s="45" t="str">
        <f>INDEX(Helper!$N$2:$N$4, MATCH(B266, Helper!$M$2:$M$4, 0))</f>
        <v>Intermediate</v>
      </c>
      <c r="D266" s="45" t="s">
        <v>1177</v>
      </c>
      <c r="E266" s="45" t="s">
        <v>1176</v>
      </c>
      <c r="F266" s="5">
        <v>2</v>
      </c>
      <c r="G266" s="44">
        <v>1</v>
      </c>
      <c r="H266" s="44" t="str">
        <f>INDEX(Helper!$C:$C, MATCH(G266, Helper!$A:$A, 0))</f>
        <v>Standard (EADGBE)</v>
      </c>
      <c r="I266" s="44" t="s">
        <v>394</v>
      </c>
      <c r="J266" s="65" t="s">
        <v>13</v>
      </c>
      <c r="K266" s="44" t="str">
        <f>INDEX(Helper!$F:$F, MATCH(J266, Helper!$E:$E, 0))</f>
        <v>#FF4F53</v>
      </c>
      <c r="L266" s="45" t="s">
        <v>1310</v>
      </c>
      <c r="M266" s="45" t="s">
        <v>615</v>
      </c>
      <c r="N266" s="87" t="s">
        <v>1434</v>
      </c>
      <c r="O266" s="74" t="s">
        <v>1433</v>
      </c>
    </row>
    <row r="267" spans="1:15" ht="77.599999999999994" x14ac:dyDescent="0.4">
      <c r="A267" s="44">
        <v>264</v>
      </c>
      <c r="B267" s="44">
        <v>2</v>
      </c>
      <c r="C267" s="45" t="str">
        <f>INDEX(Helper!$N$2:$N$4, MATCH(B267, Helper!$M$2:$M$4, 0))</f>
        <v>Intermediate</v>
      </c>
      <c r="D267" s="45" t="s">
        <v>1179</v>
      </c>
      <c r="E267" s="45" t="s">
        <v>1230</v>
      </c>
      <c r="F267" s="5">
        <v>0</v>
      </c>
      <c r="G267" s="44">
        <v>1</v>
      </c>
      <c r="H267" s="44" t="str">
        <f>INDEX(Helper!$C:$C, MATCH(G267, Helper!$A:$A, 0))</f>
        <v>Standard (EADGBE)</v>
      </c>
      <c r="I267" s="44" t="s">
        <v>1268</v>
      </c>
      <c r="J267" s="60" t="s">
        <v>1254</v>
      </c>
      <c r="K267" s="44" t="str">
        <f>INDEX(Helper!$F:$F, MATCH(J267, Helper!$E:$E, 0))</f>
        <v>#B3F141</v>
      </c>
      <c r="L267" s="45" t="s">
        <v>1311</v>
      </c>
      <c r="M267" s="45" t="s">
        <v>615</v>
      </c>
      <c r="N267" s="75" t="s">
        <v>1436</v>
      </c>
      <c r="O267" s="74" t="s">
        <v>1435</v>
      </c>
    </row>
    <row r="268" spans="1:15" ht="77.599999999999994" x14ac:dyDescent="0.4">
      <c r="A268" s="44">
        <v>265</v>
      </c>
      <c r="B268" s="44">
        <v>1</v>
      </c>
      <c r="C268" s="45" t="str">
        <f>INDEX(Helper!$N$2:$N$4, MATCH(B268, Helper!$M$2:$M$4, 0))</f>
        <v>Beginner</v>
      </c>
      <c r="D268" s="45" t="s">
        <v>1179</v>
      </c>
      <c r="E268" s="45" t="s">
        <v>1231</v>
      </c>
      <c r="F268" s="5">
        <v>2</v>
      </c>
      <c r="G268" s="44">
        <v>1</v>
      </c>
      <c r="H268" s="44" t="str">
        <f>INDEX(Helper!$C:$C, MATCH(G268, Helper!$A:$A, 0))</f>
        <v>Standard (EADGBE)</v>
      </c>
      <c r="I268" s="44" t="s">
        <v>627</v>
      </c>
      <c r="J268" s="60" t="s">
        <v>1254</v>
      </c>
      <c r="K268" s="44" t="str">
        <f>INDEX(Helper!$F:$F, MATCH(J268, Helper!$E:$E, 0))</f>
        <v>#B3F141</v>
      </c>
      <c r="L268" s="45" t="s">
        <v>1312</v>
      </c>
      <c r="M268" s="45" t="s">
        <v>615</v>
      </c>
      <c r="N268" s="87" t="s">
        <v>1438</v>
      </c>
      <c r="O268" s="74" t="s">
        <v>1437</v>
      </c>
    </row>
    <row r="269" spans="1:15" ht="77.599999999999994" x14ac:dyDescent="0.4">
      <c r="A269" s="44">
        <v>266</v>
      </c>
      <c r="B269" s="44">
        <v>1</v>
      </c>
      <c r="C269" s="45" t="str">
        <f>INDEX(Helper!$N$2:$N$4, MATCH(B269, Helper!$M$2:$M$4, 0))</f>
        <v>Beginner</v>
      </c>
      <c r="D269" s="45" t="s">
        <v>1179</v>
      </c>
      <c r="E269" s="45" t="s">
        <v>1178</v>
      </c>
      <c r="F269" s="5">
        <v>0</v>
      </c>
      <c r="G269" s="44">
        <v>1</v>
      </c>
      <c r="H269" s="44" t="str">
        <f>INDEX(Helper!$C:$C, MATCH(G269, Helper!$A:$A, 0))</f>
        <v>Standard (EADGBE)</v>
      </c>
      <c r="I269" s="44" t="s">
        <v>795</v>
      </c>
      <c r="J269" s="60" t="s">
        <v>1254</v>
      </c>
      <c r="K269" s="44" t="str">
        <f>INDEX(Helper!$F:$F, MATCH(J269, Helper!$E:$E, 0))</f>
        <v>#B3F141</v>
      </c>
      <c r="L269" s="45" t="s">
        <v>1313</v>
      </c>
      <c r="M269" s="45" t="s">
        <v>615</v>
      </c>
      <c r="N269" s="87" t="s">
        <v>1439</v>
      </c>
      <c r="O269" s="74" t="s">
        <v>1577</v>
      </c>
    </row>
    <row r="270" spans="1:15" ht="167.15" x14ac:dyDescent="0.4">
      <c r="A270" s="44">
        <v>267</v>
      </c>
      <c r="B270" s="44">
        <v>2</v>
      </c>
      <c r="C270" s="45" t="str">
        <f>INDEX(Helper!$N$2:$N$4, MATCH(B270, Helper!$M$2:$M$4, 0))</f>
        <v>Intermediate</v>
      </c>
      <c r="D270" s="45" t="s">
        <v>148</v>
      </c>
      <c r="E270" s="45" t="s">
        <v>1232</v>
      </c>
      <c r="F270" s="5">
        <v>2</v>
      </c>
      <c r="G270" s="44">
        <v>9</v>
      </c>
      <c r="H270" s="44" t="str">
        <f>INDEX(Helper!$C:$C, MATCH(G270, Helper!$A:$A, 0))</f>
        <v>C#G#C#F#A#D#</v>
      </c>
      <c r="I270" s="44" t="s">
        <v>637</v>
      </c>
      <c r="J270" s="64" t="s">
        <v>15</v>
      </c>
      <c r="K270" s="44" t="str">
        <f>INDEX(Helper!$F:$F, MATCH(J270, Helper!$E:$E, 0))</f>
        <v>#C2C2A1</v>
      </c>
      <c r="L270" s="45" t="s">
        <v>1314</v>
      </c>
      <c r="M270" s="45" t="s">
        <v>615</v>
      </c>
      <c r="N270" s="87" t="s">
        <v>1440</v>
      </c>
      <c r="O270" s="76" t="s">
        <v>1441</v>
      </c>
    </row>
    <row r="271" spans="1:15" ht="77.599999999999994" x14ac:dyDescent="0.4">
      <c r="A271" s="44">
        <v>268</v>
      </c>
      <c r="B271" s="44">
        <v>1</v>
      </c>
      <c r="C271" s="45" t="str">
        <f>INDEX(Helper!$N$2:$N$4, MATCH(B271, Helper!$M$2:$M$4, 0))</f>
        <v>Beginner</v>
      </c>
      <c r="D271" s="45" t="s">
        <v>148</v>
      </c>
      <c r="E271" s="45" t="s">
        <v>1233</v>
      </c>
      <c r="F271" s="5">
        <v>2</v>
      </c>
      <c r="G271" s="44">
        <v>15</v>
      </c>
      <c r="H271" s="44" t="str">
        <f>INDEX(Helper!$C:$C, MATCH(G271, Helper!$A:$A, 0))</f>
        <v>BF#BEG#C#</v>
      </c>
      <c r="I271" s="44" t="s">
        <v>1268</v>
      </c>
      <c r="J271" s="64" t="s">
        <v>15</v>
      </c>
      <c r="K271" s="44" t="str">
        <f>INDEX(Helper!$F:$F, MATCH(J271, Helper!$E:$E, 0))</f>
        <v>#C2C2A1</v>
      </c>
      <c r="L271" s="45" t="s">
        <v>1315</v>
      </c>
      <c r="M271" s="45" t="s">
        <v>615</v>
      </c>
      <c r="N271" s="87" t="s">
        <v>1443</v>
      </c>
      <c r="O271" s="74" t="s">
        <v>1442</v>
      </c>
    </row>
    <row r="272" spans="1:15" ht="77.599999999999994" x14ac:dyDescent="0.4">
      <c r="A272" s="44">
        <v>269</v>
      </c>
      <c r="B272" s="44">
        <v>1</v>
      </c>
      <c r="C272" s="45" t="str">
        <f>INDEX(Helper!$N$2:$N$4, MATCH(B272, Helper!$M$2:$M$4, 0))</f>
        <v>Beginner</v>
      </c>
      <c r="D272" s="45" t="s">
        <v>148</v>
      </c>
      <c r="E272" s="45" t="s">
        <v>1234</v>
      </c>
      <c r="F272" s="5">
        <v>2</v>
      </c>
      <c r="G272" s="44">
        <v>15</v>
      </c>
      <c r="H272" s="44" t="str">
        <f>INDEX(Helper!$C:$C, MATCH(G272, Helper!$A:$A, 0))</f>
        <v>BF#BEG#C#</v>
      </c>
      <c r="I272" s="44" t="s">
        <v>845</v>
      </c>
      <c r="J272" s="64" t="s">
        <v>15</v>
      </c>
      <c r="K272" s="44" t="str">
        <f>INDEX(Helper!$F:$F, MATCH(J272, Helper!$E:$E, 0))</f>
        <v>#C2C2A1</v>
      </c>
      <c r="L272" s="45" t="s">
        <v>1316</v>
      </c>
      <c r="M272" s="45" t="s">
        <v>615</v>
      </c>
      <c r="N272" s="87" t="s">
        <v>1446</v>
      </c>
      <c r="O272" s="74" t="s">
        <v>1445</v>
      </c>
    </row>
    <row r="273" spans="1:15" ht="167.6" x14ac:dyDescent="0.4">
      <c r="A273" s="44">
        <v>270</v>
      </c>
      <c r="B273" s="44">
        <v>1</v>
      </c>
      <c r="C273" s="45" t="str">
        <f>INDEX(Helper!$N$2:$N$4, MATCH(B273, Helper!$M$2:$M$4, 0))</f>
        <v>Beginner</v>
      </c>
      <c r="D273" s="45" t="s">
        <v>148</v>
      </c>
      <c r="E273" s="45" t="s">
        <v>1235</v>
      </c>
      <c r="F273" s="5">
        <v>2</v>
      </c>
      <c r="G273" s="44">
        <v>2</v>
      </c>
      <c r="H273" s="44" t="str">
        <f>INDEX(Helper!$C:$C, MATCH(G273, Helper!$A:$A, 0))</f>
        <v>Drop D (DADGBE)</v>
      </c>
      <c r="I273" s="44" t="s">
        <v>64</v>
      </c>
      <c r="J273" s="64" t="s">
        <v>15</v>
      </c>
      <c r="K273" s="44" t="str">
        <f>INDEX(Helper!$F:$F, MATCH(J273, Helper!$E:$E, 0))</f>
        <v>#C2C2A1</v>
      </c>
      <c r="L273" s="45" t="s">
        <v>1317</v>
      </c>
      <c r="M273" s="45" t="s">
        <v>615</v>
      </c>
      <c r="N273" s="87" t="s">
        <v>1447</v>
      </c>
      <c r="O273" s="74" t="s">
        <v>1450</v>
      </c>
    </row>
    <row r="274" spans="1:15" ht="167.6" x14ac:dyDescent="0.4">
      <c r="A274" s="44">
        <v>271</v>
      </c>
      <c r="B274" s="44">
        <v>2</v>
      </c>
      <c r="C274" s="45" t="str">
        <f>INDEX(Helper!$N$2:$N$4, MATCH(B274, Helper!$M$2:$M$4, 0))</f>
        <v>Intermediate</v>
      </c>
      <c r="D274" s="45" t="s">
        <v>148</v>
      </c>
      <c r="E274" s="45" t="s">
        <v>1236</v>
      </c>
      <c r="F274" s="5">
        <v>0</v>
      </c>
      <c r="G274" s="44">
        <v>2</v>
      </c>
      <c r="H274" s="44" t="str">
        <f>INDEX(Helper!$C:$C, MATCH(G274, Helper!$A:$A, 0))</f>
        <v>Drop D (DADGBE)</v>
      </c>
      <c r="I274" s="44" t="s">
        <v>624</v>
      </c>
      <c r="J274" s="64" t="s">
        <v>15</v>
      </c>
      <c r="K274" s="44" t="str">
        <f>INDEX(Helper!$F:$F, MATCH(J274, Helper!$E:$E, 0))</f>
        <v>#C2C2A1</v>
      </c>
      <c r="L274" s="45" t="s">
        <v>1318</v>
      </c>
      <c r="M274" s="45" t="s">
        <v>615</v>
      </c>
      <c r="N274" s="87" t="s">
        <v>1448</v>
      </c>
      <c r="O274" s="74" t="s">
        <v>1449</v>
      </c>
    </row>
    <row r="275" spans="1:15" ht="257.60000000000002" x14ac:dyDescent="0.4">
      <c r="A275" s="44">
        <v>272</v>
      </c>
      <c r="B275" s="44">
        <v>2</v>
      </c>
      <c r="C275" s="45" t="str">
        <f>INDEX(Helper!$N$2:$N$4, MATCH(B275, Helper!$M$2:$M$4, 0))</f>
        <v>Intermediate</v>
      </c>
      <c r="D275" s="45" t="s">
        <v>194</v>
      </c>
      <c r="E275" s="45" t="s">
        <v>1180</v>
      </c>
      <c r="F275" s="5">
        <v>2</v>
      </c>
      <c r="G275" s="44">
        <v>11</v>
      </c>
      <c r="H275" s="44" t="str">
        <f>INDEX(Helper!$C:$C, MATCH(G275, Helper!$A:$A, 0))</f>
        <v>CGCFAD</v>
      </c>
      <c r="I275" s="44" t="s">
        <v>68</v>
      </c>
      <c r="J275" s="64" t="s">
        <v>15</v>
      </c>
      <c r="K275" s="44" t="str">
        <f>INDEX(Helper!$F:$F, MATCH(J275, Helper!$E:$E, 0))</f>
        <v>#C2C2A1</v>
      </c>
      <c r="L275" s="45" t="s">
        <v>1319</v>
      </c>
      <c r="M275" s="45" t="s">
        <v>615</v>
      </c>
      <c r="N275" s="84" t="s">
        <v>1452</v>
      </c>
      <c r="O275" s="74" t="s">
        <v>1451</v>
      </c>
    </row>
    <row r="276" spans="1:15" ht="347.6" x14ac:dyDescent="0.4">
      <c r="A276" s="44">
        <v>273</v>
      </c>
      <c r="B276" s="44">
        <v>2</v>
      </c>
      <c r="C276" s="45" t="str">
        <f>INDEX(Helper!$N$2:$N$4, MATCH(B276, Helper!$M$2:$M$4, 0))</f>
        <v>Intermediate</v>
      </c>
      <c r="D276" s="45" t="s">
        <v>194</v>
      </c>
      <c r="E276" s="45" t="s">
        <v>1237</v>
      </c>
      <c r="F276" s="5">
        <v>0</v>
      </c>
      <c r="G276" s="44">
        <v>9</v>
      </c>
      <c r="H276" s="44" t="str">
        <f>INDEX(Helper!$C:$C, MATCH(G276, Helper!$A:$A, 0))</f>
        <v>C#G#C#F#A#D#</v>
      </c>
      <c r="I276" s="44" t="s">
        <v>1268</v>
      </c>
      <c r="J276" s="64" t="s">
        <v>15</v>
      </c>
      <c r="K276" s="44" t="str">
        <f>INDEX(Helper!$F:$F, MATCH(J276, Helper!$E:$E, 0))</f>
        <v>#C2C2A1</v>
      </c>
      <c r="L276" s="45" t="s">
        <v>1320</v>
      </c>
      <c r="M276" s="45" t="s">
        <v>615</v>
      </c>
      <c r="N276" s="75" t="s">
        <v>1454</v>
      </c>
      <c r="O276" s="74" t="s">
        <v>1453</v>
      </c>
    </row>
    <row r="277" spans="1:15" ht="409.6" x14ac:dyDescent="0.4">
      <c r="A277" s="44">
        <v>274</v>
      </c>
      <c r="B277" s="44">
        <v>3</v>
      </c>
      <c r="C277" s="45" t="str">
        <f>INDEX(Helper!$N$2:$N$4, MATCH(B277, Helper!$M$2:$M$4, 0))</f>
        <v>Advanced</v>
      </c>
      <c r="D277" s="45" t="s">
        <v>254</v>
      </c>
      <c r="E277" s="45" t="s">
        <v>1181</v>
      </c>
      <c r="F277" s="5">
        <v>2</v>
      </c>
      <c r="G277" s="44">
        <v>1</v>
      </c>
      <c r="H277" s="44" t="str">
        <f>INDEX(Helper!$C:$C, MATCH(G277, Helper!$A:$A, 0))</f>
        <v>Standard (EADGBE)</v>
      </c>
      <c r="I277" s="44" t="s">
        <v>627</v>
      </c>
      <c r="J277" s="64" t="s">
        <v>15</v>
      </c>
      <c r="K277" s="44" t="str">
        <f>INDEX(Helper!$F:$F, MATCH(J277, Helper!$E:$E, 0))</f>
        <v>#C2C2A1</v>
      </c>
      <c r="L277" s="45" t="s">
        <v>1321</v>
      </c>
      <c r="M277" s="45" t="s">
        <v>615</v>
      </c>
      <c r="N277" s="75" t="s">
        <v>1456</v>
      </c>
      <c r="O277" s="74" t="s">
        <v>1455</v>
      </c>
    </row>
    <row r="278" spans="1:15" ht="409.6" x14ac:dyDescent="0.4">
      <c r="A278" s="44">
        <v>275</v>
      </c>
      <c r="B278" s="44">
        <v>2</v>
      </c>
      <c r="C278" s="45" t="str">
        <f>INDEX(Helper!$N$2:$N$4, MATCH(B278, Helper!$M$2:$M$4, 0))</f>
        <v>Intermediate</v>
      </c>
      <c r="D278" s="45" t="s">
        <v>254</v>
      </c>
      <c r="E278" s="45" t="s">
        <v>1323</v>
      </c>
      <c r="F278" s="5">
        <v>0</v>
      </c>
      <c r="G278" s="44">
        <v>1</v>
      </c>
      <c r="H278" s="44" t="str">
        <f>INDEX(Helper!$C:$C, MATCH(G278, Helper!$A:$A, 0))</f>
        <v>Standard (EADGBE)</v>
      </c>
      <c r="I278" s="44" t="s">
        <v>66</v>
      </c>
      <c r="J278" s="64" t="s">
        <v>15</v>
      </c>
      <c r="K278" s="44" t="str">
        <f>INDEX(Helper!$F:$F, MATCH(J278, Helper!$E:$E, 0))</f>
        <v>#C2C2A1</v>
      </c>
      <c r="L278" s="45" t="s">
        <v>1322</v>
      </c>
      <c r="M278" s="45" t="s">
        <v>615</v>
      </c>
      <c r="N278" s="87" t="s">
        <v>1458</v>
      </c>
      <c r="O278" s="74" t="s">
        <v>1457</v>
      </c>
    </row>
    <row r="279" spans="1:15" ht="347.6" x14ac:dyDescent="0.4">
      <c r="A279" s="44">
        <v>276</v>
      </c>
      <c r="B279" s="44">
        <v>2</v>
      </c>
      <c r="C279" s="45" t="str">
        <f>INDEX(Helper!$N$2:$N$4, MATCH(B279, Helper!$M$2:$M$4, 0))</f>
        <v>Intermediate</v>
      </c>
      <c r="D279" s="45" t="s">
        <v>254</v>
      </c>
      <c r="E279" s="45" t="s">
        <v>1182</v>
      </c>
      <c r="F279" s="5">
        <v>2</v>
      </c>
      <c r="G279" s="44">
        <v>1</v>
      </c>
      <c r="H279" s="44" t="str">
        <f>INDEX(Helper!$C:$C, MATCH(G279, Helper!$A:$A, 0))</f>
        <v>Standard (EADGBE)</v>
      </c>
      <c r="I279" s="44" t="s">
        <v>63</v>
      </c>
      <c r="J279" s="64" t="s">
        <v>15</v>
      </c>
      <c r="K279" s="44" t="str">
        <f>INDEX(Helper!$F:$F, MATCH(J279, Helper!$E:$E, 0))</f>
        <v>#C2C2A1</v>
      </c>
      <c r="L279" s="45" t="s">
        <v>1324</v>
      </c>
      <c r="M279" s="45" t="s">
        <v>615</v>
      </c>
      <c r="N279" s="75" t="s">
        <v>1460</v>
      </c>
      <c r="O279" s="74" t="s">
        <v>1459</v>
      </c>
    </row>
    <row r="280" spans="1:15" ht="77.599999999999994" x14ac:dyDescent="0.4">
      <c r="A280" s="44">
        <v>277</v>
      </c>
      <c r="B280" s="44">
        <v>1</v>
      </c>
      <c r="C280" s="45" t="str">
        <f>INDEX(Helper!$N$2:$N$4, MATCH(B280, Helper!$M$2:$M$4, 0))</f>
        <v>Beginner</v>
      </c>
      <c r="D280" s="45" t="s">
        <v>1184</v>
      </c>
      <c r="E280" s="45" t="s">
        <v>1183</v>
      </c>
      <c r="F280" s="5">
        <v>0</v>
      </c>
      <c r="G280" s="44">
        <v>2</v>
      </c>
      <c r="H280" s="44" t="str">
        <f>INDEX(Helper!$C:$C, MATCH(G280, Helper!$A:$A, 0))</f>
        <v>Drop D (DADGBE)</v>
      </c>
      <c r="I280" s="44" t="s">
        <v>795</v>
      </c>
      <c r="J280" s="64" t="s">
        <v>15</v>
      </c>
      <c r="K280" s="44" t="str">
        <f>INDEX(Helper!$F:$F, MATCH(J280, Helper!$E:$E, 0))</f>
        <v>#C2C2A1</v>
      </c>
      <c r="L280" s="45" t="s">
        <v>1325</v>
      </c>
      <c r="M280" s="45" t="s">
        <v>615</v>
      </c>
      <c r="N280" s="75" t="s">
        <v>1464</v>
      </c>
      <c r="O280" s="74" t="s">
        <v>1461</v>
      </c>
    </row>
    <row r="281" spans="1:15" ht="77.599999999999994" x14ac:dyDescent="0.4">
      <c r="A281" s="44">
        <v>278</v>
      </c>
      <c r="B281" s="44">
        <v>1</v>
      </c>
      <c r="C281" s="45" t="str">
        <f>INDEX(Helper!$N$2:$N$4, MATCH(B281, Helper!$M$2:$M$4, 0))</f>
        <v>Beginner</v>
      </c>
      <c r="D281" s="45" t="s">
        <v>1186</v>
      </c>
      <c r="E281" s="45" t="s">
        <v>1185</v>
      </c>
      <c r="F281" s="5">
        <v>2</v>
      </c>
      <c r="G281" s="44">
        <v>1</v>
      </c>
      <c r="H281" s="44" t="str">
        <f>INDEX(Helper!$C:$C, MATCH(G281, Helper!$A:$A, 0))</f>
        <v>Standard (EADGBE)</v>
      </c>
      <c r="I281" s="44" t="s">
        <v>394</v>
      </c>
      <c r="J281" s="60" t="s">
        <v>29</v>
      </c>
      <c r="K281" s="44" t="str">
        <f>INDEX(Helper!$F:$F, MATCH(J281, Helper!$E:$E, 0))</f>
        <v>#66E586</v>
      </c>
      <c r="L281" s="45" t="s">
        <v>1326</v>
      </c>
      <c r="M281" s="45" t="s">
        <v>615</v>
      </c>
      <c r="N281" s="87" t="s">
        <v>1463</v>
      </c>
      <c r="O281" s="74" t="s">
        <v>1462</v>
      </c>
    </row>
    <row r="282" spans="1:15" ht="167.6" x14ac:dyDescent="0.4">
      <c r="A282" s="44">
        <v>279</v>
      </c>
      <c r="B282" s="44">
        <v>2</v>
      </c>
      <c r="C282" s="45" t="str">
        <f>INDEX(Helper!$N$2:$N$4, MATCH(B282, Helper!$M$2:$M$4, 0))</f>
        <v>Intermediate</v>
      </c>
      <c r="D282" s="45" t="s">
        <v>35</v>
      </c>
      <c r="E282" s="45" t="s">
        <v>1238</v>
      </c>
      <c r="F282" s="5">
        <v>2</v>
      </c>
      <c r="G282" s="44">
        <v>2</v>
      </c>
      <c r="H282" s="44" t="str">
        <f>INDEX(Helper!$C:$C, MATCH(G282, Helper!$A:$A, 0))</f>
        <v>Drop D (DADGBE)</v>
      </c>
      <c r="I282" s="44" t="s">
        <v>62</v>
      </c>
      <c r="J282" s="64" t="s">
        <v>15</v>
      </c>
      <c r="K282" s="44" t="str">
        <f>INDEX(Helper!$F:$F, MATCH(J282, Helper!$E:$E, 0))</f>
        <v>#C2C2A1</v>
      </c>
      <c r="L282" s="45" t="s">
        <v>1327</v>
      </c>
      <c r="M282" s="45" t="s">
        <v>615</v>
      </c>
      <c r="N282" s="75" t="s">
        <v>1466</v>
      </c>
      <c r="O282" s="74" t="s">
        <v>1465</v>
      </c>
    </row>
    <row r="283" spans="1:15" ht="77.599999999999994" x14ac:dyDescent="0.4">
      <c r="A283" s="44">
        <v>280</v>
      </c>
      <c r="B283" s="44">
        <v>3</v>
      </c>
      <c r="C283" s="45" t="str">
        <f>INDEX(Helper!$N$2:$N$4, MATCH(B283, Helper!$M$2:$M$4, 0))</f>
        <v>Advanced</v>
      </c>
      <c r="D283" s="45" t="s">
        <v>35</v>
      </c>
      <c r="E283" s="45" t="s">
        <v>1239</v>
      </c>
      <c r="F283" s="5">
        <v>0</v>
      </c>
      <c r="G283" s="44">
        <v>9</v>
      </c>
      <c r="H283" s="44" t="str">
        <f>INDEX(Helper!$C:$C, MATCH(G283, Helper!$A:$A, 0))</f>
        <v>C#G#C#F#A#D#</v>
      </c>
      <c r="I283" s="44" t="s">
        <v>70</v>
      </c>
      <c r="J283" s="64" t="s">
        <v>15</v>
      </c>
      <c r="K283" s="44" t="str">
        <f>INDEX(Helper!$F:$F, MATCH(J283, Helper!$E:$E, 0))</f>
        <v>#C2C2A1</v>
      </c>
      <c r="L283" s="45" t="s">
        <v>1328</v>
      </c>
      <c r="M283" s="45" t="s">
        <v>615</v>
      </c>
      <c r="N283" s="75" t="s">
        <v>1469</v>
      </c>
      <c r="O283" s="74" t="s">
        <v>1579</v>
      </c>
    </row>
    <row r="284" spans="1:15" ht="347.6" x14ac:dyDescent="0.4">
      <c r="A284" s="44">
        <v>281</v>
      </c>
      <c r="B284" s="44">
        <v>3</v>
      </c>
      <c r="C284" s="45" t="str">
        <f>INDEX(Helper!$N$2:$N$4, MATCH(B284, Helper!$M$2:$M$4, 0))</f>
        <v>Advanced</v>
      </c>
      <c r="D284" s="45" t="s">
        <v>35</v>
      </c>
      <c r="E284" s="45" t="s">
        <v>1187</v>
      </c>
      <c r="F284" s="5">
        <v>2</v>
      </c>
      <c r="G284" s="44">
        <v>9</v>
      </c>
      <c r="H284" s="44" t="str">
        <f>INDEX(Helper!$C:$C, MATCH(G284, Helper!$A:$A, 0))</f>
        <v>C#G#C#F#A#D#</v>
      </c>
      <c r="I284" s="44" t="s">
        <v>620</v>
      </c>
      <c r="J284" s="64" t="s">
        <v>15</v>
      </c>
      <c r="K284" s="44" t="str">
        <f>INDEX(Helper!$F:$F, MATCH(J284, Helper!$E:$E, 0))</f>
        <v>#C2C2A1</v>
      </c>
      <c r="L284" s="45" t="s">
        <v>1329</v>
      </c>
      <c r="M284" s="45" t="s">
        <v>615</v>
      </c>
      <c r="N284" s="87" t="s">
        <v>1468</v>
      </c>
      <c r="O284" s="74" t="s">
        <v>1467</v>
      </c>
    </row>
    <row r="285" spans="1:15" ht="167.6" x14ac:dyDescent="0.4">
      <c r="A285" s="44">
        <v>282</v>
      </c>
      <c r="B285" s="44">
        <v>2</v>
      </c>
      <c r="C285" s="45" t="str">
        <f>INDEX(Helper!$N$2:$N$4, MATCH(B285, Helper!$M$2:$M$4, 0))</f>
        <v>Intermediate</v>
      </c>
      <c r="D285" s="45" t="s">
        <v>1190</v>
      </c>
      <c r="E285" s="45" t="s">
        <v>1240</v>
      </c>
      <c r="F285" s="5">
        <v>0</v>
      </c>
      <c r="G285" s="44">
        <v>2</v>
      </c>
      <c r="H285" s="44" t="str">
        <f>INDEX(Helper!$C:$C, MATCH(G285, Helper!$A:$A, 0))</f>
        <v>Drop D (DADGBE)</v>
      </c>
      <c r="I285" s="44" t="s">
        <v>64</v>
      </c>
      <c r="J285" s="57" t="s">
        <v>21</v>
      </c>
      <c r="K285" s="44" t="str">
        <f>INDEX(Helper!$F:$F, MATCH(J285, Helper!$E:$E, 0))</f>
        <v>#45F0E2</v>
      </c>
      <c r="L285" s="45" t="s">
        <v>1330</v>
      </c>
      <c r="M285" s="45" t="s">
        <v>615</v>
      </c>
      <c r="N285" s="87" t="s">
        <v>1471</v>
      </c>
      <c r="O285" s="74" t="s">
        <v>1470</v>
      </c>
    </row>
    <row r="286" spans="1:15" ht="347.6" x14ac:dyDescent="0.4">
      <c r="A286" s="44">
        <v>283</v>
      </c>
      <c r="B286" s="44">
        <v>2</v>
      </c>
      <c r="C286" s="45" t="str">
        <f>INDEX(Helper!$N$2:$N$4, MATCH(B286, Helper!$M$2:$M$4, 0))</f>
        <v>Intermediate</v>
      </c>
      <c r="D286" s="45" t="s">
        <v>1190</v>
      </c>
      <c r="E286" s="45" t="s">
        <v>1188</v>
      </c>
      <c r="F286" s="5">
        <v>2</v>
      </c>
      <c r="G286" s="44">
        <v>1</v>
      </c>
      <c r="H286" s="44" t="str">
        <f>INDEX(Helper!$C:$C, MATCH(G286, Helper!$A:$A, 0))</f>
        <v>Standard (EADGBE)</v>
      </c>
      <c r="I286" s="44" t="s">
        <v>65</v>
      </c>
      <c r="J286" s="57" t="s">
        <v>21</v>
      </c>
      <c r="K286" s="44" t="str">
        <f>INDEX(Helper!$F:$F, MATCH(J286, Helper!$E:$E, 0))</f>
        <v>#45F0E2</v>
      </c>
      <c r="L286" s="45" t="s">
        <v>1331</v>
      </c>
      <c r="M286" s="45" t="s">
        <v>615</v>
      </c>
      <c r="N286" s="87" t="s">
        <v>1473</v>
      </c>
      <c r="O286" s="74" t="s">
        <v>1472</v>
      </c>
    </row>
    <row r="287" spans="1:15" ht="167.6" x14ac:dyDescent="0.4">
      <c r="A287" s="44">
        <v>284</v>
      </c>
      <c r="B287" s="44">
        <v>2</v>
      </c>
      <c r="C287" s="45" t="str">
        <f>INDEX(Helper!$N$2:$N$4, MATCH(B287, Helper!$M$2:$M$4, 0))</f>
        <v>Intermediate</v>
      </c>
      <c r="D287" s="45" t="s">
        <v>1190</v>
      </c>
      <c r="E287" s="45" t="s">
        <v>1241</v>
      </c>
      <c r="F287" s="5">
        <v>2</v>
      </c>
      <c r="G287" s="44">
        <v>1</v>
      </c>
      <c r="H287" s="44" t="str">
        <f>INDEX(Helper!$C:$C, MATCH(G287, Helper!$A:$A, 0))</f>
        <v>Standard (EADGBE)</v>
      </c>
      <c r="I287" s="44" t="s">
        <v>66</v>
      </c>
      <c r="J287" s="57" t="s">
        <v>21</v>
      </c>
      <c r="K287" s="44" t="str">
        <f>INDEX(Helper!$F:$F, MATCH(J287, Helper!$E:$E, 0))</f>
        <v>#45F0E2</v>
      </c>
      <c r="L287" s="45" t="s">
        <v>1332</v>
      </c>
      <c r="M287" s="45" t="s">
        <v>615</v>
      </c>
      <c r="N287" s="87" t="s">
        <v>1475</v>
      </c>
      <c r="O287" s="74" t="s">
        <v>1474</v>
      </c>
    </row>
    <row r="288" spans="1:15" ht="77.599999999999994" x14ac:dyDescent="0.4">
      <c r="A288" s="44">
        <v>285</v>
      </c>
      <c r="B288" s="44">
        <v>2</v>
      </c>
      <c r="C288" s="45" t="str">
        <f>INDEX(Helper!$N$2:$N$4, MATCH(B288, Helper!$M$2:$M$4, 0))</f>
        <v>Intermediate</v>
      </c>
      <c r="D288" s="45" t="s">
        <v>1190</v>
      </c>
      <c r="E288" s="45" t="s">
        <v>1189</v>
      </c>
      <c r="F288" s="5">
        <v>2</v>
      </c>
      <c r="G288" s="44">
        <v>16</v>
      </c>
      <c r="H288" s="44" t="str">
        <f>INDEX(Helper!$C:$C, MATCH(G288, Helper!$A:$A, 0))</f>
        <v>Drop C (CADGBE)</v>
      </c>
      <c r="I288" s="44" t="s">
        <v>624</v>
      </c>
      <c r="J288" s="57" t="s">
        <v>21</v>
      </c>
      <c r="K288" s="44" t="str">
        <f>INDEX(Helper!$F:$F, MATCH(J288, Helper!$E:$E, 0))</f>
        <v>#45F0E2</v>
      </c>
      <c r="L288" s="45" t="s">
        <v>1333</v>
      </c>
      <c r="M288" s="45" t="s">
        <v>615</v>
      </c>
      <c r="N288" s="87" t="s">
        <v>1477</v>
      </c>
      <c r="O288" s="74" t="s">
        <v>1476</v>
      </c>
    </row>
    <row r="289" spans="1:15" ht="77.599999999999994" x14ac:dyDescent="0.4">
      <c r="A289" s="44">
        <v>286</v>
      </c>
      <c r="B289" s="44">
        <v>3</v>
      </c>
      <c r="C289" s="45" t="str">
        <f>INDEX(Helper!$N$2:$N$4, MATCH(B289, Helper!$M$2:$M$4, 0))</f>
        <v>Advanced</v>
      </c>
      <c r="D289" s="45" t="s">
        <v>1190</v>
      </c>
      <c r="E289" s="45" t="s">
        <v>1242</v>
      </c>
      <c r="F289" s="5">
        <v>2</v>
      </c>
      <c r="G289" s="44">
        <v>1</v>
      </c>
      <c r="H289" s="44" t="str">
        <f>INDEX(Helper!$C:$C, MATCH(G289, Helper!$A:$A, 0))</f>
        <v>Standard (EADGBE)</v>
      </c>
      <c r="I289" s="44" t="s">
        <v>65</v>
      </c>
      <c r="J289" s="57" t="s">
        <v>21</v>
      </c>
      <c r="K289" s="44" t="str">
        <f>INDEX(Helper!$F:$F, MATCH(J289, Helper!$E:$E, 0))</f>
        <v>#45F0E2</v>
      </c>
      <c r="L289" s="45" t="s">
        <v>1334</v>
      </c>
      <c r="M289" s="45" t="s">
        <v>615</v>
      </c>
      <c r="N289" s="87" t="s">
        <v>1481</v>
      </c>
      <c r="O289" s="74" t="s">
        <v>1480</v>
      </c>
    </row>
    <row r="290" spans="1:15" ht="167.6" x14ac:dyDescent="0.4">
      <c r="A290" s="44">
        <v>287</v>
      </c>
      <c r="B290" s="44">
        <v>2</v>
      </c>
      <c r="C290" s="45" t="str">
        <f>INDEX(Helper!$N$2:$N$4, MATCH(B290, Helper!$M$2:$M$4, 0))</f>
        <v>Intermediate</v>
      </c>
      <c r="D290" s="45" t="s">
        <v>1190</v>
      </c>
      <c r="E290" s="45" t="s">
        <v>1243</v>
      </c>
      <c r="F290" s="5">
        <v>0</v>
      </c>
      <c r="G290" s="44">
        <v>1</v>
      </c>
      <c r="H290" s="44" t="str">
        <f>INDEX(Helper!$C:$C, MATCH(G290, Helper!$A:$A, 0))</f>
        <v>Standard (EADGBE)</v>
      </c>
      <c r="I290" s="44" t="s">
        <v>1268</v>
      </c>
      <c r="J290" s="57" t="s">
        <v>21</v>
      </c>
      <c r="K290" s="44" t="str">
        <f>INDEX(Helper!$F:$F, MATCH(J290, Helper!$E:$E, 0))</f>
        <v>#45F0E2</v>
      </c>
      <c r="L290" s="45" t="s">
        <v>1335</v>
      </c>
      <c r="M290" s="45" t="s">
        <v>615</v>
      </c>
      <c r="N290" s="87" t="s">
        <v>1483</v>
      </c>
      <c r="O290" s="74" t="s">
        <v>1482</v>
      </c>
    </row>
    <row r="291" spans="1:15" ht="167.6" x14ac:dyDescent="0.4">
      <c r="A291" s="44">
        <v>288</v>
      </c>
      <c r="B291" s="44">
        <v>1</v>
      </c>
      <c r="C291" s="45" t="str">
        <f>INDEX(Helper!$N$2:$N$4, MATCH(B291, Helper!$M$2:$M$4, 0))</f>
        <v>Beginner</v>
      </c>
      <c r="D291" s="45" t="s">
        <v>242</v>
      </c>
      <c r="E291" s="45" t="s">
        <v>1244</v>
      </c>
      <c r="F291" s="5">
        <v>0</v>
      </c>
      <c r="G291" s="44">
        <v>1</v>
      </c>
      <c r="H291" s="44" t="str">
        <f>INDEX(Helper!$C:$C, MATCH(G291, Helper!$A:$A, 0))</f>
        <v>Standard (EADGBE)</v>
      </c>
      <c r="I291" s="44" t="s">
        <v>1269</v>
      </c>
      <c r="J291" s="65" t="s">
        <v>13</v>
      </c>
      <c r="K291" s="44" t="str">
        <f>INDEX(Helper!$F:$F, MATCH(J291, Helper!$E:$E, 0))</f>
        <v>#FF4F53</v>
      </c>
      <c r="L291" s="45" t="s">
        <v>1336</v>
      </c>
      <c r="M291" s="45" t="s">
        <v>615</v>
      </c>
      <c r="N291" s="75" t="s">
        <v>1485</v>
      </c>
      <c r="O291" s="74" t="s">
        <v>1484</v>
      </c>
    </row>
    <row r="292" spans="1:15" ht="167.6" x14ac:dyDescent="0.4">
      <c r="A292" s="44">
        <v>289</v>
      </c>
      <c r="B292" s="44">
        <v>2</v>
      </c>
      <c r="C292" s="45" t="str">
        <f>INDEX(Helper!$N$2:$N$4, MATCH(B292, Helper!$M$2:$M$4, 0))</f>
        <v>Intermediate</v>
      </c>
      <c r="D292" s="45" t="s">
        <v>242</v>
      </c>
      <c r="E292" s="45" t="s">
        <v>1245</v>
      </c>
      <c r="F292" s="5">
        <v>2</v>
      </c>
      <c r="G292" s="44">
        <v>1</v>
      </c>
      <c r="H292" s="44" t="str">
        <f>INDEX(Helper!$C:$C, MATCH(G292, Helper!$A:$A, 0))</f>
        <v>Standard (EADGBE)</v>
      </c>
      <c r="I292" s="44" t="s">
        <v>394</v>
      </c>
      <c r="J292" s="65" t="s">
        <v>13</v>
      </c>
      <c r="K292" s="44" t="str">
        <f>INDEX(Helper!$F:$F, MATCH(J292, Helper!$E:$E, 0))</f>
        <v>#FF4F53</v>
      </c>
      <c r="L292" s="45" t="s">
        <v>1338</v>
      </c>
      <c r="M292" s="45" t="s">
        <v>615</v>
      </c>
      <c r="N292" s="87" t="s">
        <v>1486</v>
      </c>
      <c r="O292" s="74" t="s">
        <v>1580</v>
      </c>
    </row>
    <row r="293" spans="1:15" ht="167.6" x14ac:dyDescent="0.4">
      <c r="A293" s="44">
        <v>290</v>
      </c>
      <c r="B293" s="44">
        <v>2</v>
      </c>
      <c r="C293" s="45" t="str">
        <f>INDEX(Helper!$N$2:$N$4, MATCH(B293, Helper!$M$2:$M$4, 0))</f>
        <v>Intermediate</v>
      </c>
      <c r="D293" s="45" t="s">
        <v>242</v>
      </c>
      <c r="E293" s="45" t="s">
        <v>1246</v>
      </c>
      <c r="F293" s="5">
        <v>2</v>
      </c>
      <c r="G293" s="44">
        <v>1</v>
      </c>
      <c r="H293" s="44" t="str">
        <f>INDEX(Helper!$C:$C, MATCH(G293, Helper!$A:$A, 0))</f>
        <v>Standard (EADGBE)</v>
      </c>
      <c r="I293" s="44" t="s">
        <v>1269</v>
      </c>
      <c r="J293" s="65" t="s">
        <v>13</v>
      </c>
      <c r="K293" s="44" t="str">
        <f>INDEX(Helper!$F:$F, MATCH(J293, Helper!$E:$E, 0))</f>
        <v>#FF4F53</v>
      </c>
      <c r="L293" s="45" t="s">
        <v>1337</v>
      </c>
      <c r="M293" s="45" t="s">
        <v>615</v>
      </c>
      <c r="N293" s="84" t="s">
        <v>1488</v>
      </c>
      <c r="O293" s="74" t="s">
        <v>1487</v>
      </c>
    </row>
    <row r="294" spans="1:15" ht="360.45" x14ac:dyDescent="0.4">
      <c r="A294" s="44">
        <v>291</v>
      </c>
      <c r="B294" s="44">
        <v>2</v>
      </c>
      <c r="C294" s="45" t="str">
        <f>INDEX(Helper!$N$2:$N$4, MATCH(B294, Helper!$M$2:$M$4, 0))</f>
        <v>Intermediate</v>
      </c>
      <c r="D294" s="45" t="s">
        <v>123</v>
      </c>
      <c r="E294" s="45" t="s">
        <v>1191</v>
      </c>
      <c r="F294" s="5">
        <v>2</v>
      </c>
      <c r="G294" s="44">
        <v>1</v>
      </c>
      <c r="H294" s="44" t="str">
        <f>INDEX(Helper!$C:$C, MATCH(G294, Helper!$A:$A, 0))</f>
        <v>Standard (EADGBE)</v>
      </c>
      <c r="I294" s="44" t="s">
        <v>62</v>
      </c>
      <c r="J294" s="65" t="s">
        <v>13</v>
      </c>
      <c r="K294" s="44" t="str">
        <f>INDEX(Helper!$F:$F, MATCH(J294, Helper!$E:$E, 0))</f>
        <v>#FF4F53</v>
      </c>
      <c r="L294" s="45" t="s">
        <v>1339</v>
      </c>
      <c r="M294" s="45" t="s">
        <v>615</v>
      </c>
      <c r="N294" s="87" t="s">
        <v>1490</v>
      </c>
      <c r="O294" s="74" t="s">
        <v>1489</v>
      </c>
    </row>
    <row r="295" spans="1:15" ht="90.45" x14ac:dyDescent="0.4">
      <c r="A295" s="44">
        <v>292</v>
      </c>
      <c r="B295" s="44">
        <v>1</v>
      </c>
      <c r="C295" s="45" t="str">
        <f>INDEX(Helper!$N$2:$N$4, MATCH(B295, Helper!$M$2:$M$4, 0))</f>
        <v>Beginner</v>
      </c>
      <c r="D295" s="45" t="s">
        <v>123</v>
      </c>
      <c r="E295" s="45" t="s">
        <v>1192</v>
      </c>
      <c r="F295" s="5">
        <v>2</v>
      </c>
      <c r="G295" s="44">
        <v>2</v>
      </c>
      <c r="H295" s="44" t="str">
        <f>INDEX(Helper!$C:$C, MATCH(G295, Helper!$A:$A, 0))</f>
        <v>Drop D (DADGBE)</v>
      </c>
      <c r="I295" s="44" t="s">
        <v>394</v>
      </c>
      <c r="J295" s="65" t="s">
        <v>13</v>
      </c>
      <c r="K295" s="44" t="str">
        <f>INDEX(Helper!$F:$F, MATCH(J295, Helper!$E:$E, 0))</f>
        <v>#FF4F53</v>
      </c>
      <c r="L295" s="45" t="s">
        <v>1340</v>
      </c>
      <c r="M295" s="45" t="s">
        <v>615</v>
      </c>
      <c r="N295" s="75" t="s">
        <v>1492</v>
      </c>
      <c r="O295" s="74" t="s">
        <v>1491</v>
      </c>
    </row>
    <row r="296" spans="1:15" ht="167.6" x14ac:dyDescent="0.4">
      <c r="A296" s="44">
        <v>293</v>
      </c>
      <c r="B296" s="44">
        <v>2</v>
      </c>
      <c r="C296" s="45" t="str">
        <f>INDEX(Helper!$N$2:$N$4, MATCH(B296, Helper!$M$2:$M$4, 0))</f>
        <v>Intermediate</v>
      </c>
      <c r="D296" s="45" t="s">
        <v>123</v>
      </c>
      <c r="E296" s="45" t="s">
        <v>1193</v>
      </c>
      <c r="F296" s="5">
        <v>0</v>
      </c>
      <c r="G296" s="44">
        <v>17</v>
      </c>
      <c r="H296" s="44" t="str">
        <f>INDEX(Helper!$C:$C, MATCH(G296, Helper!$A:$A, 0))</f>
        <v>GGDGBD</v>
      </c>
      <c r="I296" s="44" t="s">
        <v>65</v>
      </c>
      <c r="J296" s="65" t="s">
        <v>13</v>
      </c>
      <c r="K296" s="44" t="str">
        <f>INDEX(Helper!$F:$F, MATCH(J296, Helper!$E:$E, 0))</f>
        <v>#FF4F53</v>
      </c>
      <c r="L296" s="45" t="s">
        <v>1341</v>
      </c>
      <c r="M296" s="45" t="s">
        <v>615</v>
      </c>
      <c r="N296" s="87" t="s">
        <v>1494</v>
      </c>
      <c r="O296" s="74" t="s">
        <v>1493</v>
      </c>
    </row>
    <row r="297" spans="1:15" ht="77.599999999999994" x14ac:dyDescent="0.4">
      <c r="A297" s="44">
        <v>294</v>
      </c>
      <c r="B297" s="44">
        <v>1</v>
      </c>
      <c r="C297" s="45" t="str">
        <f>INDEX(Helper!$N$2:$N$4, MATCH(B297, Helper!$M$2:$M$4, 0))</f>
        <v>Beginner</v>
      </c>
      <c r="D297" s="45" t="s">
        <v>123</v>
      </c>
      <c r="E297" s="45" t="s">
        <v>1194</v>
      </c>
      <c r="F297" s="5">
        <v>2</v>
      </c>
      <c r="G297" s="44">
        <v>1</v>
      </c>
      <c r="H297" s="44" t="str">
        <f>INDEX(Helper!$C:$C, MATCH(G297, Helper!$A:$A, 0))</f>
        <v>Standard (EADGBE)</v>
      </c>
      <c r="I297" s="44" t="s">
        <v>66</v>
      </c>
      <c r="J297" s="65" t="s">
        <v>13</v>
      </c>
      <c r="K297" s="44" t="str">
        <f>INDEX(Helper!$F:$F, MATCH(J297, Helper!$E:$E, 0))</f>
        <v>#FF4F53</v>
      </c>
      <c r="L297" s="45" t="s">
        <v>1342</v>
      </c>
      <c r="M297" s="45" t="s">
        <v>615</v>
      </c>
      <c r="N297" s="75" t="s">
        <v>1497</v>
      </c>
      <c r="O297" s="74" t="s">
        <v>1496</v>
      </c>
    </row>
    <row r="298" spans="1:15" ht="77.599999999999994" x14ac:dyDescent="0.4">
      <c r="A298" s="44">
        <v>295</v>
      </c>
      <c r="B298" s="44">
        <v>2</v>
      </c>
      <c r="C298" s="45" t="str">
        <f>INDEX(Helper!$N$2:$N$4, MATCH(B298, Helper!$M$2:$M$4, 0))</f>
        <v>Intermediate</v>
      </c>
      <c r="D298" s="45" t="s">
        <v>123</v>
      </c>
      <c r="E298" s="45" t="s">
        <v>1247</v>
      </c>
      <c r="F298" s="5">
        <v>0</v>
      </c>
      <c r="G298" s="44">
        <v>1</v>
      </c>
      <c r="H298" s="44" t="str">
        <f>INDEX(Helper!$C:$C, MATCH(G298, Helper!$A:$A, 0))</f>
        <v>Standard (EADGBE)</v>
      </c>
      <c r="I298" s="44" t="s">
        <v>627</v>
      </c>
      <c r="J298" s="65" t="s">
        <v>13</v>
      </c>
      <c r="K298" s="44" t="str">
        <f>INDEX(Helper!$F:$F, MATCH(J298, Helper!$E:$E, 0))</f>
        <v>#FF4F53</v>
      </c>
      <c r="L298" s="45" t="s">
        <v>1343</v>
      </c>
      <c r="M298" s="45" t="s">
        <v>615</v>
      </c>
      <c r="N298" s="82" t="s">
        <v>1499</v>
      </c>
      <c r="O298" s="74" t="s">
        <v>1498</v>
      </c>
    </row>
    <row r="299" spans="1:15" ht="270.45" x14ac:dyDescent="0.4">
      <c r="A299" s="44">
        <v>296</v>
      </c>
      <c r="B299" s="44">
        <v>2</v>
      </c>
      <c r="C299" s="45" t="str">
        <f>INDEX(Helper!$N$2:$N$4, MATCH(B299, Helper!$M$2:$M$4, 0))</f>
        <v>Intermediate</v>
      </c>
      <c r="D299" s="45" t="s">
        <v>84</v>
      </c>
      <c r="E299" s="45" t="s">
        <v>1248</v>
      </c>
      <c r="F299" s="5">
        <v>2</v>
      </c>
      <c r="G299" s="44">
        <v>1</v>
      </c>
      <c r="H299" s="44" t="str">
        <f>INDEX(Helper!$C:$C, MATCH(G299, Helper!$A:$A, 0))</f>
        <v>Standard (EADGBE)</v>
      </c>
      <c r="I299" s="44" t="s">
        <v>66</v>
      </c>
      <c r="J299" s="65" t="s">
        <v>13</v>
      </c>
      <c r="K299" s="44" t="str">
        <f>INDEX(Helper!$F:$F, MATCH(J299, Helper!$E:$E, 0))</f>
        <v>#FF4F53</v>
      </c>
      <c r="L299" s="45" t="s">
        <v>1344</v>
      </c>
      <c r="M299" s="45" t="s">
        <v>615</v>
      </c>
      <c r="N299" s="75" t="s">
        <v>1516</v>
      </c>
      <c r="O299" s="74" t="s">
        <v>1515</v>
      </c>
    </row>
    <row r="300" spans="1:15" ht="77.599999999999994" x14ac:dyDescent="0.4">
      <c r="A300" s="44">
        <v>297</v>
      </c>
      <c r="B300" s="44">
        <v>2</v>
      </c>
      <c r="C300" s="45" t="str">
        <f>INDEX(Helper!$N$2:$N$4, MATCH(B300, Helper!$M$2:$M$4, 0))</f>
        <v>Intermediate</v>
      </c>
      <c r="D300" s="45" t="s">
        <v>84</v>
      </c>
      <c r="E300" s="45" t="s">
        <v>1249</v>
      </c>
      <c r="F300" s="5">
        <v>2</v>
      </c>
      <c r="G300" s="44">
        <v>1</v>
      </c>
      <c r="H300" s="44" t="str">
        <f>INDEX(Helper!$C:$C, MATCH(G300, Helper!$A:$A, 0))</f>
        <v>Standard (EADGBE)</v>
      </c>
      <c r="I300" s="44" t="s">
        <v>394</v>
      </c>
      <c r="J300" s="65" t="s">
        <v>13</v>
      </c>
      <c r="K300" s="44" t="str">
        <f>INDEX(Helper!$F:$F, MATCH(J300, Helper!$E:$E, 0))</f>
        <v>#FF4F53</v>
      </c>
      <c r="L300" s="45" t="s">
        <v>1345</v>
      </c>
      <c r="M300" s="45" t="s">
        <v>615</v>
      </c>
      <c r="N300" s="75" t="s">
        <v>1518</v>
      </c>
      <c r="O300" s="74" t="s">
        <v>1517</v>
      </c>
    </row>
    <row r="301" spans="1:15" ht="347.6" x14ac:dyDescent="0.4">
      <c r="A301" s="44">
        <v>298</v>
      </c>
      <c r="B301" s="44">
        <v>2</v>
      </c>
      <c r="C301" s="45" t="str">
        <f>INDEX(Helper!$N$2:$N$4, MATCH(B301, Helper!$M$2:$M$4, 0))</f>
        <v>Intermediate</v>
      </c>
      <c r="D301" s="45" t="s">
        <v>84</v>
      </c>
      <c r="E301" s="45" t="s">
        <v>1250</v>
      </c>
      <c r="F301" s="5">
        <v>0</v>
      </c>
      <c r="G301" s="44">
        <v>1</v>
      </c>
      <c r="H301" s="44" t="str">
        <f>INDEX(Helper!$C:$C, MATCH(G301, Helper!$A:$A, 0))</f>
        <v>Standard (EADGBE)</v>
      </c>
      <c r="I301" s="44" t="s">
        <v>66</v>
      </c>
      <c r="J301" s="65" t="s">
        <v>13</v>
      </c>
      <c r="K301" s="44" t="str">
        <f>INDEX(Helper!$F:$F, MATCH(J301, Helper!$E:$E, 0))</f>
        <v>#FF4F53</v>
      </c>
      <c r="L301" s="45" t="s">
        <v>1346</v>
      </c>
      <c r="M301" s="45" t="s">
        <v>615</v>
      </c>
      <c r="N301" s="87" t="s">
        <v>1520</v>
      </c>
      <c r="O301" s="74" t="s">
        <v>1519</v>
      </c>
    </row>
    <row r="302" spans="1:15" ht="167.6" x14ac:dyDescent="0.4">
      <c r="A302" s="44">
        <v>299</v>
      </c>
      <c r="B302" s="44">
        <v>2</v>
      </c>
      <c r="C302" s="45" t="str">
        <f>INDEX(Helper!$N$2:$N$4, MATCH(B302, Helper!$M$2:$M$4, 0))</f>
        <v>Intermediate</v>
      </c>
      <c r="D302" s="45" t="s">
        <v>269</v>
      </c>
      <c r="E302" s="45" t="s">
        <v>1195</v>
      </c>
      <c r="F302" s="5">
        <v>0</v>
      </c>
      <c r="G302" s="44">
        <v>3</v>
      </c>
      <c r="H302" s="44" t="str">
        <f>INDEX(Helper!$C:$C, MATCH(G302, Helper!$A:$A, 0))</f>
        <v>Half Step Down (D#G#C#F#A#D#)</v>
      </c>
      <c r="I302" s="44" t="s">
        <v>63</v>
      </c>
      <c r="J302" s="64" t="s">
        <v>15</v>
      </c>
      <c r="K302" s="44" t="str">
        <f>INDEX(Helper!$F:$F, MATCH(J302, Helper!$E:$E, 0))</f>
        <v>#C2C2A1</v>
      </c>
      <c r="L302" s="45" t="s">
        <v>1347</v>
      </c>
      <c r="M302" s="45" t="s">
        <v>615</v>
      </c>
      <c r="N302" s="75" t="s">
        <v>1521</v>
      </c>
      <c r="O302" s="74" t="s">
        <v>1581</v>
      </c>
    </row>
    <row r="303" spans="1:15" ht="77.599999999999994" x14ac:dyDescent="0.4">
      <c r="A303" s="44">
        <v>300</v>
      </c>
      <c r="B303" s="44">
        <v>2</v>
      </c>
      <c r="C303" s="45" t="str">
        <f>INDEX(Helper!$N$2:$N$4, MATCH(B303, Helper!$M$2:$M$4, 0))</f>
        <v>Intermediate</v>
      </c>
      <c r="D303" s="45" t="s">
        <v>1197</v>
      </c>
      <c r="E303" s="45" t="s">
        <v>1196</v>
      </c>
      <c r="F303" s="5">
        <v>0</v>
      </c>
      <c r="G303" s="44">
        <v>1</v>
      </c>
      <c r="H303" s="44" t="str">
        <f>INDEX(Helper!$C:$C, MATCH(G303, Helper!$A:$A, 0))</f>
        <v>Standard (EADGBE)</v>
      </c>
      <c r="I303" s="44" t="s">
        <v>65</v>
      </c>
      <c r="J303" s="60" t="s">
        <v>1254</v>
      </c>
      <c r="K303" s="44" t="str">
        <f>INDEX(Helper!$F:$F, MATCH(J303, Helper!$E:$E, 0))</f>
        <v>#B3F141</v>
      </c>
      <c r="L303" s="45" t="s">
        <v>1277</v>
      </c>
      <c r="M303" s="45" t="s">
        <v>615</v>
      </c>
      <c r="N303" s="87" t="s">
        <v>1523</v>
      </c>
      <c r="O303" s="74" t="s">
        <v>1522</v>
      </c>
    </row>
    <row r="304" spans="1:15" ht="77.599999999999994" x14ac:dyDescent="0.4">
      <c r="A304" s="44">
        <v>301</v>
      </c>
      <c r="B304" s="44">
        <v>1</v>
      </c>
      <c r="C304" s="45" t="str">
        <f>INDEX(Helper!$N$2:$N$4, MATCH(B304, Helper!$M$2:$M$4, 0))</f>
        <v>Beginner</v>
      </c>
      <c r="D304" s="45" t="s">
        <v>261</v>
      </c>
      <c r="E304" s="45" t="s">
        <v>1198</v>
      </c>
      <c r="F304" s="5">
        <v>2</v>
      </c>
      <c r="G304" s="44">
        <v>1</v>
      </c>
      <c r="H304" s="44" t="str">
        <f>INDEX(Helper!$C:$C, MATCH(G304, Helper!$A:$A, 0))</f>
        <v>Standard (EADGBE)</v>
      </c>
      <c r="I304" s="44" t="s">
        <v>394</v>
      </c>
      <c r="J304" s="61" t="s">
        <v>11</v>
      </c>
      <c r="K304" s="44" t="str">
        <f>INDEX(Helper!$F:$F, MATCH(J304, Helper!$E:$E, 0))</f>
        <v>#E8AD1D</v>
      </c>
      <c r="L304" s="45" t="s">
        <v>1348</v>
      </c>
      <c r="M304" s="45" t="s">
        <v>615</v>
      </c>
      <c r="N304" s="75" t="s">
        <v>1525</v>
      </c>
      <c r="O304" s="74" t="s">
        <v>1524</v>
      </c>
    </row>
    <row r="305" spans="1:15" ht="409.6" x14ac:dyDescent="0.4">
      <c r="A305" s="44">
        <v>302</v>
      </c>
      <c r="B305" s="44">
        <v>3</v>
      </c>
      <c r="C305" s="45" t="str">
        <f>INDEX(Helper!$N$2:$N$4, MATCH(B305, Helper!$M$2:$M$4, 0))</f>
        <v>Advanced</v>
      </c>
      <c r="D305" s="45" t="s">
        <v>261</v>
      </c>
      <c r="E305" s="45" t="s">
        <v>1270</v>
      </c>
      <c r="F305" s="5">
        <v>0</v>
      </c>
      <c r="G305" s="44">
        <v>1</v>
      </c>
      <c r="H305" s="44" t="str">
        <f>INDEX(Helper!$C:$C, MATCH(G305, Helper!$A:$A, 0))</f>
        <v>Standard (EADGBE)</v>
      </c>
      <c r="I305" s="44" t="s">
        <v>66</v>
      </c>
      <c r="J305" s="61" t="s">
        <v>11</v>
      </c>
      <c r="K305" s="44" t="str">
        <f>INDEX(Helper!$F:$F, MATCH(J305, Helper!$E:$E, 0))</f>
        <v>#E8AD1D</v>
      </c>
      <c r="L305" s="48" t="s">
        <v>1350</v>
      </c>
      <c r="M305" s="45" t="s">
        <v>615</v>
      </c>
      <c r="N305" s="75" t="s">
        <v>1527</v>
      </c>
      <c r="O305" s="74" t="s">
        <v>1526</v>
      </c>
    </row>
    <row r="306" spans="1:15" ht="77.599999999999994" x14ac:dyDescent="0.4">
      <c r="A306" s="44">
        <v>303</v>
      </c>
      <c r="B306" s="44">
        <v>2</v>
      </c>
      <c r="C306" s="45" t="str">
        <f>INDEX(Helper!$N$2:$N$4, MATCH(B306, Helper!$M$2:$M$4, 0))</f>
        <v>Intermediate</v>
      </c>
      <c r="D306" s="45" t="s">
        <v>261</v>
      </c>
      <c r="E306" s="45" t="s">
        <v>1258</v>
      </c>
      <c r="F306" s="5">
        <v>0</v>
      </c>
      <c r="G306" s="44">
        <v>1</v>
      </c>
      <c r="H306" s="44" t="str">
        <f>INDEX(Helper!$C:$C, MATCH(G306, Helper!$A:$A, 0))</f>
        <v>Standard (EADGBE)</v>
      </c>
      <c r="I306" s="44" t="s">
        <v>67</v>
      </c>
      <c r="J306" s="61" t="s">
        <v>11</v>
      </c>
      <c r="K306" s="44" t="str">
        <f>INDEX(Helper!$F:$F, MATCH(J306, Helper!$E:$E, 0))</f>
        <v>#E8AD1D</v>
      </c>
      <c r="L306" s="45" t="s">
        <v>1349</v>
      </c>
      <c r="M306" s="45" t="s">
        <v>615</v>
      </c>
      <c r="N306" s="87" t="s">
        <v>1529</v>
      </c>
      <c r="O306" s="74" t="s">
        <v>1528</v>
      </c>
    </row>
    <row r="307" spans="1:15" ht="167.6" x14ac:dyDescent="0.4">
      <c r="A307" s="44">
        <v>304</v>
      </c>
      <c r="B307" s="44">
        <v>2</v>
      </c>
      <c r="C307" s="45" t="str">
        <f>INDEX(Helper!$N$2:$N$4, MATCH(B307, Helper!$M$2:$M$4, 0))</f>
        <v>Intermediate</v>
      </c>
      <c r="D307" s="45" t="s">
        <v>39</v>
      </c>
      <c r="E307" s="45" t="s">
        <v>1251</v>
      </c>
      <c r="F307" s="5">
        <v>2</v>
      </c>
      <c r="G307" s="44">
        <v>3</v>
      </c>
      <c r="H307" s="44" t="str">
        <f>INDEX(Helper!$C:$C, MATCH(G307, Helper!$A:$A, 0))</f>
        <v>Half Step Down (D#G#C#F#A#D#)</v>
      </c>
      <c r="I307" s="44" t="s">
        <v>795</v>
      </c>
      <c r="J307" s="65" t="s">
        <v>13</v>
      </c>
      <c r="K307" s="44" t="str">
        <f>INDEX(Helper!$F:$F, MATCH(J307, Helper!$E:$E, 0))</f>
        <v>#FF4F53</v>
      </c>
      <c r="L307" s="45" t="s">
        <v>1351</v>
      </c>
      <c r="M307" s="45" t="s">
        <v>615</v>
      </c>
      <c r="N307" s="87" t="s">
        <v>1531</v>
      </c>
      <c r="O307" s="74" t="s">
        <v>1530</v>
      </c>
    </row>
    <row r="308" spans="1:15" ht="77.599999999999994" x14ac:dyDescent="0.4">
      <c r="A308" s="44">
        <v>305</v>
      </c>
      <c r="B308" s="44">
        <v>2</v>
      </c>
      <c r="C308" s="45" t="str">
        <f>INDEX(Helper!$N$2:$N$4, MATCH(B308, Helper!$M$2:$M$4, 0))</f>
        <v>Intermediate</v>
      </c>
      <c r="D308" s="45" t="s">
        <v>39</v>
      </c>
      <c r="E308" s="45" t="s">
        <v>1199</v>
      </c>
      <c r="F308" s="5">
        <v>0</v>
      </c>
      <c r="G308" s="44">
        <v>3</v>
      </c>
      <c r="H308" s="44" t="str">
        <f>INDEX(Helper!$C:$C, MATCH(G308, Helper!$A:$A, 0))</f>
        <v>Half Step Down (D#G#C#F#A#D#)</v>
      </c>
      <c r="I308" s="44" t="s">
        <v>65</v>
      </c>
      <c r="J308" s="65" t="s">
        <v>13</v>
      </c>
      <c r="K308" s="44" t="str">
        <f>INDEX(Helper!$F:$F, MATCH(J308, Helper!$E:$E, 0))</f>
        <v>#FF4F53</v>
      </c>
      <c r="L308" s="45" t="s">
        <v>1352</v>
      </c>
      <c r="M308" s="45" t="s">
        <v>615</v>
      </c>
      <c r="N308" s="75" t="s">
        <v>1533</v>
      </c>
      <c r="O308" s="74" t="s">
        <v>1532</v>
      </c>
    </row>
    <row r="309" spans="1:15" ht="167.6" x14ac:dyDescent="0.4">
      <c r="A309" s="44">
        <v>306</v>
      </c>
      <c r="B309" s="44">
        <v>1</v>
      </c>
      <c r="C309" s="45" t="str">
        <f>INDEX(Helper!$N$2:$N$4, MATCH(B309, Helper!$M$2:$M$4, 0))</f>
        <v>Beginner</v>
      </c>
      <c r="D309" s="45" t="s">
        <v>39</v>
      </c>
      <c r="E309" s="45" t="s">
        <v>1200</v>
      </c>
      <c r="F309" s="5">
        <v>2</v>
      </c>
      <c r="G309" s="44">
        <v>3</v>
      </c>
      <c r="H309" s="44" t="str">
        <f>INDEX(Helper!$C:$C, MATCH(G309, Helper!$A:$A, 0))</f>
        <v>Half Step Down (D#G#C#F#A#D#)</v>
      </c>
      <c r="I309" s="44" t="s">
        <v>637</v>
      </c>
      <c r="J309" s="65" t="s">
        <v>13</v>
      </c>
      <c r="K309" s="44" t="str">
        <f>INDEX(Helper!$F:$F, MATCH(J309, Helper!$E:$E, 0))</f>
        <v>#FF4F53</v>
      </c>
      <c r="L309" s="45" t="s">
        <v>1353</v>
      </c>
      <c r="M309" s="45" t="s">
        <v>615</v>
      </c>
      <c r="N309" s="75" t="s">
        <v>1534</v>
      </c>
      <c r="O309" s="74" t="s">
        <v>1582</v>
      </c>
    </row>
    <row r="310" spans="1:15" ht="347.6" x14ac:dyDescent="0.4">
      <c r="A310" s="44">
        <v>307</v>
      </c>
      <c r="B310" s="44">
        <v>2</v>
      </c>
      <c r="C310" s="45" t="str">
        <f>INDEX(Helper!$N$2:$N$4, MATCH(B310, Helper!$M$2:$M$4, 0))</f>
        <v>Intermediate</v>
      </c>
      <c r="D310" s="45" t="s">
        <v>39</v>
      </c>
      <c r="E310" s="45" t="s">
        <v>1201</v>
      </c>
      <c r="F310" s="5">
        <v>0</v>
      </c>
      <c r="G310" s="44">
        <v>3</v>
      </c>
      <c r="H310" s="44" t="str">
        <f>INDEX(Helper!$C:$C, MATCH(G310, Helper!$A:$A, 0))</f>
        <v>Half Step Down (D#G#C#F#A#D#)</v>
      </c>
      <c r="I310" s="44" t="s">
        <v>624</v>
      </c>
      <c r="J310" s="65" t="s">
        <v>13</v>
      </c>
      <c r="K310" s="44" t="str">
        <f>INDEX(Helper!$F:$F, MATCH(J310, Helper!$E:$E, 0))</f>
        <v>#FF4F53</v>
      </c>
      <c r="L310" s="45" t="s">
        <v>1354</v>
      </c>
      <c r="M310" s="45" t="s">
        <v>615</v>
      </c>
      <c r="N310" s="87" t="s">
        <v>1536</v>
      </c>
      <c r="O310" s="74" t="s">
        <v>1535</v>
      </c>
    </row>
    <row r="311" spans="1:15" ht="77.599999999999994" x14ac:dyDescent="0.4">
      <c r="A311" s="44">
        <v>308</v>
      </c>
      <c r="B311" s="44">
        <v>2</v>
      </c>
      <c r="C311" s="45" t="str">
        <f>INDEX(Helper!$N$2:$N$4, MATCH(B311, Helper!$M$2:$M$4, 0))</f>
        <v>Intermediate</v>
      </c>
      <c r="D311" s="45" t="s">
        <v>39</v>
      </c>
      <c r="E311" s="45" t="s">
        <v>1202</v>
      </c>
      <c r="F311" s="5">
        <v>2</v>
      </c>
      <c r="G311" s="44">
        <v>3</v>
      </c>
      <c r="H311" s="44" t="str">
        <f>INDEX(Helper!$C:$C, MATCH(G311, Helper!$A:$A, 0))</f>
        <v>Half Step Down (D#G#C#F#A#D#)</v>
      </c>
      <c r="I311" s="44" t="s">
        <v>70</v>
      </c>
      <c r="J311" s="65" t="s">
        <v>13</v>
      </c>
      <c r="K311" s="44" t="str">
        <f>INDEX(Helper!$F:$F, MATCH(J311, Helper!$E:$E, 0))</f>
        <v>#FF4F53</v>
      </c>
      <c r="L311" s="45" t="s">
        <v>1355</v>
      </c>
      <c r="M311" s="45" t="s">
        <v>615</v>
      </c>
      <c r="N311" s="87" t="s">
        <v>1537</v>
      </c>
      <c r="O311" s="74" t="s">
        <v>1583</v>
      </c>
    </row>
    <row r="312" spans="1:15" ht="77.599999999999994" x14ac:dyDescent="0.4">
      <c r="A312" s="44">
        <v>309</v>
      </c>
      <c r="B312" s="44">
        <v>2</v>
      </c>
      <c r="C312" s="45" t="str">
        <f>INDEX(Helper!$N$2:$N$4, MATCH(B312, Helper!$M$2:$M$4, 0))</f>
        <v>Intermediate</v>
      </c>
      <c r="D312" s="45" t="s">
        <v>39</v>
      </c>
      <c r="E312" s="45" t="s">
        <v>1252</v>
      </c>
      <c r="F312" s="5">
        <v>0</v>
      </c>
      <c r="G312" s="44">
        <v>3</v>
      </c>
      <c r="H312" s="44" t="str">
        <f>INDEX(Helper!$C:$C, MATCH(G312, Helper!$A:$A, 0))</f>
        <v>Half Step Down (D#G#C#F#A#D#)</v>
      </c>
      <c r="I312" s="44" t="s">
        <v>795</v>
      </c>
      <c r="J312" s="65" t="s">
        <v>13</v>
      </c>
      <c r="K312" s="44" t="str">
        <f>INDEX(Helper!$F:$F, MATCH(J312, Helper!$E:$E, 0))</f>
        <v>#FF4F53</v>
      </c>
      <c r="L312" s="45" t="s">
        <v>1356</v>
      </c>
      <c r="M312" s="45" t="s">
        <v>615</v>
      </c>
      <c r="N312" s="87" t="s">
        <v>1538</v>
      </c>
      <c r="O312" s="74" t="s">
        <v>1584</v>
      </c>
    </row>
    <row r="313" spans="1:15" ht="77.599999999999994" x14ac:dyDescent="0.4">
      <c r="A313" s="44">
        <v>310</v>
      </c>
      <c r="B313" s="44">
        <v>2</v>
      </c>
      <c r="C313" s="45" t="str">
        <f>INDEX(Helper!$N$2:$N$4, MATCH(B313, Helper!$M$2:$M$4, 0))</f>
        <v>Intermediate</v>
      </c>
      <c r="D313" s="45" t="s">
        <v>39</v>
      </c>
      <c r="E313" s="45" t="s">
        <v>1203</v>
      </c>
      <c r="F313" s="5">
        <v>2</v>
      </c>
      <c r="G313" s="44">
        <v>9</v>
      </c>
      <c r="H313" s="44" t="str">
        <f>INDEX(Helper!$C:$C, MATCH(G313, Helper!$A:$A, 0))</f>
        <v>C#G#C#F#A#D#</v>
      </c>
      <c r="I313" s="44" t="s">
        <v>795</v>
      </c>
      <c r="J313" s="65" t="s">
        <v>13</v>
      </c>
      <c r="K313" s="44" t="str">
        <f>INDEX(Helper!$F:$F, MATCH(J313, Helper!$E:$E, 0))</f>
        <v>#FF4F53</v>
      </c>
      <c r="L313" s="45" t="s">
        <v>1357</v>
      </c>
      <c r="M313" s="45" t="s">
        <v>615</v>
      </c>
      <c r="N313" s="75" t="s">
        <v>1542</v>
      </c>
      <c r="O313" s="74" t="s">
        <v>1539</v>
      </c>
    </row>
    <row r="314" spans="1:15" ht="77.599999999999994" x14ac:dyDescent="0.4">
      <c r="A314" s="44">
        <v>311</v>
      </c>
      <c r="B314" s="44">
        <v>1</v>
      </c>
      <c r="C314" s="45" t="str">
        <f>INDEX(Helper!$N$2:$N$4, MATCH(B314, Helper!$M$2:$M$4, 0))</f>
        <v>Beginner</v>
      </c>
      <c r="D314" s="45" t="s">
        <v>39</v>
      </c>
      <c r="E314" s="45" t="s">
        <v>1271</v>
      </c>
      <c r="F314" s="5">
        <v>2</v>
      </c>
      <c r="G314" s="44">
        <v>3</v>
      </c>
      <c r="H314" s="44" t="str">
        <f>INDEX(Helper!$C:$C, MATCH(G314, Helper!$A:$A, 0))</f>
        <v>Half Step Down (D#G#C#F#A#D#)</v>
      </c>
      <c r="I314" s="44" t="s">
        <v>637</v>
      </c>
      <c r="J314" s="65" t="s">
        <v>13</v>
      </c>
      <c r="K314" s="44" t="str">
        <f>INDEX(Helper!$F:$F, MATCH(J314, Helper!$E:$E, 0))</f>
        <v>#FF4F53</v>
      </c>
      <c r="L314" s="45" t="s">
        <v>1358</v>
      </c>
      <c r="M314" s="45" t="s">
        <v>615</v>
      </c>
      <c r="N314" s="87" t="s">
        <v>1541</v>
      </c>
      <c r="O314" s="74" t="s">
        <v>1540</v>
      </c>
    </row>
    <row r="315" spans="1:15" ht="77.599999999999994" x14ac:dyDescent="0.4">
      <c r="A315" s="44">
        <v>312</v>
      </c>
      <c r="B315" s="44">
        <v>2</v>
      </c>
      <c r="C315" s="45" t="str">
        <f>INDEX(Helper!$N$2:$N$4, MATCH(B315, Helper!$M$2:$M$4, 0))</f>
        <v>Intermediate</v>
      </c>
      <c r="D315" s="45" t="s">
        <v>121</v>
      </c>
      <c r="E315" s="45" t="s">
        <v>1204</v>
      </c>
      <c r="F315" s="5">
        <v>0</v>
      </c>
      <c r="G315" s="44">
        <v>3</v>
      </c>
      <c r="H315" s="44" t="str">
        <f>INDEX(Helper!$C:$C, MATCH(G315, Helper!$A:$A, 0))</f>
        <v>Half Step Down (D#G#C#F#A#D#)</v>
      </c>
      <c r="I315" s="44" t="s">
        <v>637</v>
      </c>
      <c r="J315" s="59" t="s">
        <v>10</v>
      </c>
      <c r="K315" s="44" t="str">
        <f>INDEX(Helper!$F:$F, MATCH(J315, Helper!$E:$E, 0))</f>
        <v>#F5943C</v>
      </c>
      <c r="L315" s="45" t="s">
        <v>1359</v>
      </c>
      <c r="M315" s="45" t="s">
        <v>615</v>
      </c>
      <c r="N315" s="75" t="s">
        <v>1544</v>
      </c>
      <c r="O315" s="74" t="s">
        <v>1543</v>
      </c>
    </row>
    <row r="316" spans="1:15" ht="167.6" x14ac:dyDescent="0.4">
      <c r="A316" s="44">
        <v>313</v>
      </c>
      <c r="B316" s="44">
        <v>2</v>
      </c>
      <c r="C316" s="45" t="str">
        <f>INDEX(Helper!$N$2:$N$4, MATCH(B316, Helper!$M$2:$M$4, 0))</f>
        <v>Intermediate</v>
      </c>
      <c r="D316" s="45" t="s">
        <v>121</v>
      </c>
      <c r="E316" s="45" t="s">
        <v>1205</v>
      </c>
      <c r="F316" s="5">
        <v>2</v>
      </c>
      <c r="G316" s="44">
        <v>1</v>
      </c>
      <c r="H316" s="44" t="str">
        <f>INDEX(Helper!$C:$C, MATCH(G316, Helper!$A:$A, 0))</f>
        <v>Standard (EADGBE)</v>
      </c>
      <c r="I316" s="44" t="s">
        <v>795</v>
      </c>
      <c r="J316" s="59" t="s">
        <v>10</v>
      </c>
      <c r="K316" s="44" t="str">
        <f>INDEX(Helper!$F:$F, MATCH(J316, Helper!$E:$E, 0))</f>
        <v>#F5943C</v>
      </c>
      <c r="L316" s="45" t="s">
        <v>1360</v>
      </c>
      <c r="M316" s="45" t="s">
        <v>615</v>
      </c>
      <c r="N316" s="87" t="s">
        <v>1545</v>
      </c>
      <c r="O316" s="74" t="s">
        <v>1585</v>
      </c>
    </row>
    <row r="317" spans="1:15" ht="77.599999999999994" x14ac:dyDescent="0.4">
      <c r="A317" s="44">
        <v>314</v>
      </c>
      <c r="B317" s="44">
        <v>2</v>
      </c>
      <c r="C317" s="45" t="str">
        <f>INDEX(Helper!$N$2:$N$4, MATCH(B317, Helper!$M$2:$M$4, 0))</f>
        <v>Intermediate</v>
      </c>
      <c r="D317" s="45" t="s">
        <v>121</v>
      </c>
      <c r="E317" s="45" t="s">
        <v>1253</v>
      </c>
      <c r="F317" s="5">
        <v>2</v>
      </c>
      <c r="G317" s="44">
        <v>3</v>
      </c>
      <c r="H317" s="44" t="str">
        <f>INDEX(Helper!$C:$C, MATCH(G317, Helper!$A:$A, 0))</f>
        <v>Half Step Down (D#G#C#F#A#D#)</v>
      </c>
      <c r="I317" s="44" t="s">
        <v>795</v>
      </c>
      <c r="J317" s="59" t="s">
        <v>10</v>
      </c>
      <c r="K317" s="44" t="str">
        <f>INDEX(Helper!$F:$F, MATCH(J317, Helper!$E:$E, 0))</f>
        <v>#F5943C</v>
      </c>
      <c r="L317" s="45" t="s">
        <v>1361</v>
      </c>
      <c r="M317" s="45" t="s">
        <v>615</v>
      </c>
      <c r="N317" s="75" t="s">
        <v>1546</v>
      </c>
      <c r="O317" s="74" t="s">
        <v>1586</v>
      </c>
    </row>
    <row r="318" spans="1:15" ht="77.599999999999994" x14ac:dyDescent="0.4">
      <c r="A318" s="44">
        <v>315</v>
      </c>
      <c r="B318" s="44">
        <v>2</v>
      </c>
      <c r="C318" s="45" t="str">
        <f>INDEX(Helper!$N$2:$N$4, MATCH(B318, Helper!$M$2:$M$4, 0))</f>
        <v>Intermediate</v>
      </c>
      <c r="D318" s="45" t="s">
        <v>210</v>
      </c>
      <c r="E318" s="45" t="s">
        <v>1206</v>
      </c>
      <c r="F318" s="5">
        <v>0</v>
      </c>
      <c r="G318" s="44">
        <v>1</v>
      </c>
      <c r="H318" s="44" t="str">
        <f>INDEX(Helper!$C:$C, MATCH(G318, Helper!$A:$A, 0))</f>
        <v>Standard (EADGBE)</v>
      </c>
      <c r="I318" s="44" t="s">
        <v>795</v>
      </c>
      <c r="J318" s="57" t="s">
        <v>21</v>
      </c>
      <c r="K318" s="44" t="str">
        <f>INDEX(Helper!$F:$F, MATCH(J318, Helper!$E:$E, 0))</f>
        <v>#45F0E2</v>
      </c>
      <c r="L318" s="45" t="s">
        <v>1362</v>
      </c>
      <c r="M318" s="45" t="s">
        <v>615</v>
      </c>
      <c r="N318" s="87" t="s">
        <v>1548</v>
      </c>
      <c r="O318" s="74" t="s">
        <v>1547</v>
      </c>
    </row>
    <row r="319" spans="1:15" ht="77.599999999999994" x14ac:dyDescent="0.4">
      <c r="A319" s="44">
        <v>316</v>
      </c>
      <c r="B319" s="44">
        <v>2</v>
      </c>
      <c r="C319" s="45" t="str">
        <f>INDEX(Helper!$N$2:$N$4, MATCH(B319, Helper!$M$2:$M$4, 0))</f>
        <v>Intermediate</v>
      </c>
      <c r="D319" s="45" t="s">
        <v>210</v>
      </c>
      <c r="E319" s="45" t="s">
        <v>1272</v>
      </c>
      <c r="F319" s="5">
        <v>2</v>
      </c>
      <c r="G319" s="44">
        <v>3</v>
      </c>
      <c r="H319" s="44" t="str">
        <f>INDEX(Helper!$C:$C, MATCH(G319, Helper!$A:$A, 0))</f>
        <v>Half Step Down (D#G#C#F#A#D#)</v>
      </c>
      <c r="I319" s="44" t="s">
        <v>63</v>
      </c>
      <c r="J319" s="57" t="s">
        <v>21</v>
      </c>
      <c r="K319" s="44" t="str">
        <f>INDEX(Helper!$F:$F, MATCH(J319, Helper!$E:$E, 0))</f>
        <v>#45F0E2</v>
      </c>
      <c r="L319" s="48" t="s">
        <v>1363</v>
      </c>
      <c r="M319" s="45" t="s">
        <v>615</v>
      </c>
      <c r="N319" s="75" t="s">
        <v>1550</v>
      </c>
      <c r="O319" s="74" t="s">
        <v>1549</v>
      </c>
    </row>
    <row r="320" spans="1:15" ht="77.599999999999994" x14ac:dyDescent="0.4">
      <c r="A320" s="44">
        <v>317</v>
      </c>
      <c r="B320" s="44">
        <v>2</v>
      </c>
      <c r="C320" s="45" t="str">
        <f>INDEX(Helper!$N$2:$N$4, MATCH(B320, Helper!$M$2:$M$4, 0))</f>
        <v>Intermediate</v>
      </c>
      <c r="D320" s="45" t="s">
        <v>127</v>
      </c>
      <c r="E320" s="45" t="s">
        <v>1207</v>
      </c>
      <c r="F320" s="5">
        <v>2</v>
      </c>
      <c r="G320" s="44">
        <v>1</v>
      </c>
      <c r="H320" s="44" t="str">
        <f>INDEX(Helper!$C:$C, MATCH(G320, Helper!$A:$A, 0))</f>
        <v>Standard (EADGBE)</v>
      </c>
      <c r="I320" s="44" t="s">
        <v>638</v>
      </c>
      <c r="J320" s="59" t="s">
        <v>10</v>
      </c>
      <c r="K320" s="44" t="str">
        <f>INDEX(Helper!$F:$F, MATCH(J320, Helper!$E:$E, 0))</f>
        <v>#F5943C</v>
      </c>
      <c r="L320" s="48" t="s">
        <v>1364</v>
      </c>
      <c r="M320" s="45" t="s">
        <v>615</v>
      </c>
      <c r="N320" s="75" t="s">
        <v>1552</v>
      </c>
      <c r="O320" s="74" t="s">
        <v>1551</v>
      </c>
    </row>
    <row r="321" spans="1:15" ht="77.599999999999994" x14ac:dyDescent="0.4">
      <c r="A321" s="44">
        <v>318</v>
      </c>
      <c r="B321" s="44">
        <v>1</v>
      </c>
      <c r="C321" s="45" t="str">
        <f>INDEX(Helper!$N$2:$N$4, MATCH(B321, Helper!$M$2:$M$4, 0))</f>
        <v>Beginner</v>
      </c>
      <c r="D321" s="45" t="s">
        <v>127</v>
      </c>
      <c r="E321" s="45" t="s">
        <v>1208</v>
      </c>
      <c r="F321" s="5">
        <v>0</v>
      </c>
      <c r="G321" s="44">
        <v>1</v>
      </c>
      <c r="H321" s="44" t="str">
        <f>INDEX(Helper!$C:$C, MATCH(G321, Helper!$A:$A, 0))</f>
        <v>Standard (EADGBE)</v>
      </c>
      <c r="I321" s="44" t="s">
        <v>620</v>
      </c>
      <c r="J321" s="59" t="s">
        <v>10</v>
      </c>
      <c r="K321" s="44" t="str">
        <f>INDEX(Helper!$F:$F, MATCH(J321, Helper!$E:$E, 0))</f>
        <v>#F5943C</v>
      </c>
      <c r="L321" s="45" t="s">
        <v>1365</v>
      </c>
      <c r="M321" s="45" t="s">
        <v>615</v>
      </c>
      <c r="N321" s="75" t="s">
        <v>1554</v>
      </c>
      <c r="O321" s="74" t="s">
        <v>1553</v>
      </c>
    </row>
    <row r="322" spans="1:15" ht="167.6" x14ac:dyDescent="0.4">
      <c r="A322" s="44">
        <v>319</v>
      </c>
      <c r="B322" s="44">
        <v>2</v>
      </c>
      <c r="C322" s="45" t="str">
        <f>INDEX(Helper!$N$2:$N$4, MATCH(B322, Helper!$M$2:$M$4, 0))</f>
        <v>Intermediate</v>
      </c>
      <c r="D322" s="45" t="s">
        <v>1255</v>
      </c>
      <c r="E322" s="45" t="s">
        <v>1256</v>
      </c>
      <c r="F322" s="5">
        <v>2</v>
      </c>
      <c r="G322" s="44">
        <v>1</v>
      </c>
      <c r="H322" s="44" t="str">
        <f>INDEX(Helper!$C:$C, MATCH(G322, Helper!$A:$A, 0))</f>
        <v>Standard (EADGBE)</v>
      </c>
      <c r="I322" s="44" t="s">
        <v>394</v>
      </c>
      <c r="J322" s="60" t="s">
        <v>1254</v>
      </c>
      <c r="K322" s="44" t="str">
        <f>INDEX(Helper!$F:$F, MATCH(J322, Helper!$E:$E, 0))</f>
        <v>#B3F141</v>
      </c>
      <c r="L322" s="45" t="s">
        <v>1366</v>
      </c>
      <c r="M322" s="45" t="s">
        <v>615</v>
      </c>
      <c r="N322" s="75" t="s">
        <v>1556</v>
      </c>
      <c r="O322" s="74" t="s">
        <v>1555</v>
      </c>
    </row>
    <row r="323" spans="1:15" ht="77.599999999999994" x14ac:dyDescent="0.4">
      <c r="A323" s="44">
        <v>320</v>
      </c>
      <c r="B323" s="44">
        <v>2</v>
      </c>
      <c r="C323" s="45" t="str">
        <f>INDEX(Helper!$N$2:$N$4, MATCH(B323, Helper!$M$2:$M$4, 0))</f>
        <v>Intermediate</v>
      </c>
      <c r="D323" s="45" t="s">
        <v>224</v>
      </c>
      <c r="E323" s="45" t="s">
        <v>1257</v>
      </c>
      <c r="F323" s="5">
        <v>2</v>
      </c>
      <c r="G323" s="44">
        <v>1</v>
      </c>
      <c r="H323" s="44" t="str">
        <f>INDEX(Helper!$C:$C, MATCH(G323, Helper!$A:$A, 0))</f>
        <v>Standard (EADGBE)</v>
      </c>
      <c r="I323" s="44" t="s">
        <v>1268</v>
      </c>
      <c r="J323" s="61" t="s">
        <v>11</v>
      </c>
      <c r="K323" s="44" t="str">
        <f>INDEX(Helper!$F:$F, MATCH(J323, Helper!$E:$E, 0))</f>
        <v>#E8AD1D</v>
      </c>
      <c r="L323" s="45" t="s">
        <v>1367</v>
      </c>
      <c r="M323" s="45" t="s">
        <v>615</v>
      </c>
      <c r="N323" s="84" t="s">
        <v>1558</v>
      </c>
      <c r="O323" s="74" t="s">
        <v>1557</v>
      </c>
    </row>
    <row r="324" spans="1:15" ht="409.6" x14ac:dyDescent="0.4">
      <c r="A324" s="44">
        <v>321</v>
      </c>
      <c r="B324" s="44">
        <v>2</v>
      </c>
      <c r="C324" s="45" t="str">
        <f>INDEX(Helper!$N$2:$N$4, MATCH(B324, Helper!$M$2:$M$4, 0))</f>
        <v>Intermediate</v>
      </c>
      <c r="D324" s="45" t="s">
        <v>1259</v>
      </c>
      <c r="E324" s="45" t="s">
        <v>1260</v>
      </c>
      <c r="F324" s="5">
        <v>0</v>
      </c>
      <c r="G324" s="44">
        <v>1</v>
      </c>
      <c r="H324" s="44" t="str">
        <f>INDEX(Helper!$C:$C, MATCH(G324, Helper!$A:$A, 0))</f>
        <v>Standard (EADGBE)</v>
      </c>
      <c r="I324" s="44" t="s">
        <v>627</v>
      </c>
      <c r="J324" s="65" t="s">
        <v>13</v>
      </c>
      <c r="K324" s="44" t="str">
        <f>INDEX(Helper!$F:$F, MATCH(J324, Helper!$E:$E, 0))</f>
        <v>#FF4F53</v>
      </c>
      <c r="L324" s="45" t="s">
        <v>1368</v>
      </c>
      <c r="M324" s="45" t="s">
        <v>615</v>
      </c>
      <c r="N324" s="75" t="s">
        <v>1560</v>
      </c>
      <c r="O324" s="74" t="s">
        <v>1559</v>
      </c>
    </row>
    <row r="325" spans="1:15" ht="141.9" x14ac:dyDescent="0.4">
      <c r="A325" s="44">
        <v>322</v>
      </c>
      <c r="B325" s="44">
        <v>1</v>
      </c>
      <c r="C325" s="45" t="str">
        <f>INDEX(Helper!$N$2:$N$4, MATCH(B325, Helper!$M$2:$M$4, 0))</f>
        <v>Beginner</v>
      </c>
      <c r="D325" s="45" t="s">
        <v>1262</v>
      </c>
      <c r="E325" s="45" t="s">
        <v>1261</v>
      </c>
      <c r="F325" s="5">
        <v>2</v>
      </c>
      <c r="G325" s="44">
        <v>1</v>
      </c>
      <c r="H325" s="44" t="str">
        <f>INDEX(Helper!$C:$C, MATCH(G325, Helper!$A:$A, 0))</f>
        <v>Standard (EADGBE)</v>
      </c>
      <c r="I325" s="44" t="s">
        <v>394</v>
      </c>
      <c r="J325" s="65" t="s">
        <v>13</v>
      </c>
      <c r="K325" s="44" t="str">
        <f>INDEX(Helper!$F:$F, MATCH(J325, Helper!$E:$E, 0))</f>
        <v>#FF4F53</v>
      </c>
      <c r="L325" s="45" t="s">
        <v>1369</v>
      </c>
      <c r="M325" s="45" t="s">
        <v>615</v>
      </c>
      <c r="N325" s="84" t="s">
        <v>1562</v>
      </c>
      <c r="O325" s="74" t="s">
        <v>1561</v>
      </c>
    </row>
    <row r="326" spans="1:15" ht="167.6" x14ac:dyDescent="0.4">
      <c r="A326" s="44">
        <v>323</v>
      </c>
      <c r="B326" s="44">
        <v>2</v>
      </c>
      <c r="C326" s="45" t="str">
        <f>INDEX(Helper!$N$2:$N$4, MATCH(B326, Helper!$M$2:$M$4, 0))</f>
        <v>Intermediate</v>
      </c>
      <c r="D326" s="45" t="s">
        <v>1263</v>
      </c>
      <c r="E326" s="45" t="s">
        <v>1264</v>
      </c>
      <c r="F326" s="5">
        <v>2</v>
      </c>
      <c r="G326" s="44">
        <v>1</v>
      </c>
      <c r="H326" s="44" t="str">
        <f>INDEX(Helper!$C:$C, MATCH(G326, Helper!$A:$A, 0))</f>
        <v>Standard (EADGBE)</v>
      </c>
      <c r="I326" s="44" t="s">
        <v>394</v>
      </c>
      <c r="J326" s="65" t="s">
        <v>13</v>
      </c>
      <c r="K326" s="44" t="str">
        <f>INDEX(Helper!$F:$F, MATCH(J326, Helper!$E:$E, 0))</f>
        <v>#FF4F53</v>
      </c>
      <c r="L326" s="45" t="s">
        <v>1370</v>
      </c>
      <c r="M326" s="45" t="s">
        <v>615</v>
      </c>
      <c r="N326" s="75" t="s">
        <v>1564</v>
      </c>
      <c r="O326" s="74" t="s">
        <v>1563</v>
      </c>
    </row>
    <row r="327" spans="1:15" ht="77.599999999999994" x14ac:dyDescent="0.4">
      <c r="A327" s="44">
        <v>324</v>
      </c>
      <c r="B327" s="44">
        <v>1</v>
      </c>
      <c r="C327" s="45" t="str">
        <f>INDEX(Helper!$N$2:$N$4, MATCH(B327, Helper!$M$2:$M$4, 0))</f>
        <v>Beginner</v>
      </c>
      <c r="D327" s="45" t="s">
        <v>88</v>
      </c>
      <c r="E327" s="45" t="s">
        <v>1500</v>
      </c>
      <c r="F327" s="5">
        <v>2</v>
      </c>
      <c r="G327" s="44">
        <v>1</v>
      </c>
      <c r="H327" s="44" t="str">
        <f>INDEX(Helper!$C:$C, MATCH(G327, Helper!$A:$A, 0))</f>
        <v>Standard (EADGBE)</v>
      </c>
      <c r="I327" s="44" t="s">
        <v>61</v>
      </c>
      <c r="J327" s="65" t="s">
        <v>13</v>
      </c>
      <c r="K327" s="44" t="str">
        <f>INDEX(Helper!$F:$F, MATCH(J327, Helper!$E:$E, 0))</f>
        <v>#FF4F53</v>
      </c>
      <c r="L327" s="45" t="s">
        <v>1509</v>
      </c>
      <c r="M327" s="45" t="s">
        <v>615</v>
      </c>
      <c r="N327" s="75" t="s">
        <v>1567</v>
      </c>
      <c r="O327" s="74" t="s">
        <v>1565</v>
      </c>
    </row>
    <row r="328" spans="1:15" ht="167.6" x14ac:dyDescent="0.4">
      <c r="A328" s="44">
        <v>325</v>
      </c>
      <c r="B328" s="44">
        <v>1</v>
      </c>
      <c r="C328" s="45" t="str">
        <f>INDEX(Helper!$N$2:$N$4, MATCH(B328, Helper!$M$2:$M$4, 0))</f>
        <v>Beginner</v>
      </c>
      <c r="D328" s="45" t="s">
        <v>146</v>
      </c>
      <c r="E328" s="45" t="s">
        <v>1501</v>
      </c>
      <c r="F328" s="5">
        <v>0</v>
      </c>
      <c r="G328" s="44">
        <v>1</v>
      </c>
      <c r="H328" s="44" t="str">
        <f>INDEX(Helper!$C:$C, MATCH(G328, Helper!$A:$A, 0))</f>
        <v>Standard (EADGBE)</v>
      </c>
      <c r="I328" s="44" t="s">
        <v>63</v>
      </c>
      <c r="J328" s="65" t="s">
        <v>13</v>
      </c>
      <c r="K328" s="44" t="str">
        <f>INDEX(Helper!$F:$F, MATCH(J328, Helper!$E:$E, 0))</f>
        <v>#FF4F53</v>
      </c>
      <c r="L328" s="45" t="s">
        <v>1507</v>
      </c>
      <c r="M328" s="45" t="s">
        <v>615</v>
      </c>
      <c r="N328" s="75" t="s">
        <v>1566</v>
      </c>
      <c r="O328" s="74" t="s">
        <v>1587</v>
      </c>
    </row>
    <row r="329" spans="1:15" ht="167.6" x14ac:dyDescent="0.4">
      <c r="A329" s="44">
        <v>326</v>
      </c>
      <c r="B329" s="44">
        <v>2</v>
      </c>
      <c r="C329" s="45" t="str">
        <f>INDEX(Helper!$N$2:$N$4, MATCH(B329, Helper!$M$2:$M$4, 0))</f>
        <v>Intermediate</v>
      </c>
      <c r="D329" s="45" t="s">
        <v>146</v>
      </c>
      <c r="E329" s="45" t="s">
        <v>1502</v>
      </c>
      <c r="F329" s="5">
        <v>2</v>
      </c>
      <c r="G329" s="44">
        <v>1</v>
      </c>
      <c r="H329" s="44" t="str">
        <f>INDEX(Helper!$C:$C, MATCH(G329, Helper!$A:$A, 0))</f>
        <v>Standard (EADGBE)</v>
      </c>
      <c r="I329" s="44" t="s">
        <v>638</v>
      </c>
      <c r="J329" s="65" t="s">
        <v>13</v>
      </c>
      <c r="K329" s="44" t="str">
        <f>INDEX(Helper!$F:$F, MATCH(J329, Helper!$E:$E, 0))</f>
        <v>#FF4F53</v>
      </c>
      <c r="L329" s="45" t="s">
        <v>1508</v>
      </c>
      <c r="M329" s="45" t="s">
        <v>615</v>
      </c>
      <c r="N329" s="75" t="s">
        <v>1569</v>
      </c>
      <c r="O329" s="74" t="s">
        <v>1568</v>
      </c>
    </row>
    <row r="330" spans="1:15" ht="167.6" x14ac:dyDescent="0.4">
      <c r="A330" s="44">
        <v>327</v>
      </c>
      <c r="B330" s="44">
        <v>2</v>
      </c>
      <c r="C330" s="45" t="str">
        <f>INDEX(Helper!$N$2:$N$4, MATCH(B330, Helper!$M$2:$M$4, 0))</f>
        <v>Intermediate</v>
      </c>
      <c r="D330" s="45" t="s">
        <v>146</v>
      </c>
      <c r="E330" s="45" t="s">
        <v>147</v>
      </c>
      <c r="F330" s="5">
        <v>2</v>
      </c>
      <c r="G330" s="44">
        <v>1</v>
      </c>
      <c r="H330" s="44" t="str">
        <f>INDEX(Helper!$C:$C, MATCH(G330, Helper!$A:$A, 0))</f>
        <v>Standard (EADGBE)</v>
      </c>
      <c r="I330" s="44" t="s">
        <v>61</v>
      </c>
      <c r="J330" s="65" t="s">
        <v>13</v>
      </c>
      <c r="K330" s="44" t="str">
        <f>INDEX(Helper!$F:$F, MATCH(J330, Helper!$E:$E, 0))</f>
        <v>#FF4F53</v>
      </c>
      <c r="L330" s="45" t="s">
        <v>551</v>
      </c>
      <c r="M330" s="45" t="s">
        <v>615</v>
      </c>
      <c r="N330" s="84" t="s">
        <v>825</v>
      </c>
      <c r="O330" s="74" t="s">
        <v>1100</v>
      </c>
    </row>
    <row r="331" spans="1:15" ht="257.60000000000002" x14ac:dyDescent="0.4">
      <c r="A331" s="44">
        <v>328</v>
      </c>
      <c r="B331" s="44">
        <v>2</v>
      </c>
      <c r="C331" s="45" t="str">
        <f>INDEX(Helper!$N$2:$N$4, MATCH(B331, Helper!$M$2:$M$4, 0))</f>
        <v>Intermediate</v>
      </c>
      <c r="D331" s="45" t="s">
        <v>307</v>
      </c>
      <c r="E331" s="45" t="s">
        <v>1504</v>
      </c>
      <c r="F331" s="5">
        <v>0</v>
      </c>
      <c r="G331" s="44">
        <v>1</v>
      </c>
      <c r="H331" s="44" t="str">
        <f>INDEX(Helper!$C:$C, MATCH(G331, Helper!$A:$A, 0))</f>
        <v>Standard (EADGBE)</v>
      </c>
      <c r="I331" s="44" t="s">
        <v>65</v>
      </c>
      <c r="J331" s="71" t="s">
        <v>27</v>
      </c>
      <c r="K331" s="44" t="str">
        <f>INDEX(Helper!$F:$F, MATCH(J331, Helper!$E:$E, 0))</f>
        <v>#B2DB4B</v>
      </c>
      <c r="L331" s="45" t="s">
        <v>1506</v>
      </c>
      <c r="M331" s="45" t="s">
        <v>615</v>
      </c>
      <c r="N331" s="75" t="s">
        <v>1571</v>
      </c>
      <c r="O331" s="74" t="s">
        <v>1570</v>
      </c>
    </row>
    <row r="332" spans="1:15" ht="283.3" x14ac:dyDescent="0.4">
      <c r="A332" s="44">
        <v>329</v>
      </c>
      <c r="B332" s="44">
        <v>2</v>
      </c>
      <c r="C332" s="45" t="str">
        <f>INDEX(Helper!$N$2:$N$4, MATCH(B332, Helper!$M$2:$M$4, 0))</f>
        <v>Intermediate</v>
      </c>
      <c r="D332" s="45" t="s">
        <v>307</v>
      </c>
      <c r="E332" s="45" t="s">
        <v>1503</v>
      </c>
      <c r="F332" s="5">
        <v>2</v>
      </c>
      <c r="G332" s="44">
        <v>1</v>
      </c>
      <c r="H332" s="44" t="str">
        <f>INDEX(Helper!$C:$C, MATCH(G332, Helper!$A:$A, 0))</f>
        <v>Standard (EADGBE)</v>
      </c>
      <c r="I332" s="44" t="s">
        <v>795</v>
      </c>
      <c r="J332" s="71" t="s">
        <v>27</v>
      </c>
      <c r="K332" s="44" t="str">
        <f>INDEX(Helper!$F:$F, MATCH(J332, Helper!$E:$E, 0))</f>
        <v>#B2DB4B</v>
      </c>
      <c r="L332" s="45" t="s">
        <v>1505</v>
      </c>
      <c r="M332" s="45" t="s">
        <v>615</v>
      </c>
      <c r="N332" s="75" t="s">
        <v>1573</v>
      </c>
      <c r="O332" s="74" t="s">
        <v>1572</v>
      </c>
    </row>
    <row r="333" spans="1:15" ht="77.599999999999994" x14ac:dyDescent="0.4">
      <c r="A333" s="44">
        <v>330</v>
      </c>
      <c r="B333" s="44">
        <v>1</v>
      </c>
      <c r="C333" s="45" t="str">
        <f>INDEX(Helper!$N$2:$N$4, MATCH(B333, Helper!$M$2:$M$4, 0))</f>
        <v>Beginner</v>
      </c>
      <c r="D333" s="45" t="s">
        <v>78</v>
      </c>
      <c r="E333" s="45" t="s">
        <v>1511</v>
      </c>
      <c r="F333" s="5">
        <v>0</v>
      </c>
      <c r="G333" s="44">
        <v>1</v>
      </c>
      <c r="H333" s="44" t="str">
        <f>INDEX(Helper!$C:$C, MATCH(G333, Helper!$A:$A, 0))</f>
        <v>Standard (EADGBE)</v>
      </c>
      <c r="I333" s="44" t="s">
        <v>66</v>
      </c>
      <c r="J333" s="65" t="s">
        <v>13</v>
      </c>
      <c r="K333" s="44" t="str">
        <f>INDEX(Helper!$F:$F, MATCH(J333, Helper!$E:$E, 0))</f>
        <v>#FF4F53</v>
      </c>
      <c r="L333" s="45" t="s">
        <v>1510</v>
      </c>
      <c r="M333" s="45" t="s">
        <v>615</v>
      </c>
      <c r="N333" s="75" t="s">
        <v>1574</v>
      </c>
      <c r="O333" s="74" t="s">
        <v>1588</v>
      </c>
    </row>
    <row r="340" spans="7:10" x14ac:dyDescent="0.4">
      <c r="G340" s="80">
        <v>1</v>
      </c>
      <c r="H340" t="s">
        <v>1273</v>
      </c>
      <c r="I340">
        <v>10</v>
      </c>
      <c r="J340" s="83">
        <v>10</v>
      </c>
    </row>
    <row r="341" spans="7:10" x14ac:dyDescent="0.4">
      <c r="G341" s="80">
        <v>2</v>
      </c>
      <c r="H341" t="s">
        <v>1371</v>
      </c>
      <c r="I341">
        <v>10</v>
      </c>
      <c r="J341" s="83">
        <v>10</v>
      </c>
    </row>
    <row r="342" spans="7:10" x14ac:dyDescent="0.4">
      <c r="G342" s="80">
        <v>3</v>
      </c>
      <c r="H342" t="s">
        <v>1274</v>
      </c>
      <c r="I342">
        <v>60</v>
      </c>
      <c r="J342" s="83">
        <v>60</v>
      </c>
    </row>
    <row r="343" spans="7:10" x14ac:dyDescent="0.4">
      <c r="G343" s="80">
        <v>4</v>
      </c>
      <c r="H343" t="s">
        <v>1275</v>
      </c>
      <c r="I343">
        <v>5</v>
      </c>
    </row>
    <row r="344" spans="7:10" x14ac:dyDescent="0.4">
      <c r="G344" s="80">
        <v>5</v>
      </c>
      <c r="H344" t="s">
        <v>1276</v>
      </c>
      <c r="I344">
        <v>5</v>
      </c>
    </row>
    <row r="345" spans="7:10" x14ac:dyDescent="0.4">
      <c r="G345" s="80">
        <v>6</v>
      </c>
      <c r="H345" t="s">
        <v>1514</v>
      </c>
      <c r="I345">
        <v>10</v>
      </c>
    </row>
    <row r="346" spans="7:10" x14ac:dyDescent="0.4">
      <c r="G346" s="80"/>
      <c r="I346">
        <f>SUM(I340:I345)</f>
        <v>100</v>
      </c>
      <c r="J346">
        <f>SUM(J340:J344)</f>
        <v>80</v>
      </c>
    </row>
    <row r="347" spans="7:10" x14ac:dyDescent="0.4">
      <c r="G347" s="80"/>
    </row>
    <row r="349" spans="7:10" x14ac:dyDescent="0.4">
      <c r="H349" t="s">
        <v>171</v>
      </c>
    </row>
    <row r="350" spans="7:10" x14ac:dyDescent="0.4">
      <c r="H350" t="s">
        <v>116</v>
      </c>
    </row>
  </sheetData>
  <autoFilter ref="A1:O333">
    <filterColumn colId="1" showButton="0"/>
    <filterColumn colId="6" showButton="0"/>
    <filterColumn colId="9" showButton="0"/>
  </autoFilter>
  <sortState ref="A4:O350">
    <sortCondition ref="A4:A1000"/>
  </sortState>
  <mergeCells count="12">
    <mergeCell ref="A1:A2"/>
    <mergeCell ref="G1:H1"/>
    <mergeCell ref="O1:O2"/>
    <mergeCell ref="J1:K1"/>
    <mergeCell ref="L1:L2"/>
    <mergeCell ref="I1:I2"/>
    <mergeCell ref="E1:E2"/>
    <mergeCell ref="D1:D2"/>
    <mergeCell ref="F1:F2"/>
    <mergeCell ref="B1:C2"/>
    <mergeCell ref="N1:N2"/>
    <mergeCell ref="M1:M2"/>
  </mergeCells>
  <hyperlinks>
    <hyperlink ref="N5" r:id="rId1"/>
    <hyperlink ref="N10" r:id="rId2"/>
    <hyperlink ref="N11" r:id="rId3"/>
    <hyperlink ref="N16" r:id="rId4"/>
    <hyperlink ref="N18" r:id="rId5"/>
    <hyperlink ref="N12" r:id="rId6"/>
    <hyperlink ref="N22" r:id="rId7"/>
    <hyperlink ref="N25" r:id="rId8"/>
    <hyperlink ref="N31" r:id="rId9"/>
    <hyperlink ref="N36" r:id="rId10"/>
    <hyperlink ref="N37" r:id="rId11"/>
    <hyperlink ref="N39" r:id="rId12"/>
    <hyperlink ref="N40" r:id="rId13"/>
    <hyperlink ref="N43" r:id="rId14"/>
    <hyperlink ref="N44" r:id="rId15"/>
    <hyperlink ref="N65" r:id="rId16"/>
    <hyperlink ref="N66" r:id="rId17"/>
    <hyperlink ref="N79" r:id="rId18"/>
    <hyperlink ref="N86" r:id="rId19"/>
    <hyperlink ref="N88" r:id="rId20"/>
    <hyperlink ref="N89" r:id="rId21"/>
    <hyperlink ref="N90" r:id="rId22"/>
    <hyperlink ref="N92" r:id="rId23"/>
    <hyperlink ref="N14" r:id="rId24"/>
    <hyperlink ref="N42" r:id="rId25"/>
    <hyperlink ref="N47" r:id="rId26"/>
    <hyperlink ref="N59" r:id="rId27"/>
    <hyperlink ref="N4" r:id="rId28"/>
    <hyperlink ref="N7" r:id="rId29"/>
    <hyperlink ref="N6" r:id="rId30"/>
    <hyperlink ref="N8" r:id="rId31"/>
    <hyperlink ref="N9" r:id="rId32"/>
    <hyperlink ref="N13" r:id="rId33"/>
    <hyperlink ref="N15" r:id="rId34"/>
    <hyperlink ref="N17" r:id="rId35"/>
    <hyperlink ref="N19" r:id="rId36"/>
    <hyperlink ref="N20" r:id="rId37"/>
    <hyperlink ref="N21" r:id="rId38"/>
    <hyperlink ref="N23" r:id="rId39"/>
    <hyperlink ref="N24" r:id="rId40"/>
    <hyperlink ref="N26" r:id="rId41"/>
    <hyperlink ref="N27" r:id="rId42"/>
    <hyperlink ref="N28" r:id="rId43"/>
    <hyperlink ref="N29" r:id="rId44"/>
    <hyperlink ref="N30" r:id="rId45"/>
    <hyperlink ref="N32" r:id="rId46"/>
    <hyperlink ref="N33" r:id="rId47"/>
    <hyperlink ref="N34" r:id="rId48"/>
    <hyperlink ref="N35" r:id="rId49"/>
    <hyperlink ref="N38" r:id="rId50"/>
    <hyperlink ref="N41" r:id="rId51"/>
    <hyperlink ref="N45" r:id="rId52"/>
    <hyperlink ref="N46" r:id="rId53"/>
    <hyperlink ref="N48" r:id="rId54"/>
    <hyperlink ref="N49" r:id="rId55"/>
    <hyperlink ref="N50" r:id="rId56"/>
    <hyperlink ref="N51" r:id="rId57"/>
    <hyperlink ref="N52" r:id="rId58"/>
    <hyperlink ref="N53" r:id="rId59"/>
    <hyperlink ref="N55" r:id="rId60"/>
    <hyperlink ref="N56" r:id="rId61"/>
    <hyperlink ref="N57" r:id="rId62"/>
    <hyperlink ref="N58" r:id="rId63"/>
    <hyperlink ref="N60" r:id="rId64"/>
    <hyperlink ref="N61" r:id="rId65"/>
    <hyperlink ref="N62" r:id="rId66"/>
    <hyperlink ref="N63" r:id="rId67"/>
    <hyperlink ref="N64" r:id="rId68"/>
    <hyperlink ref="N67" r:id="rId69"/>
    <hyperlink ref="N68" r:id="rId70"/>
    <hyperlink ref="N69" r:id="rId71"/>
    <hyperlink ref="N70" r:id="rId72"/>
    <hyperlink ref="N71" r:id="rId73"/>
    <hyperlink ref="N72" r:id="rId74"/>
    <hyperlink ref="N73" r:id="rId75"/>
    <hyperlink ref="N74" r:id="rId76"/>
    <hyperlink ref="N75" r:id="rId77"/>
    <hyperlink ref="N76" r:id="rId78"/>
    <hyperlink ref="N77" r:id="rId79"/>
    <hyperlink ref="N78" r:id="rId80"/>
    <hyperlink ref="N80" r:id="rId81"/>
    <hyperlink ref="N81" r:id="rId82"/>
    <hyperlink ref="N82" r:id="rId83"/>
    <hyperlink ref="N83" r:id="rId84"/>
    <hyperlink ref="N84" r:id="rId85"/>
    <hyperlink ref="N85" r:id="rId86"/>
    <hyperlink ref="N87" r:id="rId87"/>
    <hyperlink ref="N91" r:id="rId88"/>
    <hyperlink ref="N93" r:id="rId89"/>
    <hyperlink ref="N94" r:id="rId90"/>
    <hyperlink ref="N95" r:id="rId91"/>
    <hyperlink ref="N96" r:id="rId92"/>
    <hyperlink ref="N97" r:id="rId93"/>
    <hyperlink ref="N98" r:id="rId94"/>
    <hyperlink ref="N99" r:id="rId95"/>
    <hyperlink ref="N100" r:id="rId96"/>
    <hyperlink ref="N101" r:id="rId97"/>
    <hyperlink ref="N102" r:id="rId98"/>
    <hyperlink ref="N103" r:id="rId99"/>
    <hyperlink ref="N104" r:id="rId100"/>
    <hyperlink ref="N105" r:id="rId101"/>
    <hyperlink ref="N106" r:id="rId102"/>
    <hyperlink ref="N107" r:id="rId103"/>
    <hyperlink ref="N108" r:id="rId104"/>
    <hyperlink ref="N109" r:id="rId105"/>
    <hyperlink ref="N110" r:id="rId106"/>
    <hyperlink ref="N111" r:id="rId107"/>
    <hyperlink ref="N112" r:id="rId108"/>
    <hyperlink ref="N113" r:id="rId109"/>
    <hyperlink ref="N114" r:id="rId110"/>
    <hyperlink ref="N116" r:id="rId111"/>
    <hyperlink ref="N117" r:id="rId112"/>
    <hyperlink ref="N118" r:id="rId113"/>
    <hyperlink ref="N119" r:id="rId114"/>
    <hyperlink ref="N120" r:id="rId115"/>
    <hyperlink ref="N121" r:id="rId116"/>
    <hyperlink ref="N122" r:id="rId117"/>
    <hyperlink ref="N125" r:id="rId118"/>
    <hyperlink ref="N126" r:id="rId119"/>
    <hyperlink ref="N128" r:id="rId120"/>
    <hyperlink ref="N130" r:id="rId121"/>
    <hyperlink ref="N131" r:id="rId122"/>
    <hyperlink ref="N134" r:id="rId123"/>
    <hyperlink ref="N135" r:id="rId124"/>
    <hyperlink ref="N137" r:id="rId125"/>
    <hyperlink ref="N138" r:id="rId126"/>
    <hyperlink ref="N139" r:id="rId127"/>
    <hyperlink ref="N142" r:id="rId128"/>
    <hyperlink ref="N143" r:id="rId129"/>
    <hyperlink ref="N144" r:id="rId130"/>
    <hyperlink ref="N147" r:id="rId131"/>
    <hyperlink ref="N149" r:id="rId132"/>
    <hyperlink ref="N154" r:id="rId133"/>
    <hyperlink ref="N155" r:id="rId134"/>
    <hyperlink ref="N157" r:id="rId135"/>
    <hyperlink ref="N159" r:id="rId136"/>
    <hyperlink ref="N158" r:id="rId137"/>
    <hyperlink ref="N161" r:id="rId138"/>
    <hyperlink ref="N162" r:id="rId139"/>
    <hyperlink ref="N164" r:id="rId140"/>
    <hyperlink ref="N206" r:id="rId141"/>
    <hyperlink ref="N175" r:id="rId142"/>
    <hyperlink ref="N178" r:id="rId143"/>
    <hyperlink ref="N211" r:id="rId144"/>
    <hyperlink ref="N215" r:id="rId145"/>
    <hyperlink ref="N217" r:id="rId146"/>
    <hyperlink ref="N216" r:id="rId147"/>
    <hyperlink ref="N226" r:id="rId148"/>
    <hyperlink ref="N227" r:id="rId149"/>
    <hyperlink ref="N231" r:id="rId150"/>
    <hyperlink ref="N233" r:id="rId151"/>
    <hyperlink ref="N208" r:id="rId152"/>
    <hyperlink ref="N193" r:id="rId153"/>
    <hyperlink ref="N196" r:id="rId154"/>
    <hyperlink ref="N204" r:id="rId155"/>
    <hyperlink ref="N234" r:id="rId156"/>
    <hyperlink ref="N235" r:id="rId157"/>
    <hyperlink ref="N236" r:id="rId158"/>
    <hyperlink ref="N237" r:id="rId159"/>
    <hyperlink ref="N238" r:id="rId160"/>
    <hyperlink ref="N239" r:id="rId161"/>
    <hyperlink ref="N240" r:id="rId162"/>
    <hyperlink ref="N241" r:id="rId163"/>
    <hyperlink ref="N242" r:id="rId164"/>
    <hyperlink ref="N243" r:id="rId165"/>
    <hyperlink ref="N244" r:id="rId166"/>
    <hyperlink ref="N245" r:id="rId167"/>
    <hyperlink ref="N246" r:id="rId168"/>
    <hyperlink ref="N247" r:id="rId169"/>
    <hyperlink ref="N248" r:id="rId170"/>
    <hyperlink ref="N249" r:id="rId171"/>
    <hyperlink ref="N250" r:id="rId172"/>
    <hyperlink ref="N251" r:id="rId173"/>
    <hyperlink ref="N252" r:id="rId174"/>
    <hyperlink ref="N253" r:id="rId175"/>
    <hyperlink ref="N254" r:id="rId176"/>
    <hyperlink ref="N255" r:id="rId177"/>
    <hyperlink ref="N256" r:id="rId178"/>
    <hyperlink ref="N257" r:id="rId179"/>
    <hyperlink ref="N258" r:id="rId180"/>
    <hyperlink ref="N259" r:id="rId181"/>
    <hyperlink ref="N260" r:id="rId182"/>
    <hyperlink ref="N262" r:id="rId183"/>
    <hyperlink ref="N261" r:id="rId184"/>
    <hyperlink ref="N263" r:id="rId185"/>
    <hyperlink ref="N264" r:id="rId186"/>
    <hyperlink ref="N265" r:id="rId187"/>
    <hyperlink ref="N266" r:id="rId188"/>
    <hyperlink ref="N267" r:id="rId189"/>
    <hyperlink ref="N268" r:id="rId190"/>
    <hyperlink ref="N269" r:id="rId191"/>
    <hyperlink ref="N270" r:id="rId192"/>
    <hyperlink ref="N271" r:id="rId193"/>
    <hyperlink ref="N272" r:id="rId194"/>
    <hyperlink ref="N273" r:id="rId195"/>
    <hyperlink ref="N274" r:id="rId196"/>
    <hyperlink ref="N275" r:id="rId197"/>
    <hyperlink ref="N276" r:id="rId198"/>
    <hyperlink ref="N277" r:id="rId199"/>
    <hyperlink ref="N278" r:id="rId200"/>
    <hyperlink ref="N279" r:id="rId201"/>
    <hyperlink ref="N281" r:id="rId202"/>
    <hyperlink ref="N280" r:id="rId203"/>
    <hyperlink ref="N282" r:id="rId204"/>
    <hyperlink ref="N284" r:id="rId205"/>
    <hyperlink ref="N283" r:id="rId206"/>
    <hyperlink ref="N285" r:id="rId207"/>
    <hyperlink ref="N286" r:id="rId208"/>
    <hyperlink ref="N287" r:id="rId209"/>
    <hyperlink ref="N288" r:id="rId210"/>
    <hyperlink ref="N289" r:id="rId211"/>
    <hyperlink ref="N290" r:id="rId212"/>
    <hyperlink ref="N291" r:id="rId213"/>
    <hyperlink ref="N292" r:id="rId214"/>
    <hyperlink ref="N293" r:id="rId215"/>
    <hyperlink ref="N294" r:id="rId216"/>
    <hyperlink ref="N295" r:id="rId217"/>
    <hyperlink ref="N296" r:id="rId218"/>
    <hyperlink ref="N297" r:id="rId219"/>
    <hyperlink ref="N298" r:id="rId220"/>
    <hyperlink ref="N299" r:id="rId221"/>
    <hyperlink ref="N300" r:id="rId222"/>
    <hyperlink ref="N301" r:id="rId223"/>
    <hyperlink ref="N302" r:id="rId224"/>
    <hyperlink ref="N303" r:id="rId225"/>
    <hyperlink ref="N304" r:id="rId226"/>
    <hyperlink ref="N305" r:id="rId227"/>
    <hyperlink ref="N306" r:id="rId228"/>
    <hyperlink ref="N307" r:id="rId229"/>
    <hyperlink ref="N308" r:id="rId230"/>
    <hyperlink ref="N309" r:id="rId231"/>
    <hyperlink ref="N310" r:id="rId232"/>
    <hyperlink ref="N311" r:id="rId233"/>
    <hyperlink ref="N312" r:id="rId234"/>
    <hyperlink ref="N314" r:id="rId235"/>
    <hyperlink ref="N313" r:id="rId236"/>
    <hyperlink ref="N315" r:id="rId237"/>
    <hyperlink ref="N316" r:id="rId238"/>
    <hyperlink ref="N317" r:id="rId239"/>
    <hyperlink ref="N318" r:id="rId240"/>
    <hyperlink ref="N319" r:id="rId241"/>
    <hyperlink ref="N320" r:id="rId242"/>
    <hyperlink ref="N321" r:id="rId243"/>
    <hyperlink ref="N322" r:id="rId244"/>
    <hyperlink ref="N323" r:id="rId245"/>
    <hyperlink ref="N324" r:id="rId246"/>
    <hyperlink ref="N325" r:id="rId247"/>
    <hyperlink ref="N326" r:id="rId248"/>
    <hyperlink ref="N328" r:id="rId249"/>
    <hyperlink ref="N327" r:id="rId250"/>
    <hyperlink ref="N329" r:id="rId251"/>
    <hyperlink ref="N330" r:id="rId252"/>
    <hyperlink ref="N331" r:id="rId253"/>
    <hyperlink ref="N332" r:id="rId254"/>
    <hyperlink ref="N333" r:id="rId255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"/>
  <sheetViews>
    <sheetView zoomScaleNormal="100" workbookViewId="0">
      <selection activeCell="C28" sqref="C28"/>
    </sheetView>
  </sheetViews>
  <sheetFormatPr defaultColWidth="8.84375" defaultRowHeight="14.6" x14ac:dyDescent="0.4"/>
  <cols>
    <col min="8" max="8" width="10.3046875" bestFit="1" customWidth="1"/>
    <col min="9" max="9" width="11.15234375" bestFit="1" customWidth="1"/>
    <col min="10" max="11" width="11.15234375" customWidth="1"/>
  </cols>
  <sheetData>
    <row r="1" spans="1:12" x14ac:dyDescent="0.4">
      <c r="A1">
        <f>COUNTA(3:3)</f>
        <v>12</v>
      </c>
      <c r="B1" t="s">
        <v>73</v>
      </c>
      <c r="C1">
        <v>4</v>
      </c>
    </row>
    <row r="2" spans="1:12" x14ac:dyDescent="0.4">
      <c r="A2" s="5" t="s">
        <v>0</v>
      </c>
      <c r="B2" s="5" t="s">
        <v>2</v>
      </c>
      <c r="C2" s="5" t="s">
        <v>3</v>
      </c>
      <c r="D2" s="6" t="s">
        <v>1589</v>
      </c>
      <c r="E2" s="6" t="s">
        <v>83</v>
      </c>
      <c r="F2" s="6" t="s">
        <v>613</v>
      </c>
      <c r="G2" s="5" t="s">
        <v>8</v>
      </c>
      <c r="H2" s="5" t="s">
        <v>612</v>
      </c>
      <c r="I2" s="5" t="s">
        <v>611</v>
      </c>
      <c r="J2" s="5" t="s">
        <v>616</v>
      </c>
      <c r="K2" s="5" t="s">
        <v>610</v>
      </c>
      <c r="L2" s="5" t="s">
        <v>71</v>
      </c>
    </row>
    <row r="3" spans="1:12" x14ac:dyDescent="0.4">
      <c r="A3" s="7" t="str">
        <f>QuickGuitarRiffs!A3</f>
        <v>A</v>
      </c>
      <c r="B3" s="7" t="str">
        <f>QuickGuitarRiffs!D3</f>
        <v>D</v>
      </c>
      <c r="C3" s="7" t="str">
        <f>QuickGuitarRiffs!E3</f>
        <v>E</v>
      </c>
      <c r="D3" s="7" t="str">
        <f>QuickGuitarRiffs!F3</f>
        <v>F</v>
      </c>
      <c r="E3" s="7" t="str">
        <f>QuickGuitarRiffs!B3</f>
        <v>B</v>
      </c>
      <c r="F3" s="7" t="str">
        <f>QuickGuitarRiffs!H3</f>
        <v>H</v>
      </c>
      <c r="G3" s="7" t="str">
        <f>QuickGuitarRiffs!I3</f>
        <v>I</v>
      </c>
      <c r="H3" s="7" t="str">
        <f>QuickGuitarRiffs!K3</f>
        <v>K</v>
      </c>
      <c r="I3" s="7" t="str">
        <f>QuickGuitarRiffs!L3</f>
        <v>L</v>
      </c>
      <c r="J3" s="7" t="str">
        <f>QuickGuitarRiffs!M3</f>
        <v>M</v>
      </c>
      <c r="K3" s="7" t="str">
        <f>QuickGuitarRiffs!N3</f>
        <v>N</v>
      </c>
      <c r="L3" s="7" t="str">
        <f>QuickGuitarRiffs!O3</f>
        <v>O</v>
      </c>
    </row>
    <row r="4" spans="1:12" x14ac:dyDescent="0.4">
      <c r="A4" s="3">
        <f ca="1">COLUMN(INDIRECT(A3&amp;1))</f>
        <v>1</v>
      </c>
      <c r="B4" s="3">
        <f ca="1">COLUMN(INDIRECT(B3&amp;1))</f>
        <v>4</v>
      </c>
      <c r="C4" s="3">
        <f t="shared" ref="C4:L4" ca="1" si="0">COLUMN(INDIRECT(C3&amp;1))</f>
        <v>5</v>
      </c>
      <c r="D4" s="3">
        <f t="shared" ca="1" si="0"/>
        <v>6</v>
      </c>
      <c r="E4" s="3">
        <f t="shared" ref="E4" ca="1" si="1">COLUMN(INDIRECT(E3&amp;1))</f>
        <v>2</v>
      </c>
      <c r="F4" s="3">
        <f t="shared" ca="1" si="0"/>
        <v>8</v>
      </c>
      <c r="G4" s="3">
        <f t="shared" ca="1" si="0"/>
        <v>9</v>
      </c>
      <c r="H4" s="3">
        <f t="shared" ca="1" si="0"/>
        <v>11</v>
      </c>
      <c r="I4" s="3">
        <f t="shared" ca="1" si="0"/>
        <v>12</v>
      </c>
      <c r="J4" s="3">
        <f t="shared" ca="1" si="0"/>
        <v>13</v>
      </c>
      <c r="K4" s="3">
        <f t="shared" ca="1" si="0"/>
        <v>14</v>
      </c>
      <c r="L4" s="3">
        <f t="shared" ca="1" si="0"/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Helper</vt:lpstr>
      <vt:lpstr>Spread</vt:lpstr>
      <vt:lpstr>QuickGuitarRiffs</vt:lpstr>
      <vt:lpstr>T_DATABASE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</dc:creator>
  <cp:lastModifiedBy>Solid</cp:lastModifiedBy>
  <dcterms:created xsi:type="dcterms:W3CDTF">2018-07-09T16:39:25Z</dcterms:created>
  <dcterms:modified xsi:type="dcterms:W3CDTF">2019-05-02T17:55:02Z</dcterms:modified>
</cp:coreProperties>
</file>