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ugeWall\QuickGuitarRiffs\Data\"/>
    </mc:Choice>
  </mc:AlternateContent>
  <xr:revisionPtr revIDLastSave="0" documentId="13_ncr:1_{DCD724D7-E4EB-49A7-A33E-F528EFD639DC}" xr6:coauthVersionLast="45" xr6:coauthVersionMax="45" xr10:uidLastSave="{00000000-0000-0000-0000-000000000000}"/>
  <bookViews>
    <workbookView xWindow="1170" yWindow="1170" windowWidth="28800" windowHeight="11385" activeTab="2" xr2:uid="{00000000-000D-0000-FFFF-FFFF00000000}"/>
  </bookViews>
  <sheets>
    <sheet name="Helper" sheetId="2" r:id="rId1"/>
    <sheet name="Spread" sheetId="9" r:id="rId2"/>
    <sheet name="QuickGuitarRiffs" sheetId="1" r:id="rId3"/>
    <sheet name="T_DATABASE" sheetId="3" r:id="rId4"/>
    <sheet name="Quotes" sheetId="10" r:id="rId5"/>
  </sheets>
  <externalReferences>
    <externalReference r:id="rId6"/>
  </externalReferences>
  <definedNames>
    <definedName name="_xlnm._FilterDatabase" localSheetId="2" hidden="1">QuickGuitarRiffs!$A$1:$P$334</definedName>
    <definedName name="helper">Helper!$E$3</definedName>
  </definedNames>
  <calcPr calcId="191029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3" i="10" l="1"/>
  <c r="I33" i="10" s="1"/>
  <c r="D33" i="10"/>
  <c r="C33" i="10"/>
  <c r="I32" i="10"/>
  <c r="F32" i="10"/>
  <c r="D32" i="10"/>
  <c r="C32" i="10"/>
  <c r="H32" i="10" s="1"/>
  <c r="F31" i="10"/>
  <c r="I31" i="10" s="1"/>
  <c r="D31" i="10"/>
  <c r="C31" i="10"/>
  <c r="H31" i="10" s="1"/>
  <c r="I30" i="10"/>
  <c r="F30" i="10"/>
  <c r="D30" i="10"/>
  <c r="C30" i="10"/>
  <c r="H30" i="10" s="1"/>
  <c r="F29" i="10"/>
  <c r="I29" i="10" s="1"/>
  <c r="D29" i="10"/>
  <c r="C29" i="10"/>
  <c r="H29" i="10" s="1"/>
  <c r="F28" i="10"/>
  <c r="I28" i="10" s="1"/>
  <c r="D28" i="10"/>
  <c r="C28" i="10"/>
  <c r="H28" i="10" s="1"/>
  <c r="F27" i="10"/>
  <c r="I27" i="10" s="1"/>
  <c r="D27" i="10"/>
  <c r="C27" i="10"/>
  <c r="H27" i="10" s="1"/>
  <c r="H26" i="10"/>
  <c r="F26" i="10"/>
  <c r="I26" i="10" s="1"/>
  <c r="D26" i="10"/>
  <c r="C26" i="10"/>
  <c r="F25" i="10"/>
  <c r="I25" i="10" s="1"/>
  <c r="D25" i="10"/>
  <c r="C25" i="10"/>
  <c r="H25" i="10" s="1"/>
  <c r="F24" i="10"/>
  <c r="I24" i="10" s="1"/>
  <c r="D24" i="10"/>
  <c r="C24" i="10"/>
  <c r="H24" i="10" s="1"/>
  <c r="F23" i="10"/>
  <c r="I23" i="10" s="1"/>
  <c r="D23" i="10"/>
  <c r="H23" i="10" s="1"/>
  <c r="C23" i="10"/>
  <c r="F22" i="10"/>
  <c r="I22" i="10" s="1"/>
  <c r="D22" i="10"/>
  <c r="C22" i="10"/>
  <c r="F21" i="10"/>
  <c r="I21" i="10" s="1"/>
  <c r="D21" i="10"/>
  <c r="H21" i="10" s="1"/>
  <c r="C21" i="10"/>
  <c r="F20" i="10"/>
  <c r="I20" i="10" s="1"/>
  <c r="D20" i="10"/>
  <c r="C20" i="10"/>
  <c r="H20" i="10" s="1"/>
  <c r="I19" i="10"/>
  <c r="F19" i="10"/>
  <c r="D19" i="10"/>
  <c r="C19" i="10"/>
  <c r="H19" i="10" s="1"/>
  <c r="F18" i="10"/>
  <c r="I18" i="10" s="1"/>
  <c r="D18" i="10"/>
  <c r="C18" i="10"/>
  <c r="H18" i="10" s="1"/>
  <c r="F17" i="10"/>
  <c r="I17" i="10" s="1"/>
  <c r="D17" i="10"/>
  <c r="C17" i="10"/>
  <c r="I16" i="10"/>
  <c r="H16" i="10"/>
  <c r="F16" i="10"/>
  <c r="D16" i="10"/>
  <c r="C16" i="10"/>
  <c r="F15" i="10"/>
  <c r="I15" i="10" s="1"/>
  <c r="D15" i="10"/>
  <c r="C15" i="10"/>
  <c r="H15" i="10" s="1"/>
  <c r="F14" i="10"/>
  <c r="I14" i="10" s="1"/>
  <c r="D14" i="10"/>
  <c r="C14" i="10"/>
  <c r="F13" i="10"/>
  <c r="I13" i="10" s="1"/>
  <c r="D13" i="10"/>
  <c r="C13" i="10"/>
  <c r="H13" i="10" s="1"/>
  <c r="F12" i="10"/>
  <c r="I12" i="10" s="1"/>
  <c r="D12" i="10"/>
  <c r="C12" i="10"/>
  <c r="F11" i="10"/>
  <c r="I11" i="10" s="1"/>
  <c r="D11" i="10"/>
  <c r="C11" i="10"/>
  <c r="H11" i="10" s="1"/>
  <c r="H10" i="10"/>
  <c r="F10" i="10"/>
  <c r="I10" i="10" s="1"/>
  <c r="D10" i="10"/>
  <c r="C10" i="10"/>
  <c r="F9" i="10"/>
  <c r="I9" i="10" s="1"/>
  <c r="D9" i="10"/>
  <c r="C9" i="10"/>
  <c r="H9" i="10" s="1"/>
  <c r="F8" i="10"/>
  <c r="I8" i="10" s="1"/>
  <c r="D8" i="10"/>
  <c r="C8" i="10"/>
  <c r="H8" i="10" s="1"/>
  <c r="F7" i="10"/>
  <c r="I7" i="10" s="1"/>
  <c r="D7" i="10"/>
  <c r="C7" i="10"/>
  <c r="H7" i="10" s="1"/>
  <c r="F6" i="10"/>
  <c r="I6" i="10" s="1"/>
  <c r="D6" i="10"/>
  <c r="C6" i="10"/>
  <c r="H6" i="10" s="1"/>
  <c r="F5" i="10"/>
  <c r="I5" i="10" s="1"/>
  <c r="D5" i="10"/>
  <c r="C5" i="10"/>
  <c r="F4" i="10"/>
  <c r="I4" i="10" s="1"/>
  <c r="D4" i="10"/>
  <c r="C4" i="10"/>
  <c r="I3" i="10"/>
  <c r="F3" i="10"/>
  <c r="D3" i="10"/>
  <c r="C3" i="10"/>
  <c r="H3" i="10" s="1"/>
  <c r="F2" i="10"/>
  <c r="I2" i="10" s="1"/>
  <c r="D2" i="10"/>
  <c r="C2" i="10"/>
  <c r="H2" i="10" s="1"/>
  <c r="F1" i="10"/>
  <c r="I1" i="10" s="1"/>
  <c r="D1" i="10"/>
  <c r="C1" i="10"/>
  <c r="H1" i="10" s="1"/>
  <c r="H33" i="10" l="1"/>
  <c r="H22" i="10"/>
  <c r="H17" i="10"/>
  <c r="H14" i="10"/>
  <c r="H12" i="10"/>
  <c r="H5" i="10"/>
  <c r="H4" i="10"/>
  <c r="Q7" i="2"/>
  <c r="Q8" i="2"/>
  <c r="M3" i="3"/>
  <c r="L3" i="3"/>
  <c r="K3" i="3"/>
  <c r="J3" i="3"/>
  <c r="I3" i="3"/>
  <c r="H3" i="3"/>
  <c r="G3" i="3"/>
  <c r="F3" i="3"/>
  <c r="E3" i="3"/>
  <c r="C3" i="3"/>
  <c r="D3" i="3"/>
  <c r="B3" i="3"/>
  <c r="A3" i="3"/>
  <c r="B3" i="1"/>
  <c r="I32" i="2"/>
  <c r="K32" i="2"/>
  <c r="H32" i="2"/>
  <c r="I31" i="2"/>
  <c r="K31" i="2"/>
  <c r="H31" i="2"/>
  <c r="I30" i="2"/>
  <c r="K30" i="2"/>
  <c r="H30" i="2"/>
  <c r="I29" i="2"/>
  <c r="K29" i="2"/>
  <c r="H29" i="2"/>
  <c r="I28" i="2"/>
  <c r="K28" i="2"/>
  <c r="H28" i="2"/>
  <c r="I27" i="2"/>
  <c r="K27" i="2"/>
  <c r="H27" i="2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334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G3" i="1"/>
  <c r="C3" i="1"/>
  <c r="K3" i="1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I2" i="2"/>
  <c r="K2" i="2" s="1"/>
  <c r="I3" i="2"/>
  <c r="I4" i="2"/>
  <c r="I5" i="2"/>
  <c r="K5" i="2" s="1"/>
  <c r="I6" i="2"/>
  <c r="I7" i="2"/>
  <c r="K7" i="2" s="1"/>
  <c r="I8" i="2"/>
  <c r="I9" i="2"/>
  <c r="I10" i="2"/>
  <c r="I11" i="2"/>
  <c r="I12" i="2"/>
  <c r="K12" i="2" s="1"/>
  <c r="I13" i="2"/>
  <c r="I14" i="2"/>
  <c r="I15" i="2"/>
  <c r="I16" i="2"/>
  <c r="I17" i="2"/>
  <c r="I18" i="2"/>
  <c r="K18" i="2" s="1"/>
  <c r="I19" i="2"/>
  <c r="I20" i="2"/>
  <c r="I21" i="2"/>
  <c r="I22" i="2"/>
  <c r="I23" i="2"/>
  <c r="K23" i="2" s="1"/>
  <c r="I24" i="2"/>
  <c r="I25" i="2"/>
  <c r="I26" i="2"/>
  <c r="K26" i="2" s="1"/>
  <c r="B5" i="9"/>
  <c r="F5" i="9"/>
  <c r="C5" i="9"/>
  <c r="D5" i="9"/>
  <c r="G5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F6" i="9"/>
  <c r="F7" i="9"/>
  <c r="F8" i="9"/>
  <c r="F9" i="9"/>
  <c r="F10" i="9"/>
  <c r="F11" i="9"/>
  <c r="F12" i="9"/>
  <c r="F13" i="9"/>
  <c r="F14" i="9"/>
  <c r="F15" i="9"/>
  <c r="F16" i="9"/>
  <c r="F17" i="9"/>
  <c r="I17" i="9" s="1"/>
  <c r="F18" i="9"/>
  <c r="F19" i="9"/>
  <c r="F20" i="9"/>
  <c r="F21" i="9"/>
  <c r="F22" i="9"/>
  <c r="F23" i="9"/>
  <c r="F24" i="9"/>
  <c r="I24" i="9" s="1"/>
  <c r="F25" i="9"/>
  <c r="F26" i="9"/>
  <c r="F27" i="9"/>
  <c r="F28" i="9"/>
  <c r="F29" i="9"/>
  <c r="D6" i="9"/>
  <c r="O6" i="9" s="1"/>
  <c r="R6" i="9" s="1"/>
  <c r="D7" i="9"/>
  <c r="D8" i="9"/>
  <c r="D9" i="9"/>
  <c r="O9" i="9" s="1"/>
  <c r="R9" i="9" s="1"/>
  <c r="D10" i="9"/>
  <c r="D11" i="9"/>
  <c r="D12" i="9"/>
  <c r="O12" i="9" s="1"/>
  <c r="R12" i="9" s="1"/>
  <c r="D13" i="9"/>
  <c r="D14" i="9"/>
  <c r="D15" i="9"/>
  <c r="D16" i="9"/>
  <c r="O16" i="9" s="1"/>
  <c r="R16" i="9" s="1"/>
  <c r="D17" i="9"/>
  <c r="D18" i="9"/>
  <c r="D19" i="9"/>
  <c r="D20" i="9"/>
  <c r="D21" i="9"/>
  <c r="D22" i="9"/>
  <c r="D23" i="9"/>
  <c r="D24" i="9"/>
  <c r="D25" i="9"/>
  <c r="D26" i="9"/>
  <c r="D27" i="9"/>
  <c r="O27" i="9" s="1"/>
  <c r="R27" i="9" s="1"/>
  <c r="D28" i="9"/>
  <c r="D29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N19" i="9" s="1"/>
  <c r="Q19" i="9" s="1"/>
  <c r="C20" i="9"/>
  <c r="C21" i="9"/>
  <c r="C22" i="9"/>
  <c r="C23" i="9"/>
  <c r="N23" i="9" s="1"/>
  <c r="Q23" i="9" s="1"/>
  <c r="C24" i="9"/>
  <c r="C25" i="9"/>
  <c r="C26" i="9"/>
  <c r="C27" i="9"/>
  <c r="N27" i="9" s="1"/>
  <c r="Q27" i="9" s="1"/>
  <c r="C28" i="9"/>
  <c r="C29" i="9"/>
  <c r="B9" i="9"/>
  <c r="B8" i="9"/>
  <c r="B7" i="9"/>
  <c r="B6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M25" i="9" s="1"/>
  <c r="P25" i="9" s="1"/>
  <c r="B26" i="9"/>
  <c r="B27" i="9"/>
  <c r="B28" i="9"/>
  <c r="B29" i="9"/>
  <c r="L333" i="1"/>
  <c r="I333" i="1"/>
  <c r="D333" i="1"/>
  <c r="L332" i="1"/>
  <c r="I332" i="1"/>
  <c r="D332" i="1"/>
  <c r="L331" i="1"/>
  <c r="I331" i="1"/>
  <c r="D331" i="1"/>
  <c r="L330" i="1"/>
  <c r="I330" i="1"/>
  <c r="D330" i="1"/>
  <c r="L329" i="1"/>
  <c r="I329" i="1"/>
  <c r="D329" i="1"/>
  <c r="L328" i="1"/>
  <c r="I328" i="1"/>
  <c r="D328" i="1"/>
  <c r="L327" i="1"/>
  <c r="I327" i="1"/>
  <c r="D327" i="1"/>
  <c r="L326" i="1"/>
  <c r="I326" i="1"/>
  <c r="D326" i="1"/>
  <c r="L325" i="1"/>
  <c r="I325" i="1"/>
  <c r="D325" i="1"/>
  <c r="L306" i="1"/>
  <c r="I306" i="1"/>
  <c r="D306" i="1"/>
  <c r="L13" i="1"/>
  <c r="L324" i="1"/>
  <c r="I324" i="1"/>
  <c r="D324" i="1"/>
  <c r="L323" i="1"/>
  <c r="I323" i="1"/>
  <c r="D323" i="1"/>
  <c r="L322" i="1"/>
  <c r="I322" i="1"/>
  <c r="D322" i="1"/>
  <c r="L321" i="1"/>
  <c r="I321" i="1"/>
  <c r="D321" i="1"/>
  <c r="L320" i="1"/>
  <c r="I320" i="1"/>
  <c r="D320" i="1"/>
  <c r="L319" i="1"/>
  <c r="I319" i="1"/>
  <c r="D319" i="1"/>
  <c r="L318" i="1"/>
  <c r="I318" i="1"/>
  <c r="D318" i="1"/>
  <c r="L317" i="1"/>
  <c r="I317" i="1"/>
  <c r="D317" i="1"/>
  <c r="L316" i="1"/>
  <c r="I316" i="1"/>
  <c r="D316" i="1"/>
  <c r="L315" i="1"/>
  <c r="I315" i="1"/>
  <c r="D315" i="1"/>
  <c r="L314" i="1"/>
  <c r="I314" i="1"/>
  <c r="D314" i="1"/>
  <c r="L313" i="1"/>
  <c r="I313" i="1"/>
  <c r="D313" i="1"/>
  <c r="L312" i="1"/>
  <c r="I312" i="1"/>
  <c r="D312" i="1"/>
  <c r="L311" i="1"/>
  <c r="I311" i="1"/>
  <c r="D311" i="1"/>
  <c r="L310" i="1"/>
  <c r="I310" i="1"/>
  <c r="D310" i="1"/>
  <c r="L309" i="1"/>
  <c r="I309" i="1"/>
  <c r="D309" i="1"/>
  <c r="L308" i="1"/>
  <c r="I308" i="1"/>
  <c r="D308" i="1"/>
  <c r="L307" i="1"/>
  <c r="I307" i="1"/>
  <c r="D307" i="1"/>
  <c r="L305" i="1"/>
  <c r="I305" i="1"/>
  <c r="D305" i="1"/>
  <c r="L304" i="1"/>
  <c r="I304" i="1"/>
  <c r="D304" i="1"/>
  <c r="L303" i="1"/>
  <c r="I303" i="1"/>
  <c r="D303" i="1"/>
  <c r="L302" i="1"/>
  <c r="I302" i="1"/>
  <c r="D302" i="1"/>
  <c r="L301" i="1"/>
  <c r="I301" i="1"/>
  <c r="D301" i="1"/>
  <c r="L300" i="1"/>
  <c r="I300" i="1"/>
  <c r="D300" i="1"/>
  <c r="L299" i="1"/>
  <c r="I299" i="1"/>
  <c r="D299" i="1"/>
  <c r="L298" i="1"/>
  <c r="I298" i="1"/>
  <c r="D298" i="1"/>
  <c r="L297" i="1"/>
  <c r="I297" i="1"/>
  <c r="D297" i="1"/>
  <c r="L296" i="1"/>
  <c r="I296" i="1"/>
  <c r="D296" i="1"/>
  <c r="L295" i="1"/>
  <c r="I295" i="1"/>
  <c r="D295" i="1"/>
  <c r="L294" i="1"/>
  <c r="I294" i="1"/>
  <c r="D294" i="1"/>
  <c r="L293" i="1"/>
  <c r="I293" i="1"/>
  <c r="D293" i="1"/>
  <c r="L292" i="1"/>
  <c r="I292" i="1"/>
  <c r="D292" i="1"/>
  <c r="L291" i="1"/>
  <c r="I291" i="1"/>
  <c r="D291" i="1"/>
  <c r="L290" i="1"/>
  <c r="I290" i="1"/>
  <c r="D290" i="1"/>
  <c r="L289" i="1"/>
  <c r="I289" i="1"/>
  <c r="D289" i="1"/>
  <c r="L288" i="1"/>
  <c r="I288" i="1"/>
  <c r="D288" i="1"/>
  <c r="L287" i="1"/>
  <c r="I287" i="1"/>
  <c r="D287" i="1"/>
  <c r="L286" i="1"/>
  <c r="I286" i="1"/>
  <c r="D286" i="1"/>
  <c r="L285" i="1"/>
  <c r="I285" i="1"/>
  <c r="D285" i="1"/>
  <c r="L284" i="1"/>
  <c r="I284" i="1"/>
  <c r="D284" i="1"/>
  <c r="L283" i="1"/>
  <c r="I283" i="1"/>
  <c r="D283" i="1"/>
  <c r="L282" i="1"/>
  <c r="I282" i="1"/>
  <c r="D282" i="1"/>
  <c r="L281" i="1"/>
  <c r="I281" i="1"/>
  <c r="D281" i="1"/>
  <c r="L280" i="1"/>
  <c r="I280" i="1"/>
  <c r="D280" i="1"/>
  <c r="L279" i="1"/>
  <c r="I279" i="1"/>
  <c r="D279" i="1"/>
  <c r="L278" i="1"/>
  <c r="I278" i="1"/>
  <c r="D278" i="1"/>
  <c r="L277" i="1"/>
  <c r="I277" i="1"/>
  <c r="D277" i="1"/>
  <c r="L276" i="1"/>
  <c r="I276" i="1"/>
  <c r="D276" i="1"/>
  <c r="L275" i="1"/>
  <c r="I275" i="1"/>
  <c r="D275" i="1"/>
  <c r="L274" i="1"/>
  <c r="I274" i="1"/>
  <c r="D274" i="1"/>
  <c r="L273" i="1"/>
  <c r="I273" i="1"/>
  <c r="D273" i="1"/>
  <c r="L272" i="1"/>
  <c r="I272" i="1"/>
  <c r="D272" i="1"/>
  <c r="L271" i="1"/>
  <c r="I271" i="1"/>
  <c r="D271" i="1"/>
  <c r="L270" i="1"/>
  <c r="I270" i="1"/>
  <c r="D270" i="1"/>
  <c r="L269" i="1"/>
  <c r="I269" i="1"/>
  <c r="D269" i="1"/>
  <c r="L268" i="1"/>
  <c r="I268" i="1"/>
  <c r="D268" i="1"/>
  <c r="L267" i="1"/>
  <c r="I267" i="1"/>
  <c r="D267" i="1"/>
  <c r="L266" i="1"/>
  <c r="I266" i="1"/>
  <c r="D266" i="1"/>
  <c r="L265" i="1"/>
  <c r="I265" i="1"/>
  <c r="D265" i="1"/>
  <c r="L264" i="1"/>
  <c r="I264" i="1"/>
  <c r="D264" i="1"/>
  <c r="L263" i="1"/>
  <c r="I263" i="1"/>
  <c r="D263" i="1"/>
  <c r="L262" i="1"/>
  <c r="I262" i="1"/>
  <c r="D262" i="1"/>
  <c r="L261" i="1"/>
  <c r="I261" i="1"/>
  <c r="D261" i="1"/>
  <c r="L260" i="1"/>
  <c r="I260" i="1"/>
  <c r="D260" i="1"/>
  <c r="L259" i="1"/>
  <c r="I259" i="1"/>
  <c r="D259" i="1"/>
  <c r="L258" i="1"/>
  <c r="I258" i="1"/>
  <c r="D258" i="1"/>
  <c r="L257" i="1"/>
  <c r="I257" i="1"/>
  <c r="D257" i="1"/>
  <c r="L256" i="1"/>
  <c r="I256" i="1"/>
  <c r="D256" i="1"/>
  <c r="L255" i="1"/>
  <c r="I255" i="1"/>
  <c r="D255" i="1"/>
  <c r="L254" i="1"/>
  <c r="I254" i="1"/>
  <c r="D254" i="1"/>
  <c r="L253" i="1"/>
  <c r="I253" i="1"/>
  <c r="D253" i="1"/>
  <c r="L252" i="1"/>
  <c r="I252" i="1"/>
  <c r="D252" i="1"/>
  <c r="L251" i="1"/>
  <c r="I251" i="1"/>
  <c r="D251" i="1"/>
  <c r="L250" i="1"/>
  <c r="I250" i="1"/>
  <c r="D250" i="1"/>
  <c r="L249" i="1"/>
  <c r="I249" i="1"/>
  <c r="D249" i="1"/>
  <c r="L248" i="1"/>
  <c r="I248" i="1"/>
  <c r="D248" i="1"/>
  <c r="L247" i="1"/>
  <c r="I247" i="1"/>
  <c r="D247" i="1"/>
  <c r="L246" i="1"/>
  <c r="I246" i="1"/>
  <c r="D246" i="1"/>
  <c r="L245" i="1"/>
  <c r="I245" i="1"/>
  <c r="D245" i="1"/>
  <c r="L244" i="1"/>
  <c r="I244" i="1"/>
  <c r="D244" i="1"/>
  <c r="L243" i="1"/>
  <c r="I243" i="1"/>
  <c r="D243" i="1"/>
  <c r="L242" i="1"/>
  <c r="I242" i="1"/>
  <c r="D242" i="1"/>
  <c r="L241" i="1"/>
  <c r="I241" i="1"/>
  <c r="D241" i="1"/>
  <c r="L240" i="1"/>
  <c r="I240" i="1"/>
  <c r="D240" i="1"/>
  <c r="L239" i="1"/>
  <c r="I239" i="1"/>
  <c r="D239" i="1"/>
  <c r="L238" i="1"/>
  <c r="I238" i="1"/>
  <c r="D238" i="1"/>
  <c r="L237" i="1"/>
  <c r="I237" i="1"/>
  <c r="D237" i="1"/>
  <c r="L236" i="1"/>
  <c r="I236" i="1"/>
  <c r="D236" i="1"/>
  <c r="L235" i="1"/>
  <c r="I235" i="1"/>
  <c r="D235" i="1"/>
  <c r="L234" i="1"/>
  <c r="I234" i="1"/>
  <c r="D234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L4" i="1"/>
  <c r="L5" i="1"/>
  <c r="L6" i="1"/>
  <c r="L7" i="1"/>
  <c r="L8" i="1"/>
  <c r="L9" i="1"/>
  <c r="L10" i="1"/>
  <c r="L11" i="1"/>
  <c r="L12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O11" i="9"/>
  <c r="R11" i="9" s="1"/>
  <c r="O18" i="9"/>
  <c r="R18" i="9" s="1"/>
  <c r="O19" i="9"/>
  <c r="R19" i="9" s="1"/>
  <c r="O5" i="9"/>
  <c r="R5" i="9" s="1"/>
  <c r="N10" i="9"/>
  <c r="Q10" i="9" s="1"/>
  <c r="N11" i="9"/>
  <c r="Q11" i="9" s="1"/>
  <c r="N5" i="9"/>
  <c r="Q5" i="9" s="1"/>
  <c r="I6" i="9"/>
  <c r="I10" i="9"/>
  <c r="L10" i="9" s="1"/>
  <c r="I11" i="9"/>
  <c r="I14" i="9"/>
  <c r="I16" i="9"/>
  <c r="I21" i="9"/>
  <c r="I27" i="9"/>
  <c r="K3" i="2"/>
  <c r="K4" i="2"/>
  <c r="K6" i="2"/>
  <c r="K8" i="2"/>
  <c r="K9" i="2"/>
  <c r="K10" i="2"/>
  <c r="K11" i="2"/>
  <c r="K14" i="2"/>
  <c r="K15" i="2"/>
  <c r="K16" i="2"/>
  <c r="K17" i="2"/>
  <c r="K19" i="2"/>
  <c r="K20" i="2"/>
  <c r="K21" i="2"/>
  <c r="K22" i="2"/>
  <c r="K24" i="2"/>
  <c r="K25" i="2"/>
  <c r="N3" i="1"/>
  <c r="O3" i="1"/>
  <c r="P3" i="1"/>
  <c r="M3" i="1"/>
  <c r="L3" i="1"/>
  <c r="J3" i="1"/>
  <c r="I3" i="1"/>
  <c r="H3" i="1"/>
  <c r="F3" i="1"/>
  <c r="E3" i="1"/>
  <c r="D3" i="1"/>
  <c r="A3" i="1"/>
  <c r="L4" i="3"/>
  <c r="G4" i="3"/>
  <c r="E4" i="3"/>
  <c r="B4" i="3"/>
  <c r="A4" i="3"/>
  <c r="C4" i="3"/>
  <c r="J4" i="3"/>
  <c r="H4" i="3"/>
  <c r="M4" i="3"/>
  <c r="I4" i="3"/>
  <c r="K4" i="3"/>
  <c r="F4" i="3"/>
  <c r="D4" i="3"/>
  <c r="N22" i="9" l="1"/>
  <c r="Q22" i="9" s="1"/>
  <c r="I15" i="9"/>
  <c r="M14" i="9"/>
  <c r="P14" i="9" s="1"/>
  <c r="N6" i="9"/>
  <c r="Q6" i="9" s="1"/>
  <c r="O14" i="9"/>
  <c r="R14" i="9" s="1"/>
  <c r="I22" i="9"/>
  <c r="M19" i="9"/>
  <c r="P19" i="9" s="1"/>
  <c r="M6" i="9"/>
  <c r="P6" i="9" s="1"/>
  <c r="I19" i="9"/>
  <c r="M24" i="9"/>
  <c r="P24" i="9" s="1"/>
  <c r="N16" i="9"/>
  <c r="Q16" i="9" s="1"/>
  <c r="O24" i="9"/>
  <c r="R24" i="9" s="1"/>
  <c r="O8" i="9"/>
  <c r="R8" i="9" s="1"/>
  <c r="I8" i="9"/>
  <c r="N13" i="9"/>
  <c r="Q13" i="9" s="1"/>
  <c r="N8" i="9"/>
  <c r="Q8" i="9" s="1"/>
  <c r="M16" i="9"/>
  <c r="P16" i="9" s="1"/>
  <c r="N24" i="9"/>
  <c r="Q24" i="9" s="1"/>
  <c r="M20" i="9"/>
  <c r="P20" i="9" s="1"/>
  <c r="N28" i="9"/>
  <c r="Q28" i="9" s="1"/>
  <c r="N12" i="9"/>
  <c r="Q12" i="9" s="1"/>
  <c r="O20" i="9"/>
  <c r="R20" i="9" s="1"/>
  <c r="I12" i="9"/>
  <c r="I9" i="9"/>
  <c r="N18" i="9"/>
  <c r="Q18" i="9" s="1"/>
  <c r="O26" i="9"/>
  <c r="R26" i="9" s="1"/>
  <c r="O10" i="9"/>
  <c r="R10" i="9" s="1"/>
  <c r="N15" i="9"/>
  <c r="Q15" i="9" s="1"/>
  <c r="O23" i="9"/>
  <c r="R23" i="9" s="1"/>
  <c r="O7" i="9"/>
  <c r="R7" i="9" s="1"/>
  <c r="I23" i="9"/>
  <c r="O17" i="9"/>
  <c r="R17" i="9" s="1"/>
  <c r="E27" i="9"/>
  <c r="J27" i="9" s="1"/>
  <c r="K27" i="9" s="1"/>
  <c r="M27" i="9"/>
  <c r="P27" i="9" s="1"/>
  <c r="E17" i="9"/>
  <c r="L17" i="9" s="1"/>
  <c r="M22" i="9"/>
  <c r="P22" i="9" s="1"/>
  <c r="N14" i="9"/>
  <c r="Q14" i="9" s="1"/>
  <c r="O22" i="9"/>
  <c r="R22" i="9" s="1"/>
  <c r="E18" i="9"/>
  <c r="N26" i="9"/>
  <c r="Q26" i="9" s="1"/>
  <c r="I26" i="9"/>
  <c r="I25" i="9"/>
  <c r="N9" i="9"/>
  <c r="Q9" i="9" s="1"/>
  <c r="E10" i="9"/>
  <c r="J10" i="9" s="1"/>
  <c r="K10" i="9" s="1"/>
  <c r="I18" i="9"/>
  <c r="N25" i="9"/>
  <c r="Q25" i="9" s="1"/>
  <c r="M17" i="9"/>
  <c r="P17" i="9" s="1"/>
  <c r="E16" i="9"/>
  <c r="J16" i="9" s="1"/>
  <c r="K16" i="9" s="1"/>
  <c r="E24" i="9"/>
  <c r="L24" i="9" s="1"/>
  <c r="E23" i="9"/>
  <c r="I13" i="9"/>
  <c r="E26" i="9"/>
  <c r="E25" i="9"/>
  <c r="N17" i="9"/>
  <c r="Q17" i="9" s="1"/>
  <c r="O25" i="9"/>
  <c r="R25" i="9" s="1"/>
  <c r="M9" i="9"/>
  <c r="P9" i="9" s="1"/>
  <c r="N20" i="9"/>
  <c r="Q20" i="9" s="1"/>
  <c r="O28" i="9"/>
  <c r="R28" i="9" s="1"/>
  <c r="M11" i="9"/>
  <c r="P11" i="9" s="1"/>
  <c r="E14" i="9"/>
  <c r="L14" i="9" s="1"/>
  <c r="E6" i="9"/>
  <c r="L6" i="9" s="1"/>
  <c r="E11" i="9"/>
  <c r="L11" i="9" s="1"/>
  <c r="M7" i="9"/>
  <c r="P7" i="9" s="1"/>
  <c r="E21" i="9"/>
  <c r="J21" i="9" s="1"/>
  <c r="K21" i="9" s="1"/>
  <c r="N29" i="9"/>
  <c r="Q29" i="9" s="1"/>
  <c r="O21" i="9"/>
  <c r="R21" i="9" s="1"/>
  <c r="I29" i="9"/>
  <c r="L29" i="9" s="1"/>
  <c r="I28" i="9"/>
  <c r="M12" i="9"/>
  <c r="P12" i="9" s="1"/>
  <c r="E20" i="9"/>
  <c r="I20" i="9"/>
  <c r="E19" i="9"/>
  <c r="M10" i="9"/>
  <c r="P10" i="9" s="1"/>
  <c r="E12" i="9"/>
  <c r="M18" i="9"/>
  <c r="P18" i="9" s="1"/>
  <c r="E13" i="9"/>
  <c r="M13" i="9"/>
  <c r="P13" i="9" s="1"/>
  <c r="N21" i="9"/>
  <c r="Q21" i="9" s="1"/>
  <c r="O29" i="9"/>
  <c r="R29" i="9" s="1"/>
  <c r="E29" i="9"/>
  <c r="E9" i="9"/>
  <c r="O13" i="9"/>
  <c r="R13" i="9" s="1"/>
  <c r="M28" i="9"/>
  <c r="P28" i="9" s="1"/>
  <c r="E22" i="9"/>
  <c r="L22" i="9" s="1"/>
  <c r="M21" i="9"/>
  <c r="P21" i="9" s="1"/>
  <c r="E8" i="9"/>
  <c r="M5" i="9"/>
  <c r="P5" i="9" s="1"/>
  <c r="M29" i="9"/>
  <c r="P29" i="9" s="1"/>
  <c r="E5" i="9"/>
  <c r="E28" i="9"/>
  <c r="M26" i="9"/>
  <c r="P26" i="9" s="1"/>
  <c r="I33" i="2"/>
  <c r="H33" i="2"/>
  <c r="M15" i="9"/>
  <c r="P15" i="9" s="1"/>
  <c r="N7" i="9"/>
  <c r="Q7" i="9" s="1"/>
  <c r="O15" i="9"/>
  <c r="R15" i="9" s="1"/>
  <c r="I5" i="9"/>
  <c r="K13" i="2"/>
  <c r="E15" i="9"/>
  <c r="J15" i="9" s="1"/>
  <c r="K15" i="9" s="1"/>
  <c r="M8" i="9"/>
  <c r="P8" i="9" s="1"/>
  <c r="E7" i="9"/>
  <c r="M23" i="9"/>
  <c r="P23" i="9" s="1"/>
  <c r="I7" i="9"/>
  <c r="A1" i="3"/>
  <c r="L19" i="9" l="1"/>
  <c r="J8" i="9"/>
  <c r="K8" i="9" s="1"/>
  <c r="L23" i="9"/>
  <c r="J9" i="9"/>
  <c r="K9" i="9" s="1"/>
  <c r="L27" i="9"/>
  <c r="J12" i="9"/>
  <c r="K12" i="9" s="1"/>
  <c r="L7" i="9"/>
  <c r="J17" i="9"/>
  <c r="K17" i="9" s="1"/>
  <c r="J18" i="9"/>
  <c r="K18" i="9" s="1"/>
  <c r="J24" i="9"/>
  <c r="K24" i="9" s="1"/>
  <c r="L25" i="9"/>
  <c r="J6" i="9"/>
  <c r="K6" i="9" s="1"/>
  <c r="J14" i="9"/>
  <c r="K14" i="9" s="1"/>
  <c r="J29" i="9"/>
  <c r="K29" i="9" s="1"/>
  <c r="L16" i="9"/>
  <c r="L26" i="9"/>
  <c r="J11" i="9"/>
  <c r="K11" i="9" s="1"/>
  <c r="L18" i="9"/>
  <c r="J23" i="9"/>
  <c r="K23" i="9" s="1"/>
  <c r="J25" i="9"/>
  <c r="K25" i="9" s="1"/>
  <c r="L12" i="9"/>
  <c r="L8" i="9"/>
  <c r="J13" i="9"/>
  <c r="K13" i="9" s="1"/>
  <c r="J26" i="9"/>
  <c r="K26" i="9" s="1"/>
  <c r="L9" i="9"/>
  <c r="L20" i="9"/>
  <c r="J19" i="9"/>
  <c r="K19" i="9" s="1"/>
  <c r="L21" i="9"/>
  <c r="J20" i="9"/>
  <c r="K20" i="9" s="1"/>
  <c r="J28" i="9"/>
  <c r="K28" i="9" s="1"/>
  <c r="L13" i="9"/>
  <c r="J5" i="9"/>
  <c r="K5" i="9" s="1"/>
  <c r="L28" i="9"/>
  <c r="J22" i="9"/>
  <c r="K22" i="9" s="1"/>
  <c r="L5" i="9"/>
  <c r="J7" i="9"/>
  <c r="K7" i="9" s="1"/>
  <c r="L15" i="9"/>
  <c r="J1" i="9" l="1"/>
</calcChain>
</file>

<file path=xl/sharedStrings.xml><?xml version="1.0" encoding="utf-8"?>
<sst xmlns="http://schemas.openxmlformats.org/spreadsheetml/2006/main" count="4824" uniqueCount="2615">
  <si>
    <t>RID</t>
  </si>
  <si>
    <t>Difficulty</t>
  </si>
  <si>
    <t>Artist</t>
  </si>
  <si>
    <t>Song</t>
  </si>
  <si>
    <t>Genre</t>
  </si>
  <si>
    <t>Color</t>
  </si>
  <si>
    <t>Name</t>
  </si>
  <si>
    <t>Youtube Link</t>
  </si>
  <si>
    <t>Key</t>
  </si>
  <si>
    <t>Tuning</t>
  </si>
  <si>
    <t>Hard Rock</t>
  </si>
  <si>
    <t>Rock</t>
  </si>
  <si>
    <t>Latin Rock</t>
  </si>
  <si>
    <t>Alt Rock</t>
  </si>
  <si>
    <t>Rock N Roll</t>
  </si>
  <si>
    <t>Heavy Metal</t>
  </si>
  <si>
    <t>Alt Metal</t>
  </si>
  <si>
    <t>Grunge</t>
  </si>
  <si>
    <t>Neo Classical</t>
  </si>
  <si>
    <t>Progressive</t>
  </si>
  <si>
    <t>Glam Rock</t>
  </si>
  <si>
    <t>Blues Rock</t>
  </si>
  <si>
    <t>Soft Rock</t>
  </si>
  <si>
    <t>Classic Rock</t>
  </si>
  <si>
    <t>Southern Rock</t>
  </si>
  <si>
    <t>Thrash Metal</t>
  </si>
  <si>
    <t>Surf Rock</t>
  </si>
  <si>
    <t>Punk Rock</t>
  </si>
  <si>
    <t>New Wave</t>
  </si>
  <si>
    <t>Pop Rock</t>
  </si>
  <si>
    <t>Genre Color Code</t>
  </si>
  <si>
    <t>Beginner</t>
  </si>
  <si>
    <t>Intermediate</t>
  </si>
  <si>
    <t>Advanced</t>
  </si>
  <si>
    <t>AC/DC</t>
  </si>
  <si>
    <t>Avenged Sevenfold</t>
  </si>
  <si>
    <t>Black Sabbath</t>
  </si>
  <si>
    <t>Canon Rock</t>
  </si>
  <si>
    <t>Aerosmith</t>
  </si>
  <si>
    <t>Alice In Chains</t>
  </si>
  <si>
    <t>Blur</t>
  </si>
  <si>
    <t>Guns N Roses</t>
  </si>
  <si>
    <t>Jimi Hendrix</t>
  </si>
  <si>
    <t>Kansas</t>
  </si>
  <si>
    <t>Welcome To The Jungle</t>
  </si>
  <si>
    <t>Purple Haze</t>
  </si>
  <si>
    <t>Foxy Lady</t>
  </si>
  <si>
    <t>Dust in the Wind</t>
  </si>
  <si>
    <t>Thunderstruck</t>
  </si>
  <si>
    <t>Unholy Confessions</t>
  </si>
  <si>
    <t>Afterlife</t>
  </si>
  <si>
    <t>Iron Man</t>
  </si>
  <si>
    <t>Jerry C (Pachelbel)</t>
  </si>
  <si>
    <t>Highway to Hell</t>
  </si>
  <si>
    <t>Man In the Box</t>
  </si>
  <si>
    <t>Paranoid</t>
  </si>
  <si>
    <t>Song 2</t>
  </si>
  <si>
    <t>ID</t>
  </si>
  <si>
    <t>Text</t>
  </si>
  <si>
    <t>Am</t>
  </si>
  <si>
    <t>B</t>
  </si>
  <si>
    <t>C</t>
  </si>
  <si>
    <t>Dm</t>
  </si>
  <si>
    <t>E</t>
  </si>
  <si>
    <t>F</t>
  </si>
  <si>
    <t>G</t>
  </si>
  <si>
    <t>Bm</t>
  </si>
  <si>
    <t>Cm</t>
  </si>
  <si>
    <t>Ab</t>
  </si>
  <si>
    <t>D#m</t>
  </si>
  <si>
    <t>F#</t>
  </si>
  <si>
    <t>Tab</t>
  </si>
  <si>
    <t>fjwWjx7Cw8I</t>
  </si>
  <si>
    <t>QuickGuitarRiffs</t>
  </si>
  <si>
    <t>#FFFFCC</t>
  </si>
  <si>
    <t>Locked</t>
  </si>
  <si>
    <t>Standard</t>
  </si>
  <si>
    <t>Drop D</t>
  </si>
  <si>
    <t>Muse</t>
  </si>
  <si>
    <t>Supermassive Black Hole</t>
  </si>
  <si>
    <t>Hysteria</t>
  </si>
  <si>
    <t>Coldplay</t>
  </si>
  <si>
    <t>Fix You</t>
  </si>
  <si>
    <t>Diff</t>
  </si>
  <si>
    <t>Arctic Monkeys</t>
  </si>
  <si>
    <t>Do I Wanna Know?</t>
  </si>
  <si>
    <t>Dancing Shoes</t>
  </si>
  <si>
    <t>Who Knows</t>
  </si>
  <si>
    <t>Foo Fighters</t>
  </si>
  <si>
    <t>All My Life</t>
  </si>
  <si>
    <t>Red Hot Chili Peppers</t>
  </si>
  <si>
    <t>Suck My Kiss</t>
  </si>
  <si>
    <t>Dani California</t>
  </si>
  <si>
    <t>The Beatles</t>
  </si>
  <si>
    <t>Twist &amp; Shout</t>
  </si>
  <si>
    <t>What You're Doing</t>
  </si>
  <si>
    <t>Paperback Writer</t>
  </si>
  <si>
    <t>Dizzy Miss Lizzy</t>
  </si>
  <si>
    <t>Come Together</t>
  </si>
  <si>
    <t>Van Halen</t>
  </si>
  <si>
    <t>Unchained</t>
  </si>
  <si>
    <t>Electric Funeral</t>
  </si>
  <si>
    <t>Pink Floyd</t>
  </si>
  <si>
    <t>Same Old Song and Dance</t>
  </si>
  <si>
    <t>Sweet Emotion</t>
  </si>
  <si>
    <t>Fall Out Boy</t>
  </si>
  <si>
    <t>Thriller</t>
  </si>
  <si>
    <t>Dance Dance</t>
  </si>
  <si>
    <t>Panic! At The Disco</t>
  </si>
  <si>
    <t>Victorious</t>
  </si>
  <si>
    <t>Paramore</t>
  </si>
  <si>
    <t>Still Into You</t>
  </si>
  <si>
    <t>Green Day</t>
  </si>
  <si>
    <t>Holiday</t>
  </si>
  <si>
    <t>Hitching A Ride</t>
  </si>
  <si>
    <t>American Idiot</t>
  </si>
  <si>
    <t>Dream Theater</t>
  </si>
  <si>
    <t>Home</t>
  </si>
  <si>
    <t>U2</t>
  </si>
  <si>
    <t>Until The End of the World</t>
  </si>
  <si>
    <t>Sunday Bloody Sunday</t>
  </si>
  <si>
    <t>Kiss</t>
  </si>
  <si>
    <t>Detroit Rock City</t>
  </si>
  <si>
    <t>Pearl Jam</t>
  </si>
  <si>
    <t>Jeremy</t>
  </si>
  <si>
    <t>REM</t>
  </si>
  <si>
    <t>Losing My Religion</t>
  </si>
  <si>
    <t>Led Zeppelin</t>
  </si>
  <si>
    <t>Moby Dick</t>
  </si>
  <si>
    <t>Rise Against</t>
  </si>
  <si>
    <t>Savior</t>
  </si>
  <si>
    <t>Re-Education (Through Labor)</t>
  </si>
  <si>
    <t>Royal Blood</t>
  </si>
  <si>
    <t>Out of The Black</t>
  </si>
  <si>
    <t>ZZ Top</t>
  </si>
  <si>
    <t>My Head's In Mississippi</t>
  </si>
  <si>
    <t>Cream</t>
  </si>
  <si>
    <t>Sunshine Of Your Love</t>
  </si>
  <si>
    <t>Santana</t>
  </si>
  <si>
    <t>Maria Maria</t>
  </si>
  <si>
    <t>David Bowie</t>
  </si>
  <si>
    <t>The Man Who Sold The World</t>
  </si>
  <si>
    <t>Queens of The Stone Age</t>
  </si>
  <si>
    <t>No One Knows</t>
  </si>
  <si>
    <t>Rammstein</t>
  </si>
  <si>
    <t>Du Hast</t>
  </si>
  <si>
    <t>Radiohead</t>
  </si>
  <si>
    <t>My Iron Lung</t>
  </si>
  <si>
    <t>Linkin Park</t>
  </si>
  <si>
    <t>One Step Closer</t>
  </si>
  <si>
    <t>Faint</t>
  </si>
  <si>
    <t>Audioslave</t>
  </si>
  <si>
    <t>Cochise</t>
  </si>
  <si>
    <t>Yellow</t>
  </si>
  <si>
    <t>In My Place</t>
  </si>
  <si>
    <t>Maroon 5</t>
  </si>
  <si>
    <t>This Love</t>
  </si>
  <si>
    <t>Misery</t>
  </si>
  <si>
    <t>Yellow Ledbetter</t>
  </si>
  <si>
    <t>Alive</t>
  </si>
  <si>
    <t>Black Dog</t>
  </si>
  <si>
    <t>Loose Change</t>
  </si>
  <si>
    <t>Psycho</t>
  </si>
  <si>
    <t>I Bet You Look Good On The Dance Floor</t>
  </si>
  <si>
    <t>R U Mine?</t>
  </si>
  <si>
    <t>You Could Be Mine</t>
  </si>
  <si>
    <t>Paradise City</t>
  </si>
  <si>
    <t>All Along The Watchtower</t>
  </si>
  <si>
    <t>Voodoo Child</t>
  </si>
  <si>
    <t>The Pretender</t>
  </si>
  <si>
    <t>Can't Stop</t>
  </si>
  <si>
    <t>Rush</t>
  </si>
  <si>
    <t>Lord of This World</t>
  </si>
  <si>
    <t>Heaven and Hell</t>
  </si>
  <si>
    <t>Young Lust</t>
  </si>
  <si>
    <t>The Allman Brothers Band</t>
  </si>
  <si>
    <t>Jessica</t>
  </si>
  <si>
    <t>Soulshine</t>
  </si>
  <si>
    <t>The Smiths</t>
  </si>
  <si>
    <t>Girl Afraid</t>
  </si>
  <si>
    <t>Misery Business</t>
  </si>
  <si>
    <t>Disturbed</t>
  </si>
  <si>
    <t>Down With The Sickness</t>
  </si>
  <si>
    <t>Guarded</t>
  </si>
  <si>
    <t>Constant Motion</t>
  </si>
  <si>
    <t>Vertigo</t>
  </si>
  <si>
    <t>Deep Purple</t>
  </si>
  <si>
    <t>Stormbringer</t>
  </si>
  <si>
    <t>Speed King</t>
  </si>
  <si>
    <t>Deuce</t>
  </si>
  <si>
    <t>Whole Lotta Love</t>
  </si>
  <si>
    <t>Sick, Sick, Sick</t>
  </si>
  <si>
    <t>Engel</t>
  </si>
  <si>
    <t>Paranoid Android</t>
  </si>
  <si>
    <t>System of A Down</t>
  </si>
  <si>
    <t>Chop Suey</t>
  </si>
  <si>
    <t>Papercut</t>
  </si>
  <si>
    <t>Adventure Of A Lifetime</t>
  </si>
  <si>
    <t>Something Just Like This</t>
  </si>
  <si>
    <t>Clocks</t>
  </si>
  <si>
    <t>Mr Brownstone</t>
  </si>
  <si>
    <t>I'm The One</t>
  </si>
  <si>
    <t>Panama</t>
  </si>
  <si>
    <t>Hot For Teacher</t>
  </si>
  <si>
    <t>The Spirit of The Radio</t>
  </si>
  <si>
    <t>Just Stop</t>
  </si>
  <si>
    <t>Stricken</t>
  </si>
  <si>
    <t>Indestructible</t>
  </si>
  <si>
    <t>The Killers</t>
  </si>
  <si>
    <t>Mr Brightside</t>
  </si>
  <si>
    <t>Stevie Ray Vaughan</t>
  </si>
  <si>
    <t>Pride and Joy</t>
  </si>
  <si>
    <t>Lenny</t>
  </si>
  <si>
    <t>Heard It On The X</t>
  </si>
  <si>
    <t>Slipknot</t>
  </si>
  <si>
    <t>Psychosocial</t>
  </si>
  <si>
    <t>Vicinity of Obscenity</t>
  </si>
  <si>
    <t>Layla</t>
  </si>
  <si>
    <t>Smoke On The Water</t>
  </si>
  <si>
    <t>You Shook Me All Night Long</t>
  </si>
  <si>
    <t>La Grange</t>
  </si>
  <si>
    <t>FREE</t>
  </si>
  <si>
    <t>Toto</t>
  </si>
  <si>
    <t>Hold The Line</t>
  </si>
  <si>
    <t>The Rolling Stones</t>
  </si>
  <si>
    <t>(I Can't Get No) Satisfaction</t>
  </si>
  <si>
    <t>Michael Jackson</t>
  </si>
  <si>
    <t>Beat It</t>
  </si>
  <si>
    <t>Back In Black</t>
  </si>
  <si>
    <t>SteppenWolf</t>
  </si>
  <si>
    <t>Born To Be Wild</t>
  </si>
  <si>
    <t>Day Tripper</t>
  </si>
  <si>
    <t>Nirvana</t>
  </si>
  <si>
    <t>Smells Like Teen Spirit</t>
  </si>
  <si>
    <t>Jump</t>
  </si>
  <si>
    <t>Survivor</t>
  </si>
  <si>
    <t>Eye of the Tiger</t>
  </si>
  <si>
    <t>Eric Clapton</t>
  </si>
  <si>
    <t>Wonderful Tonight</t>
  </si>
  <si>
    <t>The One I Love</t>
  </si>
  <si>
    <t>Billie Jean</t>
  </si>
  <si>
    <t>Sweet Dreams</t>
  </si>
  <si>
    <t>The White Stripes</t>
  </si>
  <si>
    <t>Seven Nation Army</t>
  </si>
  <si>
    <t>Cocaine</t>
  </si>
  <si>
    <t>Scorpions</t>
  </si>
  <si>
    <t>Rock You Like A Hurricane</t>
  </si>
  <si>
    <t>Dio</t>
  </si>
  <si>
    <t>Rainbow In The Dark</t>
  </si>
  <si>
    <t>Carlos Santana</t>
  </si>
  <si>
    <t>Smooth</t>
  </si>
  <si>
    <t>Californication</t>
  </si>
  <si>
    <t>Creedence Clearwater Revival</t>
  </si>
  <si>
    <t>Fortunate Son</t>
  </si>
  <si>
    <t>Megadeth</t>
  </si>
  <si>
    <t>Symphony of Destruction</t>
  </si>
  <si>
    <t>Tom Sawyer</t>
  </si>
  <si>
    <t>Journey</t>
  </si>
  <si>
    <t>Don't Stop Believing</t>
  </si>
  <si>
    <t>Elvis Presley</t>
  </si>
  <si>
    <t>Jailhouse Rock</t>
  </si>
  <si>
    <t>Queen</t>
  </si>
  <si>
    <t>Another One Bites The Dust</t>
  </si>
  <si>
    <t>Incubus</t>
  </si>
  <si>
    <t>Drive</t>
  </si>
  <si>
    <t>Joan Jett</t>
  </si>
  <si>
    <t>I Love Rock and Roll</t>
  </si>
  <si>
    <t>Slayer</t>
  </si>
  <si>
    <t>Raining Blood</t>
  </si>
  <si>
    <t>Pantera</t>
  </si>
  <si>
    <t>Mouth for War</t>
  </si>
  <si>
    <t>Metallica</t>
  </si>
  <si>
    <t>Enter Sandman</t>
  </si>
  <si>
    <t>Walk This Way</t>
  </si>
  <si>
    <t>Come As You Are</t>
  </si>
  <si>
    <t>Heartbreaker</t>
  </si>
  <si>
    <t>Rainbow</t>
  </si>
  <si>
    <t>Man On The Silver Mountain</t>
  </si>
  <si>
    <t>Rebel Rebel</t>
  </si>
  <si>
    <t>Everlong</t>
  </si>
  <si>
    <t>Uprising</t>
  </si>
  <si>
    <t>Dire Straits</t>
  </si>
  <si>
    <t>Money For Nothing</t>
  </si>
  <si>
    <t>Tie Your Mother Down</t>
  </si>
  <si>
    <t>Lynyrd Skynyrd</t>
  </si>
  <si>
    <t>Sweet Home Alabama</t>
  </si>
  <si>
    <t>Still Loving You</t>
  </si>
  <si>
    <t>Ain't Talking 'Bout Love</t>
  </si>
  <si>
    <t>The Police</t>
  </si>
  <si>
    <t>Every Breath You Take</t>
  </si>
  <si>
    <t>Learn To Fly</t>
  </si>
  <si>
    <t>Money</t>
  </si>
  <si>
    <t>Ah-ha</t>
  </si>
  <si>
    <t>Take On Me</t>
  </si>
  <si>
    <t>Scar Tissue</t>
  </si>
  <si>
    <t>Hells Bells</t>
  </si>
  <si>
    <t>The Animals</t>
  </si>
  <si>
    <t>House of the Rising Sun</t>
  </si>
  <si>
    <t>Seek and Destroy</t>
  </si>
  <si>
    <t>Motorhead</t>
  </si>
  <si>
    <t>Ace of Spades</t>
  </si>
  <si>
    <t>Blue Oyster Cult</t>
  </si>
  <si>
    <t>Don't Fear The Reaper</t>
  </si>
  <si>
    <t>Fade To Black</t>
  </si>
  <si>
    <t>Tears In Heaven</t>
  </si>
  <si>
    <t>Europe</t>
  </si>
  <si>
    <t>Final Countdown</t>
  </si>
  <si>
    <t>The Offspring</t>
  </si>
  <si>
    <t>Knocking on Heavens Door</t>
  </si>
  <si>
    <t>Lenny Kravitz</t>
  </si>
  <si>
    <t>Are You Gonna Go My Way</t>
  </si>
  <si>
    <t>Roy Orbison</t>
  </si>
  <si>
    <t>Pretty Woman</t>
  </si>
  <si>
    <t>Mr Big</t>
  </si>
  <si>
    <t>To Be With You</t>
  </si>
  <si>
    <t>Pat Benetar</t>
  </si>
  <si>
    <t>Hit Me With Your Best Shot</t>
  </si>
  <si>
    <t>Dream On</t>
  </si>
  <si>
    <t>The Eagles</t>
  </si>
  <si>
    <t>Life In the Fast Lane</t>
  </si>
  <si>
    <t>Opeth</t>
  </si>
  <si>
    <t>Bleak</t>
  </si>
  <si>
    <t>Plug In Baby</t>
  </si>
  <si>
    <t>Ted Nugent</t>
  </si>
  <si>
    <t>Cat Scratch Fever</t>
  </si>
  <si>
    <t>Ziggy Stardust</t>
  </si>
  <si>
    <t>Run Through the Jungle</t>
  </si>
  <si>
    <t>The Cult</t>
  </si>
  <si>
    <t>She Sells Sanctuary</t>
  </si>
  <si>
    <t>ABBA</t>
  </si>
  <si>
    <t>Gimme Gimme Gimme</t>
  </si>
  <si>
    <t>Under The Bridge</t>
  </si>
  <si>
    <t>Killing In The Name of</t>
  </si>
  <si>
    <t>Kashmir</t>
  </si>
  <si>
    <t>Bon Jovi</t>
  </si>
  <si>
    <t>Wanted Dead or Alive</t>
  </si>
  <si>
    <t>Hotel California</t>
  </si>
  <si>
    <t>Give It Away</t>
  </si>
  <si>
    <t>Even Flow</t>
  </si>
  <si>
    <t>Ozzy Osbourne</t>
  </si>
  <si>
    <t>Crazy Train</t>
  </si>
  <si>
    <t>Message In A Bottle</t>
  </si>
  <si>
    <t>Stairway To Heaven</t>
  </si>
  <si>
    <t>Ritchie Valen</t>
  </si>
  <si>
    <t>La Bamba</t>
  </si>
  <si>
    <t>Carry On My Wayward Son</t>
  </si>
  <si>
    <t>Master of Puppets</t>
  </si>
  <si>
    <t>Cemetry Gates</t>
  </si>
  <si>
    <t>Nothing Else Matters</t>
  </si>
  <si>
    <t>Jehthro Tull</t>
  </si>
  <si>
    <t>Aqualung</t>
  </si>
  <si>
    <t>Iron Maiden</t>
  </si>
  <si>
    <t>Fear of the Dark</t>
  </si>
  <si>
    <t>YYZ</t>
  </si>
  <si>
    <t>Samba Pa Ti</t>
  </si>
  <si>
    <t>Dick Dale</t>
  </si>
  <si>
    <t>Miserlou</t>
  </si>
  <si>
    <t>Neil Zaza</t>
  </si>
  <si>
    <t>I'm Alright</t>
  </si>
  <si>
    <t>Chuck Berry</t>
  </si>
  <si>
    <t>Johhny B Goode</t>
  </si>
  <si>
    <t>Coheed and Cambria</t>
  </si>
  <si>
    <t>Welcome Home</t>
  </si>
  <si>
    <t>John Petrucii</t>
  </si>
  <si>
    <t>Glasgow Kiss</t>
  </si>
  <si>
    <t>The Trooper</t>
  </si>
  <si>
    <t>The Doors</t>
  </si>
  <si>
    <t>Light My Fire</t>
  </si>
  <si>
    <t>Snow</t>
  </si>
  <si>
    <t>Stockholm Syndrome</t>
  </si>
  <si>
    <t>Dance</t>
  </si>
  <si>
    <t>Disco</t>
  </si>
  <si>
    <t>Psychedellic Rock</t>
  </si>
  <si>
    <t>Synth Pop</t>
  </si>
  <si>
    <t>Beg</t>
  </si>
  <si>
    <t>Int</t>
  </si>
  <si>
    <t>Adv</t>
  </si>
  <si>
    <t>6M4_Ommfvv0</t>
  </si>
  <si>
    <t>vjVkXlxsO8Q</t>
  </si>
  <si>
    <t>x2rQzv8OWEY</t>
  </si>
  <si>
    <t>t6omUxqhG78</t>
  </si>
  <si>
    <t>RFiexmXEccE</t>
  </si>
  <si>
    <t>Nightrain</t>
  </si>
  <si>
    <t>pK7egZaT3hs</t>
  </si>
  <si>
    <t>auLBLk4ibAk</t>
  </si>
  <si>
    <t>oRdxUFDoQe0</t>
  </si>
  <si>
    <t>Slash</t>
  </si>
  <si>
    <t>G8sdsW93ThQ</t>
  </si>
  <si>
    <t>pWB5JZRGl0U</t>
  </si>
  <si>
    <t>4tcXblWojdM</t>
  </si>
  <si>
    <t>kfjXp4KTTY8</t>
  </si>
  <si>
    <t>Lo2qQmj0_h4</t>
  </si>
  <si>
    <t>nrIPxlFzDi0</t>
  </si>
  <si>
    <t>A</t>
  </si>
  <si>
    <t>Dragonforce</t>
  </si>
  <si>
    <t>Through the Fire and Flames</t>
  </si>
  <si>
    <t>0jgrCKhxE1s</t>
  </si>
  <si>
    <t>zUwEIt9ez7M</t>
  </si>
  <si>
    <t>Vppbdf-qtGU</t>
  </si>
  <si>
    <t>All Right Now</t>
  </si>
  <si>
    <t>bpLv4M4paSI</t>
  </si>
  <si>
    <t>htgr3pvBr-I</t>
  </si>
  <si>
    <t>pAgnJDJN4VA</t>
  </si>
  <si>
    <t>rMbATaj7Il8</t>
  </si>
  <si>
    <t>R1TLj9-jdLs</t>
  </si>
  <si>
    <t>SwYN7mTi6HM</t>
  </si>
  <si>
    <t>btPJPFnesV4</t>
  </si>
  <si>
    <t>vUSzL2leaFM</t>
  </si>
  <si>
    <t>hkXHsK4AQPs</t>
  </si>
  <si>
    <t>j7oQEPfe-O8</t>
  </si>
  <si>
    <t>Zi_XLOBDo_Y</t>
  </si>
  <si>
    <t>Eurythmics</t>
  </si>
  <si>
    <t>qeMFqkcPYcg</t>
  </si>
  <si>
    <t>0J2QdDbelmY</t>
  </si>
  <si>
    <t>fdDhV45lYHU</t>
  </si>
  <si>
    <t>UCxgbOBVSfM</t>
  </si>
  <si>
    <t>l482T0yNkeo</t>
  </si>
  <si>
    <t>zcsE9ObDPxA</t>
  </si>
  <si>
    <t>6Whgn_iE5uc</t>
  </si>
  <si>
    <t>40JmEj0_aVM</t>
  </si>
  <si>
    <t>1k8craCGpgs</t>
  </si>
  <si>
    <t>gj0Rz-uP4Mk</t>
  </si>
  <si>
    <t>rY0WxgSXdEE</t>
  </si>
  <si>
    <t>fgT9zGkiLig</t>
  </si>
  <si>
    <t>cbyswHABG3Q?t=41s</t>
  </si>
  <si>
    <t>a3JSbOt7CLo</t>
  </si>
  <si>
    <t>CD-E-LDc384</t>
  </si>
  <si>
    <t>4c8O2n1Gfto</t>
  </si>
  <si>
    <t>TAqZb52sgpU</t>
  </si>
  <si>
    <t>SSbBvKaM6sk</t>
  </si>
  <si>
    <t>vabnZ9-ex7o</t>
  </si>
  <si>
    <t>EUFGJvYlPFk</t>
  </si>
  <si>
    <t>p9nfVrusSMg</t>
  </si>
  <si>
    <t>eF551z9KlA8</t>
  </si>
  <si>
    <t>eBG7P-K-r1Y</t>
  </si>
  <si>
    <t>w8KQmps-Sog</t>
  </si>
  <si>
    <t>wTP2RUD_cL0</t>
  </si>
  <si>
    <t>LvB2MnIIdMw</t>
  </si>
  <si>
    <t>1w7OgIMMRc4</t>
  </si>
  <si>
    <t>6GxWmSVv-cY</t>
  </si>
  <si>
    <t>OT2bxfGC4UA</t>
  </si>
  <si>
    <t>Y-IUB62zDlA</t>
  </si>
  <si>
    <t>OMOGaugKpzs</t>
  </si>
  <si>
    <t>1VQ_3sBZEm0</t>
  </si>
  <si>
    <t>-0kcet4aPpQ</t>
  </si>
  <si>
    <t>djV11Xbc914</t>
  </si>
  <si>
    <t>mzJj5-lubeM</t>
  </si>
  <si>
    <t>etAIpkdhU9Q</t>
  </si>
  <si>
    <t>0sB3Fjw3Uvc</t>
  </si>
  <si>
    <t>5y_x8UbU2h8?t=19s</t>
  </si>
  <si>
    <t>Dy4HA3vUv2c</t>
  </si>
  <si>
    <t>A-4K4SX0m70?t=36s</t>
  </si>
  <si>
    <t>K5jvUXij7nU</t>
  </si>
  <si>
    <t>JxPj3GAYYZ0</t>
  </si>
  <si>
    <t>9jK-NcRmVcw</t>
  </si>
  <si>
    <t>QtTR-_Klcq8</t>
  </si>
  <si>
    <t>Pretty Fly (For A White Guy)</t>
  </si>
  <si>
    <t>8LhCd1W2V0Q</t>
  </si>
  <si>
    <t>ssXAkg0bV6o</t>
  </si>
  <si>
    <t>L6-uJLteKek</t>
  </si>
  <si>
    <t>tH2w6Oxx0kQ</t>
  </si>
  <si>
    <t>0JRgHol94Xc?t=1m12s</t>
  </si>
  <si>
    <t>sZfZ8uWaOFI</t>
  </si>
  <si>
    <t>4oWhkjQWE24</t>
  </si>
  <si>
    <t>_PVjcIO4MT4</t>
  </si>
  <si>
    <t>dbB-mICjkQM</t>
  </si>
  <si>
    <t>Xsp3_a-PMTw</t>
  </si>
  <si>
    <t>I47floRRAFs</t>
  </si>
  <si>
    <t>_7PUPNxsRQ0</t>
  </si>
  <si>
    <t>Anastasia</t>
  </si>
  <si>
    <t>ZCOSPtyZAPA</t>
  </si>
  <si>
    <t>XEjLoHdbVeE</t>
  </si>
  <si>
    <t>lwlogyj7nFE</t>
  </si>
  <si>
    <t>YlUKcNNmywk</t>
  </si>
  <si>
    <t>bWXazVhlyxQ</t>
  </si>
  <si>
    <t>PD-MdiUm1_Y</t>
  </si>
  <si>
    <t>SRvCvsRp5ho</t>
  </si>
  <si>
    <t>EqPtz5qN7HM</t>
  </si>
  <si>
    <t>3dm_5qWWDV8</t>
  </si>
  <si>
    <t>Reapers</t>
  </si>
  <si>
    <t>gcNEC9NaJuE</t>
  </si>
  <si>
    <t>hTWKbfoikeg</t>
  </si>
  <si>
    <t>o1tj2zJ2Wvg</t>
  </si>
  <si>
    <t>Mr_uHJPUlO8</t>
  </si>
  <si>
    <t>CxKWTzr-k6s</t>
  </si>
  <si>
    <t>qM0zINtulhM</t>
  </si>
  <si>
    <t>FVovq9TGBw0</t>
  </si>
  <si>
    <t>5s7_WbiR79E</t>
  </si>
  <si>
    <t>v2AC41dglnM</t>
  </si>
  <si>
    <t>MbXWrmQW-OE</t>
  </si>
  <si>
    <t>D9ioyEvdggk</t>
  </si>
  <si>
    <t>jSKJQ18ZoIA</t>
  </si>
  <si>
    <t>2X_2IdybTV0</t>
  </si>
  <si>
    <t>hx27NL_iqEM</t>
  </si>
  <si>
    <t>RVMvART9kb8</t>
  </si>
  <si>
    <t>tAGnKpE4NCI</t>
  </si>
  <si>
    <t>B0jMPI_pUec</t>
  </si>
  <si>
    <t>X_hMZYDMps4</t>
  </si>
  <si>
    <t>LdpMpfp-J_I</t>
  </si>
  <si>
    <t>j5AUm_xaE9A</t>
  </si>
  <si>
    <t>-y3h9p_c5-M</t>
  </si>
  <si>
    <t>QadSVWXF_ks</t>
  </si>
  <si>
    <t>ZFo8-JqzSCM</t>
  </si>
  <si>
    <t>n0H3RlaQVrM</t>
  </si>
  <si>
    <t>CFXvfBL4WkU</t>
  </si>
  <si>
    <t>X4bgXH3sJ2Q</t>
  </si>
  <si>
    <t>mbj1RFaoyLk</t>
  </si>
  <si>
    <t>yuFI5KSPAt4</t>
  </si>
  <si>
    <t>by8oyJztzwo</t>
  </si>
  <si>
    <t>vSaBveD7zvA</t>
  </si>
  <si>
    <t>HIRNdveLnJI</t>
  </si>
  <si>
    <t>gXN9acC9edU</t>
  </si>
  <si>
    <t>bpOSxM0rNPM</t>
  </si>
  <si>
    <t>3aQELo7tXyI</t>
  </si>
  <si>
    <t>3HoqPMC4uRg</t>
  </si>
  <si>
    <t>xQ04WbgI9rg</t>
  </si>
  <si>
    <t>C6jElKMMOWM</t>
  </si>
  <si>
    <t>Sb5aq5HcS1A</t>
  </si>
  <si>
    <t>b-VAxGJdJeQ</t>
  </si>
  <si>
    <t>gH8iGKWB1JI</t>
  </si>
  <si>
    <t>yYvkICbTZIQ</t>
  </si>
  <si>
    <t>jGB2jY223JI</t>
  </si>
  <si>
    <t>c6yYxyxx4aE</t>
  </si>
  <si>
    <t>Cn8APTMyKsg</t>
  </si>
  <si>
    <t>Jx7jDPDFvuE</t>
  </si>
  <si>
    <t>YR5ApYxkU-U</t>
  </si>
  <si>
    <t>1g_r_j_i_6U</t>
  </si>
  <si>
    <t>82cJgPXU-ik</t>
  </si>
  <si>
    <t>8Whh_lXiEDs</t>
  </si>
  <si>
    <t>C6MOKXm8x50</t>
  </si>
  <si>
    <t>AUChk0lxF44</t>
  </si>
  <si>
    <t>OblL026SvD4</t>
  </si>
  <si>
    <t>A1OqtIqzScI</t>
  </si>
  <si>
    <t>b6jtGjiDwIQ</t>
  </si>
  <si>
    <t>Ee_uujKuJMI</t>
  </si>
  <si>
    <t>RfKqtXhF_eM</t>
  </si>
  <si>
    <t>EM4vblG6BVQ</t>
  </si>
  <si>
    <t>iZq3i94mSsQ</t>
  </si>
  <si>
    <t>MS91knuzoOA</t>
  </si>
  <si>
    <t>xwtdhWltSIg</t>
  </si>
  <si>
    <t>mRJ9_yHiNmg</t>
  </si>
  <si>
    <t>e8X3ACToii0</t>
  </si>
  <si>
    <t>_RYBDTnS7dg</t>
  </si>
  <si>
    <t>bSdtvfBQd6c</t>
  </si>
  <si>
    <t>0968f0VWvd8</t>
  </si>
  <si>
    <t>eUGOXnzn8bI</t>
  </si>
  <si>
    <t>nPLV7lGbmT4</t>
  </si>
  <si>
    <t>HSH--SJKVQQ</t>
  </si>
  <si>
    <t>s88r_q7oufE</t>
  </si>
  <si>
    <t>W3q8Od5qJio</t>
  </si>
  <si>
    <t>pRU-6vaKaf4</t>
  </si>
  <si>
    <t>4qlCC1GOwFw</t>
  </si>
  <si>
    <t>LYU-8IFcDPw</t>
  </si>
  <si>
    <t>KDMvN45sjo4</t>
  </si>
  <si>
    <t>yKNxeF4KMsY</t>
  </si>
  <si>
    <t>gnIZ7RMuLpU</t>
  </si>
  <si>
    <t>k4V3Mo61fJM</t>
  </si>
  <si>
    <t>XPpTgCho5ZA</t>
  </si>
  <si>
    <t>6g6g2mvItp4</t>
  </si>
  <si>
    <t>hs8y3kneqrs</t>
  </si>
  <si>
    <t>6tlSx0jkuLM</t>
  </si>
  <si>
    <t>Gh7VKu0rOK8</t>
  </si>
  <si>
    <t>UqLRqzTp6Rk</t>
  </si>
  <si>
    <t>VQH8ZTgna3Q</t>
  </si>
  <si>
    <t>rh2SVX7nBe0</t>
  </si>
  <si>
    <t>Rbm6GXllBiw</t>
  </si>
  <si>
    <t>TLV4_xaYynY</t>
  </si>
  <si>
    <t>IZBlqcbpmxY</t>
  </si>
  <si>
    <t>SBjQ9tuuTJQ</t>
  </si>
  <si>
    <t>BfOdWSiyWoc</t>
  </si>
  <si>
    <t>mT1gmKUoqbY</t>
  </si>
  <si>
    <t>KGRuKdowkcM</t>
  </si>
  <si>
    <t>gozCnbfY-xM</t>
  </si>
  <si>
    <t>riwxbh_n_WM</t>
  </si>
  <si>
    <t>YiVPC8QHsQM</t>
  </si>
  <si>
    <t>NRE3Bv1goyI</t>
  </si>
  <si>
    <t>pDIQ7Otf1mw</t>
  </si>
  <si>
    <t>TK2BtdablXw</t>
  </si>
  <si>
    <t>aCyGvGEtOwc</t>
  </si>
  <si>
    <t>09LTT0xwdfw</t>
  </si>
  <si>
    <t>CfJbGD9t5qY</t>
  </si>
  <si>
    <t>98W9QuMq-2k</t>
  </si>
  <si>
    <t>4C2K889u_90</t>
  </si>
  <si>
    <t>pGIIMQJaNmk</t>
  </si>
  <si>
    <t>tmvlczO7gSA</t>
  </si>
  <si>
    <t>HQmmM_qwG4k</t>
  </si>
  <si>
    <t>oHDaKtx6bGY</t>
  </si>
  <si>
    <t>fHiGbolFFGw</t>
  </si>
  <si>
    <t>QtXby3twMmI</t>
  </si>
  <si>
    <t>d020hcWA_Wg</t>
  </si>
  <si>
    <t>NPaAlAL8Z50</t>
  </si>
  <si>
    <t>kK4hj_GUSnE</t>
  </si>
  <si>
    <t>kZNMvztBUwM</t>
  </si>
  <si>
    <t>kzkXGIRaxcI</t>
  </si>
  <si>
    <t>fuKDBPw8wQA</t>
  </si>
  <si>
    <t>5Tq-UsaRchI</t>
  </si>
  <si>
    <t>DLS-cnOlRpg</t>
  </si>
  <si>
    <t>3moLkjvhEu0</t>
  </si>
  <si>
    <t>aWxBrI0g1kE</t>
  </si>
  <si>
    <t>gGdGFtwCNBE</t>
  </si>
  <si>
    <t>i5sqJNFFwqc</t>
  </si>
  <si>
    <t>WPTfIPHLUcw</t>
  </si>
  <si>
    <t>5abamRO41fE</t>
  </si>
  <si>
    <t>-If2r9ENQfA</t>
  </si>
  <si>
    <t>CSvFpBOe8eY</t>
  </si>
  <si>
    <t>cJRP3LRcUFg</t>
  </si>
  <si>
    <t>Standard (EADGBE)</t>
  </si>
  <si>
    <t>Drop D (DADGBE)</t>
  </si>
  <si>
    <t>Tab Link</t>
  </si>
  <si>
    <t>TabL</t>
  </si>
  <si>
    <t>YT</t>
  </si>
  <si>
    <t>Gcol</t>
  </si>
  <si>
    <t>Tune</t>
  </si>
  <si>
    <t>Tab Source</t>
  </si>
  <si>
    <t>UltimateGuitar.com</t>
  </si>
  <si>
    <t>TabSrc</t>
  </si>
  <si>
    <t>Half Step Down (D#G#C#F#A#D#)</t>
  </si>
  <si>
    <t>Half Step Down</t>
  </si>
  <si>
    <t>Em</t>
  </si>
  <si>
    <t>F#m</t>
  </si>
  <si>
    <t>C#m</t>
  </si>
  <si>
    <t>Open A</t>
  </si>
  <si>
    <t>Open A (EAC#EAE)</t>
  </si>
  <si>
    <t>Fm</t>
  </si>
  <si>
    <t>Whole Step Down</t>
  </si>
  <si>
    <t>Whole Step Down (DGCFAD)</t>
  </si>
  <si>
    <t>D</t>
  </si>
  <si>
    <t>GuitarTabsExplorer.com</t>
  </si>
  <si>
    <t>Drop DG</t>
  </si>
  <si>
    <t>Drop DG (DGDGBE)</t>
  </si>
  <si>
    <t>Bob Dylan</t>
  </si>
  <si>
    <t>DADGAD</t>
  </si>
  <si>
    <t>(DADGAD)</t>
  </si>
  <si>
    <t>Eb</t>
  </si>
  <si>
    <t>Open D</t>
  </si>
  <si>
    <t>Open D (DADF#AD)</t>
  </si>
  <si>
    <t>Abm</t>
  </si>
  <si>
    <t>Gm</t>
  </si>
  <si>
    <t>https://www.songsterr.com/a/wsa/opeth-bleak-tab-s15099t0</t>
  </si>
  <si>
    <t>SongSterr.com</t>
  </si>
  <si>
    <t>http://tabs.ultimate-guitar.com/tab/eric_clapton/layla_tabs_162968</t>
  </si>
  <si>
    <t>http://tabs.ultimate-guitar.com/tab/deep_purple/smoke_on_the_water_tabs_57672</t>
  </si>
  <si>
    <t>http://tabs.ultimate-guitar.com/tab/7857</t>
  </si>
  <si>
    <t>http://tabs.ultimate-guitar.com/tab/46278</t>
  </si>
  <si>
    <t>http://tabs.ultimate-guitar.com/tab/acdc/you_shook_me_all_night_long_tabs_799392</t>
  </si>
  <si>
    <t>http://tabs.ultimate-guitar.com/tab/zz_top/la_grange_tabs_172497</t>
  </si>
  <si>
    <t>http://tabs.ultimate-guitar.com/tab/free/all_right_now_tabs_271789</t>
  </si>
  <si>
    <t>http://tabs.ultimate-guitar.com/tab/toto/hold_the_line_tabs_377115</t>
  </si>
  <si>
    <t>http://tabs.ultimate-guitar.com/tab/the_rolling_stones/i_cant_get_no_satisfaction_tabs_157608</t>
  </si>
  <si>
    <t>http://tabs.ultimate-guitar.com/tab/michael_jackson/beat_it_tabs_35178</t>
  </si>
  <si>
    <t>http://tabs.ultimate-guitar.com/tab/acdc/back_in_black_tabs_18902</t>
  </si>
  <si>
    <t>http://tabs.ultimate-guitar.com/tab/steppenwolf/born_to_be_wild_tabs_198034</t>
  </si>
  <si>
    <t>http://tabs.ultimate-guitar.com/tab/the_beatles/day_tripper_tabs_21611</t>
  </si>
  <si>
    <t>http://tabs.ultimate-guitar.com/tab/van_halen/jump_tabs_124525</t>
  </si>
  <si>
    <t>http://tabs.ultimate-guitar.com/tab/survivor/eye_of_the_tiger_tabs_50888</t>
  </si>
  <si>
    <t>http://tabs.ultimate-guitar.com/tab/eric_clapton/wonderful_tonight_tabs_664886</t>
  </si>
  <si>
    <t>http://tabs.ultimate-guitar.com/tab/black_sabbath/paranoid_tabs_21813</t>
  </si>
  <si>
    <t>http://tabs.ultimate-guitar.com/tab/r_e_m_/one_i_love_tabs_545867</t>
  </si>
  <si>
    <t>http://tabs.ultimate-guitar.com/tab/michael_jackson/billie_jean_tabs_1481746</t>
  </si>
  <si>
    <t>http://tabs.ultimate-guitar.com/tab/eurythmics/sweet_dreams_are_made_of_this_tabs_1012978</t>
  </si>
  <si>
    <t>http://tabs.ultimate-guitar.com/tab/the_white_stripes/seven_nation_army_tabs_55331</t>
  </si>
  <si>
    <t>http://tabs.ultimate-guitar.com/tab/eric_clapton/cocaine_tabs_213446</t>
  </si>
  <si>
    <t>http://tabs.ultimate-guitar.com/tab/scorpions/rock_you_like_a_hurricane_tabs_1706879</t>
  </si>
  <si>
    <t>http://tabs.ultimate-guitar.com/tab/acdc/highway_to_hell_tabs_196860</t>
  </si>
  <si>
    <t>http://tabs.ultimate-guitar.com/tab/dio/rainbow_in_the_dark_tabs_162743</t>
  </si>
  <si>
    <t>http://tabs.ultimate-guitar.com/tab/santana/smooth_tabs_2111</t>
  </si>
  <si>
    <t>http://tabs.ultimate-guitar.com/tab/journey/dont_stop_believin_chords_275297</t>
  </si>
  <si>
    <t>http://tabs.ultimate-guitar.com/tab/elvis_presley/jailhouse_rock_tabs_41821</t>
  </si>
  <si>
    <t>http://tabs.ultimate-guitar.com/tab/queen/another_one_bites_the_dust_tabs_80603</t>
  </si>
  <si>
    <t>http://tabs.ultimate-guitar.com/tab/incubus/drive_tabs_20820</t>
  </si>
  <si>
    <t>http://tabs.ultimate-guitar.com/tab/joan_jett/i_love_rock_n_roll_tabs_666050</t>
  </si>
  <si>
    <t>http://tabs.ultimate-guitar.com/tab/slayer/raining_blood_tabs_29266</t>
  </si>
  <si>
    <t>http://tabs.ultimate-guitar.com/tab/pantera/mouth_for_war_tabs_915741</t>
  </si>
  <si>
    <t>http://tabs.ultimate-guitar.com/tab/metallica/enter_sandman_tabs_29727</t>
  </si>
  <si>
    <t>http://tabs.ultimate-guitar.com/tab/aerosmith/walk_this_way_tabs_18826</t>
  </si>
  <si>
    <t>http://tabs.ultimate-guitar.com/tab/alice_in_chains/man_in_the_box_tabs_55850</t>
  </si>
  <si>
    <t>http://tabs.ultimate-guitar.com/tab/blur/song_2_tabs_99059</t>
  </si>
  <si>
    <t>http://tabs.ultimate-guitar.com/tab/nirvana/come_as_you_are_tabs_47319</t>
  </si>
  <si>
    <t>http://tabs.ultimate-guitar.com/tab/led_zeppelin/heartbreaker_tabs_116354</t>
  </si>
  <si>
    <t>http://tabs.ultimate-guitar.com/tab/rainbow/man_on_the_silver_mountain_tabs_733999</t>
  </si>
  <si>
    <t>http://tabs.ultimate-guitar.com/tab/david_bowie/rebel_rebel_tabs_97952</t>
  </si>
  <si>
    <t>http://tabs.ultimate-guitar.com/tab/foo_fighters/everlong_tabs_100106</t>
  </si>
  <si>
    <t>http://tabs.ultimate-guitar.com/tab/muse/uprising_tabs_876472</t>
  </si>
  <si>
    <t>http://tabs.ultimate-guitar.com/tab/dire_straits/money_for_nothing_tabs_205208</t>
  </si>
  <si>
    <t>http://tabs.ultimate-guitar.com/tab/queen/tie_your_mother_down_tabs_4718</t>
  </si>
  <si>
    <t>http://tabs.ultimate-guitar.com/tab/guns_n_roses/sweet_child_o_mine_tabs_12657</t>
  </si>
  <si>
    <t>http://tabs.ultimate-guitar.com/tab/lynyrd_skynyrd/sweet_home_alabama_tabs_1071268</t>
  </si>
  <si>
    <t>http://tabs.ultimate-guitar.com/tab/scorpions/still_loving_you_tabs_160055</t>
  </si>
  <si>
    <t>http://tabs.ultimate-guitar.com/tab/van_halen/aint_talkin_bout_love_tabs_23613</t>
  </si>
  <si>
    <t>http://tabs.ultimate-guitar.com/tab/the_police/every_breath_you_take_tabs_43141</t>
  </si>
  <si>
    <t>http://tabs.ultimate-guitar.com/tab/foo_fighters/learn_to_fly_tabs_45213</t>
  </si>
  <si>
    <t>http://tabs.ultimate-guitar.com/tab/pink_floyd/money_tabs_533189</t>
  </si>
  <si>
    <t>http://tabs.ultimate-guitar.com/tab/a-ha/take_on_me_tabs_2402355</t>
  </si>
  <si>
    <t>http://tabs.ultimate-guitar.com/tab/red_hot_chili_peppers/scar_tissue_tabs_20691</t>
  </si>
  <si>
    <t>http://tabs.ultimate-guitar.com/tab/acdc/hells_bells_tabs_52908</t>
  </si>
  <si>
    <t>http://tabs.ultimate-guitar.com/tab/the_animals/house_of_the_rising_sun_tabs_45131</t>
  </si>
  <si>
    <t>http://tabs.ultimate-guitar.com/tab/metallica/seek_and_destroy_tabs_24413</t>
  </si>
  <si>
    <t>http://tabs.ultimate-guitar.com/tab/jimi_hendrix/purple_haze_tabs_11715</t>
  </si>
  <si>
    <t>http://tabs.ultimate-guitar.com/tab/metallica/fade_to_black_tabs_23218</t>
  </si>
  <si>
    <t>http://tabs.ultimate-guitar.com/tab/megadeth/symphony_of_destruction_tabs_45204</t>
  </si>
  <si>
    <t>http://tabs.ultimate-guitar.com/tab/eric_clapton/tears_in_heaven_tabs_16131</t>
  </si>
  <si>
    <t>http://tabs.ultimate-guitar.com/tab/europe/the_final_countdown_tabs_67384</t>
  </si>
  <si>
    <t>http://tabs.ultimate-guitar.com/tab/the_offspring/pretty_fly_for_a_white_guy_tabs_42776</t>
  </si>
  <si>
    <t>http://tabs.ultimate-guitar.com/tab/bob_dylan/knockin_on_heavens_door_chords_66587</t>
  </si>
  <si>
    <t>http://tabs.ultimate-guitar.com/tab/lenny_kravitz/are_you_gonna_go_my_way_tabs_10141</t>
  </si>
  <si>
    <t>http://tabs.ultimate-guitar.com/tab/roy_orbison/oh_pretty_woman_chords_810517</t>
  </si>
  <si>
    <t>http://tabs.ultimate-guitar.com/tab/mr_big/to_be_with_you_chords_38105</t>
  </si>
  <si>
    <t>http://tabs.ultimate-guitar.com/tab/kansas/dust_in_the_wind_tabs_72957</t>
  </si>
  <si>
    <t>http://tabs.ultimate-guitar.com/tab/stevie_ray_vaughan_double_trouble/pride_and_joy_tabs_30829</t>
  </si>
  <si>
    <t>http://tabs.ultimate-guitar.com/tab/pat_benatar/hit_me_with_your_best_shot_tabs_614563</t>
  </si>
  <si>
    <t>http://tabs.ultimate-guitar.com/tab/aerosmith/dream_on_tabs_111083</t>
  </si>
  <si>
    <t>http://tabs.ultimate-guitar.com/tab/eagles/life_in_the_fast_lane_tabs_354867</t>
  </si>
  <si>
    <t>http://tabs.ultimate-guitar.com/tab/jimi_hendrix/foxy_lady_tabs_28416</t>
  </si>
  <si>
    <t>http://tabs.ultimate-guitar.com/tab/muse/plug_in_baby_tabs_23691</t>
  </si>
  <si>
    <t>http://tabs.ultimate-guitar.com/tab/muse/supermassive_black_hole_tabs_388216</t>
  </si>
  <si>
    <t>http://tabs.ultimate-guitar.com/tab/ted_nugent/cat_scratch_fever_tabs_86221</t>
  </si>
  <si>
    <t>http://tabs.ultimate-guitar.com/tab/david_bowie/ziggy_stardust_tabs_61266</t>
  </si>
  <si>
    <t>http://tabs.ultimate-guitar.com/tab/creedence_clearwater_revival/run_through_the_jungle_tabs_122534</t>
  </si>
  <si>
    <t>http://tabs.ultimate-guitar.com/tab/the_cult/she_sells_sanctuary_tabs_787268</t>
  </si>
  <si>
    <t>http://tabs.ultimate-guitar.com/tab/abba/gimme_gimme_gimme_tabs_102695</t>
  </si>
  <si>
    <t>http://tabs.ultimate-guitar.com/tab/red_hot_chili_peppers/under_the_bridge_tabs_3832</t>
  </si>
  <si>
    <t>http://tabs.ultimate-guitar.com/tab/red_hot_chili_peppers/californication_tabs_202766</t>
  </si>
  <si>
    <t>http://www.guitartabsexplorer.com/rage-against-the-machine-Tabs/killing-in-the-name-tab.php</t>
  </si>
  <si>
    <t>http://tabs.ultimate-guitar.com/tab/led_zeppelin/kashmir_tabs_104407</t>
  </si>
  <si>
    <t>http://tabs.ultimate-guitar.com/tab/bon_jovi/wanted_dead_or_alive_tabs_24420</t>
  </si>
  <si>
    <t>http://tabs.ultimate-guitar.com/tab/eagles/hotel_california_tabs_14288</t>
  </si>
  <si>
    <t>http://tabs.ultimate-guitar.com/tab/muse/hysteria_tabs_102487</t>
  </si>
  <si>
    <t>http://tabs.ultimate-guitar.com/tab/nirvana/smells_like_teen_spirit_tabs_202727</t>
  </si>
  <si>
    <t>http://tabs.ultimate-guitar.com/tab/guns_n_roses/welcome_to_the_jungle_tabs_577140</t>
  </si>
  <si>
    <t>http://tabs.ultimate-guitar.com/tab/red_hot_chili_peppers/give_it_away_tabs_321969</t>
  </si>
  <si>
    <t>http://tabs.ultimate-guitar.com/tab/pearl_jam/even_flow_tabs_546491</t>
  </si>
  <si>
    <t>http://tabs.ultimate-guitar.com/tab/pearl_jam/alive_tabs_24161</t>
  </si>
  <si>
    <t>http://tabs.ultimate-guitar.com/tab/rush/tom_sawyer_tabs_55095</t>
  </si>
  <si>
    <t>http://tabs.ultimate-guitar.com/tab/ozzy_osbourne/crazy_train_tabs_38622</t>
  </si>
  <si>
    <t>http://tabs.ultimate-guitar.com/tab/black_sabbath/iron_man_tabs_21301</t>
  </si>
  <si>
    <t>http://tabs.ultimate-guitar.com/tab/acdc/thunderstruck_tabs_47698</t>
  </si>
  <si>
    <t>Sweet Child O' Mine</t>
  </si>
  <si>
    <t>cJpB_AEZf6U</t>
  </si>
  <si>
    <t>pKwQlm-wldA</t>
  </si>
  <si>
    <t>#F1D764</t>
  </si>
  <si>
    <t>#B2DB4B</t>
  </si>
  <si>
    <t>#66E586</t>
  </si>
  <si>
    <t>#22AAD6</t>
  </si>
  <si>
    <t>#FFDD21</t>
  </si>
  <si>
    <t>#B3F141</t>
  </si>
  <si>
    <t>#FFE000</t>
  </si>
  <si>
    <t>#E8AD1D</t>
  </si>
  <si>
    <t>#8AF1AA</t>
  </si>
  <si>
    <t>#FFE129</t>
  </si>
  <si>
    <t>#45F0E2</t>
  </si>
  <si>
    <t>#FFDF66</t>
  </si>
  <si>
    <t>#F5943C</t>
  </si>
  <si>
    <t>#C2C2A1</t>
  </si>
  <si>
    <t>https://tabs.ultimate-guitar.com/tab/the_police/message_in_a_bottle_tabs_79537</t>
  </si>
  <si>
    <t>https://tabs.ultimate-guitar.com/tab/led_zeppelin/stairway_to_heaven_tabs_9488</t>
  </si>
  <si>
    <t>https://tabs.ultimate-guitar.com/tab/ritchie_valens/la_bamba_tabs_442995</t>
  </si>
  <si>
    <t>https://tabs.ultimate-guitar.com/tab/kansas/carry_on_wayward_son_tabs_441987</t>
  </si>
  <si>
    <t>https://tabs.ultimate-guitar.com/tab/metallica/master_of_puppets_tabs_47673</t>
  </si>
  <si>
    <t>https://tabs.ultimate-guitar.com/tab/pantera/cemetery_gates_tabs_156251</t>
  </si>
  <si>
    <t>https://tabs.ultimate-guitar.com/tab/metallica/nothing_else_matters_tabs_8519</t>
  </si>
  <si>
    <t>https://tabs.ultimate-guitar.com/tab/jethro_tull/aqualung_tabs_193316</t>
  </si>
  <si>
    <t>https://www.youtube.com/watch?v=p32b5nNq1zw</t>
  </si>
  <si>
    <t>https://tabs.ultimate-guitar.com/tab/rush/yyz_tabs_55096</t>
  </si>
  <si>
    <t>https://tabs.ultimate-guitar.com/tab/santana/samba_pa_ti_tabs_2121</t>
  </si>
  <si>
    <t>https://tabs.ultimate-guitar.com/tab/dick_dale/misirlou_tabs_93843</t>
  </si>
  <si>
    <t>https://tabs.ultimate-guitar.com/tab/neil_zaza/im_alright_tabs_351613</t>
  </si>
  <si>
    <t>https://tabs.ultimate-guitar.com/tab/chuck_berry/johnny_b_goode_chords_319116</t>
  </si>
  <si>
    <t>https://tabs.ultimate-guitar.com/tab/coheed_and_cambria/welcome_home_tabs_197788</t>
  </si>
  <si>
    <t>https://tabs.ultimate-guitar.com/tab/john_petrucci/glasgow_kiss_tabs_58422</t>
  </si>
  <si>
    <t>https://tabs.ultimate-guitar.com/tab/iron_maiden/the_trooper_tabs_71439</t>
  </si>
  <si>
    <t>https://www.songsterr.com/a/wsa/doors-light-my-fire-tab-g-s5400</t>
  </si>
  <si>
    <t>G#m</t>
  </si>
  <si>
    <t>https://tabs.ultimate-guitar.com/tab/red_hot_chili_peppers/snow_hey_oh_tabs_360889</t>
  </si>
  <si>
    <t>https://tabs.ultimate-guitar.com/tab/jerryc/canon_rock_tabs_319905</t>
  </si>
  <si>
    <t>https://tabs.ultimate-guitar.com/tab/avenged_sevenfold/unholy_confessions_tabs_132915</t>
  </si>
  <si>
    <t>https://tabs.ultimate-guitar.com/tab/avenged_sevenfold/afterlife_tabs_599991</t>
  </si>
  <si>
    <t>https://tabs.ultimate-guitar.com/tab/muse/stockholm_syndrome_tabs_56025</t>
  </si>
  <si>
    <t>https://tabs.ultimate-guitar.com/tab/arctic_monkeys/do_i_wanna_know_tabs_1251886</t>
  </si>
  <si>
    <t>C#</t>
  </si>
  <si>
    <t>https://tabs.ultimate-guitar.com/tab/arctic_monkeys/dancing_shoes_tabs_326771</t>
  </si>
  <si>
    <t>https://tabs.ultimate-guitar.com/tab/jimi_hendrix/who_knows_tabs_11765</t>
  </si>
  <si>
    <t>https://tabs.ultimate-guitar.com/tab/foo_fighters/all_my_life_tabs_35848</t>
  </si>
  <si>
    <t>https://tabs.ultimate-guitar.com/tab/red_hot_chili_peppers/suck_my_kiss_tabs_41468</t>
  </si>
  <si>
    <t>https://tabs.ultimate-guitar.com/tab/red_hot_chili_peppers/dani_california_tabs_356587</t>
  </si>
  <si>
    <t>https://tabs.ultimate-guitar.com/tab/the_beatles/twist_and_shout_chords_489173</t>
  </si>
  <si>
    <t>#F75269</t>
  </si>
  <si>
    <t>#FF4F53</t>
  </si>
  <si>
    <t>#C476D4</t>
  </si>
  <si>
    <t>Like A Stone</t>
  </si>
  <si>
    <t>https://www.songsterr.com/a/wsa/the-beatles-what-youre-doing-tab-s2585t4</t>
  </si>
  <si>
    <t>https://www.songsterr.com/a/wsa/the-beatles-paperback-writer-tab-s2551t3</t>
  </si>
  <si>
    <t>https://tabs.ultimate-guitar.com/tab/the_beatles/dizzy_miss_lizzy_tabs_740234</t>
  </si>
  <si>
    <t>https://tabs.ultimate-guitar.com/tab/the_beatles/come_together_tabs_30081</t>
  </si>
  <si>
    <t>https://tabs.ultimate-guitar.com/tab/van_halen/unchained_tabs_259276</t>
  </si>
  <si>
    <t>Db</t>
  </si>
  <si>
    <t>https://tabs.ultimate-guitar.com/tab/black_sabbath/electric_funeral_tabs_24456</t>
  </si>
  <si>
    <t>https://tabs.ultimate-guitar.com/tab/pink_floyd/another_brick_in_the_wall_part_2_tabs_79176</t>
  </si>
  <si>
    <t>Another Brick In The Wall</t>
  </si>
  <si>
    <t>https://tabs.ultimate-guitar.com/tab/aerosmith/same_old_song_and_dance_tabs_18812</t>
  </si>
  <si>
    <t>https://tabs.ultimate-guitar.com/tab/aerosmith/sweet_emotion_tabs_135215</t>
  </si>
  <si>
    <t>https://tabs.ultimate-guitar.com/tab/fall_out_boy/thriller_tabs_465430</t>
  </si>
  <si>
    <t>https://tabs.ultimate-guitar.com/tab/fall_out_boy/dance_dance_tabs_268744</t>
  </si>
  <si>
    <t>https://tabs.ultimate-guitar.com/tab/panic_at_the_disco/victorious_tabs_1770610</t>
  </si>
  <si>
    <t>https://tabs.ultimate-guitar.com/tab/paramore/still_into_you_tabs_1230568</t>
  </si>
  <si>
    <t>https://tabs.ultimate-guitar.com/tab/green_day/holiday_tabs_135992</t>
  </si>
  <si>
    <t>https://tabs.ultimate-guitar.com/tab/green_day/hitchin_a_ride_tabs_56394</t>
  </si>
  <si>
    <t>https://tabs.ultimate-guitar.com/tab/green_day/american_idiot_tabs_130391</t>
  </si>
  <si>
    <t>GqHSrJ2mLo0?t=2m26s</t>
  </si>
  <si>
    <t>https://tabs.ultimate-guitar.com/tab/dream_theater/home_tabs_65826</t>
  </si>
  <si>
    <t>https://tabs.ultimate-guitar.com/tab/u2/until_the_end_of_the_world_tabs_340474</t>
  </si>
  <si>
    <t>https://tabs.ultimate-guitar.com/tab/u2/sunday_bloody_sunday_tabs_126411</t>
  </si>
  <si>
    <t>https://tabs.ultimate-guitar.com/tab/kiss/detroit_rock_city_tabs_10281</t>
  </si>
  <si>
    <t>https://tabs.ultimate-guitar.com/tab/pearl_jam/jeremy_tabs_144638</t>
  </si>
  <si>
    <t>https://tabs.ultimate-guitar.com/tab/r_e_m_/losing_my_religion_tabs_338351</t>
  </si>
  <si>
    <t>https://tabs.ultimate-guitar.com/tab/led_zeppelin/moby_dick_tabs_54524</t>
  </si>
  <si>
    <t>https://tabs.ultimate-guitar.com/tab/rise_against/savior_tabs_746060</t>
  </si>
  <si>
    <t>https://tabs.ultimate-guitar.com/tab/rise_against/re-education_through_labor_tabs_747558</t>
  </si>
  <si>
    <t>https://tabs.ultimate-guitar.com/tab/royal_blood/out_of_the_black_tabs_1664526</t>
  </si>
  <si>
    <t>https://tabs.ultimate-guitar.com/tab/cream/sunshine_of_your_love_tabs_30878</t>
  </si>
  <si>
    <t>https://www.songsterr.com/a/wsa/zz-top-my-heads-in-mississippi-tab-s58828t0</t>
  </si>
  <si>
    <t>https://tabs.ultimate-guitar.com/tab/santana/maria_maria_tabs_2137</t>
  </si>
  <si>
    <t>https://tabs.ultimate-guitar.com/tab/nirvana/the_man_who_sold_the_world_tabs_841950</t>
  </si>
  <si>
    <t>https://tabs.ultimate-guitar.com/tab/queens_of_the_stone_age/no_one_knows_tabs_37580</t>
  </si>
  <si>
    <t>https://tabs.ultimate-guitar.com/tab/rammstein/du_hast_tabs_199202</t>
  </si>
  <si>
    <t>https://tabs.ultimate-guitar.com/tab/radiohead/my_iron_lung_tabs_1214341</t>
  </si>
  <si>
    <t>https://tabs.ultimate-guitar.com/tab/linkin_park/one_step_closer_tabs_863523</t>
  </si>
  <si>
    <t>Half Step Down + Drop D</t>
  </si>
  <si>
    <t>https://tabs.ultimate-guitar.com/tab/linkin_park/faint_tabs_55914</t>
  </si>
  <si>
    <t>https://tabs.ultimate-guitar.com/tab/linkin_park/papercut_tabs_9250</t>
  </si>
  <si>
    <t>https://www.songsterr.com/a/wsa/audioslave-cochise-tab-s2026t4</t>
  </si>
  <si>
    <t>https://tabs.ultimate-guitar.com/tab/coldplay/yellow_tabs_55915</t>
  </si>
  <si>
    <t>(EABGBD#)</t>
  </si>
  <si>
    <t>https://tabs.ultimate-guitar.com/tab/coldplay/in_my_place_tabs_1103201</t>
  </si>
  <si>
    <t>https://tabs.ultimate-guitar.com/tab/coldplay/fix_you_tabs_202593</t>
  </si>
  <si>
    <t>https://tabs.ultimate-guitar.com/tab/maroon_5/this_love_tabs_114399</t>
  </si>
  <si>
    <t>https://tabs.ultimate-guitar.com/tab/maroon_5/misery_tabs_971376</t>
  </si>
  <si>
    <t>https://tabs.ultimate-guitar.com/tab/pearl_jam/yellow_ledbetter_tabs_47807</t>
  </si>
  <si>
    <t>https://tabs.ultimate-guitar.com/tab/led_zeppelin/black_dog_tabs_51744</t>
  </si>
  <si>
    <t>https://tabs.ultimate-guitar.com/tab/royal_blood/loose_change_bass_1665929</t>
  </si>
  <si>
    <t>https://tabs.ultimate-guitar.com/tab/muse/psycho_tabs_1719700</t>
  </si>
  <si>
    <t>https://tabs.ultimate-guitar.com/tab/arctic_monkeys/i_bet_you_look_good_on_the_dancefloor_tabs_329943</t>
  </si>
  <si>
    <t>https://tabs.ultimate-guitar.com/tab/arctic_monkeys/r_u_mine_tabs_1134108</t>
  </si>
  <si>
    <t>Bbm</t>
  </si>
  <si>
    <t>Bastille Day</t>
  </si>
  <si>
    <t>Ebm</t>
  </si>
  <si>
    <t>This Charming Man</t>
  </si>
  <si>
    <t>7QU1nvuxaMA</t>
  </si>
  <si>
    <t>https://tabs.ultimate-guitar.com/tab/the_smiths/this_charming_man_tabs_24268</t>
  </si>
  <si>
    <t>https://tabs.ultimate-guitar.com/tab/guns_n_roses/you_could_be_mine_tabs_327372</t>
  </si>
  <si>
    <t>https://tabs.ultimate-guitar.com/tab/guns_n_roses/paradise_city_tabs_102464</t>
  </si>
  <si>
    <t>https://tabs.ultimate-guitar.com/tab/guns_n_roses/nightrain_tabs_160277</t>
  </si>
  <si>
    <t>https://tabs.ultimate-guitar.com/tab/jimi_hendrix/all_along_the_watchtower_tabs_273100</t>
  </si>
  <si>
    <t>https://tabs.ultimate-guitar.com/tab/jimi_hendrix/voodoo_child_slight_return_tabs_326654</t>
  </si>
  <si>
    <t>https://tabs.ultimate-guitar.com/tab/foo_fighters/the_pretender_tabs_558883</t>
  </si>
  <si>
    <t>https://tabs.ultimate-guitar.com/tab/red_hot_chili_peppers/cant_stop_tabs_33385</t>
  </si>
  <si>
    <t>https://tabs.ultimate-guitar.com/tab/rush/bastille_day_tabs_81557</t>
  </si>
  <si>
    <t>https://tabs.ultimate-guitar.com/tab/black_sabbath/lord_of_this_world_tabs_191066</t>
  </si>
  <si>
    <t>A National Acrobat</t>
  </si>
  <si>
    <t>https://tabs.ultimate-guitar.com/tab/black_sabbath/a_national_acrobat_tabs_108520</t>
  </si>
  <si>
    <t>https://tabs.ultimate-guitar.com/tab/black_sabbath/heaven_and_hell_tabs_33212</t>
  </si>
  <si>
    <t>https://tabs.ultimate-guitar.com/tab/pink_floyd/young_lust_tabs_162254</t>
  </si>
  <si>
    <t>https://tabs.ultimate-guitar.com/tab/the_allman_brothers_band/jessica_tabs_59573</t>
  </si>
  <si>
    <t>https://tabs.ultimate-guitar.com/tab/the_allman_brothers_band/soulshine_tabs_160318</t>
  </si>
  <si>
    <t>Say It Ain't So</t>
  </si>
  <si>
    <t>Weezer</t>
  </si>
  <si>
    <t>https://tabs.ultimate-guitar.com/tab/coldplay/adventure_of_a_lifetime_tabs_1779976</t>
  </si>
  <si>
    <t>https://tabs.ultimate-guitar.com/tab/coldplay/clocks_tabs_494845</t>
  </si>
  <si>
    <t>https://tabs.ultimate-guitar.com/tab/slash/promise_tabs_940801</t>
  </si>
  <si>
    <t>Promise (feat. Chris Cornell)</t>
  </si>
  <si>
    <t>Gotten (feat. Adam Levine)</t>
  </si>
  <si>
    <t>https://tabs.ultimate-guitar.com/tab/slash/anastasia_tabs_1157766</t>
  </si>
  <si>
    <t>https://tabs.ultimate-guitar.com/tab/guns_n_roses/mr_brownstone_tabs_170529</t>
  </si>
  <si>
    <t>https://tabs.ultimate-guitar.com/tab/slash/gotten_tabs_942357</t>
  </si>
  <si>
    <t>https://tabs.ultimate-guitar.com/tab/van_halen/im_the_one_tabs_87730</t>
  </si>
  <si>
    <t>https://tabs.ultimate-guitar.com/tab/van_halen/panama_tabs_170836</t>
  </si>
  <si>
    <t>https://tabs.ultimate-guitar.com/tab/disturbed/just_stop_tabs_955444</t>
  </si>
  <si>
    <t>https://tabs.ultimate-guitar.com/tab/rush/the_spirit_of_radio_tabs_55094</t>
  </si>
  <si>
    <t>https://tabs.ultimate-guitar.com/tab/van_halen/hot_for_teacher_tabs_189680</t>
  </si>
  <si>
    <t>D|-------------------------------|------------------------------|
A|-------------------------------|------------------------------|
F|-------------------------------|------------------------------|
C|----10/7-----------------------|---10/7-----------------------|
G|--0-8/-5--8/7--2/3--3-5--3-6-0-|---8/-5--8/7--2/3--3-5--3-3-0-|
C|--0-------8/7--2/3--3-5--3-6-0-|---------8/7--2/3--3-5--3-3-0-|
D|------------------------------|-----------------------------------|
A|------------------------------|-----------------------------------|
F|------------------------------|-----------------9-9-9-9-10-10-9---|
C|---10/7---------------------3-|---3-3-3-5-5-3-x-7-7-7-7-7--7--7---|
G|---8/-5--8/7--2/3--3-5--3-6-3-|---3-3-3-3-3-3-x-7-7-7-7-7--7--7-0-|
C|---------8/7--2/3--3-5--3-6-3-|---3-3-3-3-3-3-x-7-7-7-7-7--7--7-0-|</t>
  </si>
  <si>
    <t>https://tabs.ultimate-guitar.com/tab/disturbed/stricken_tabs_212004</t>
  </si>
  <si>
    <t>Whole Step Down + Drop C</t>
  </si>
  <si>
    <t>CGCFAD</t>
  </si>
  <si>
    <t>https://tabs.ultimate-guitar.com/tab/disturbed/indestructible_tabs_762269</t>
  </si>
  <si>
    <t>https://tabs.ultimate-guitar.com/tab/the_killers/mr_brightside_tabs_202653</t>
  </si>
  <si>
    <t>https://tabs.ultimate-guitar.com/tab/stevie_ray_vaughan_double_trouble/lenny_tabs_604</t>
  </si>
  <si>
    <t>https://tabs.ultimate-guitar.com/tab/zz_top/heard_it_on_the_x_tabs_705184</t>
  </si>
  <si>
    <t>https://tabs.ultimate-guitar.com/tab/slipknot/psychosocial_tabs_697774</t>
  </si>
  <si>
    <t>Dropped A</t>
  </si>
  <si>
    <t>Dropped A (AEADF#B)</t>
  </si>
  <si>
    <t>https://tabs.ultimate-guitar.com/tab/system_of_a_down/vicinity_of_obscenity_tabs_273616</t>
  </si>
  <si>
    <t>https://tabs.ultimate-guitar.com/tab/system_of_a_down/chop_suey_tabs_2926</t>
  </si>
  <si>
    <t>https://tabs.ultimate-guitar.com/tab/dream_theater/constant_motion_tabs_522612</t>
  </si>
  <si>
    <t>https://tabs.ultimate-guitar.com/tab/dragonforce/through_the_fire_and_flames_tabs_358347</t>
  </si>
  <si>
    <t>https://tabs.ultimate-guitar.com/tab/muse/reapers_tabs_1741342</t>
  </si>
  <si>
    <t>https://www.songsterr.com/a/wsa/audioslave-like-a-stone-tab-s1859t0</t>
  </si>
  <si>
    <t>ENXvZ9YRjbo</t>
  </si>
  <si>
    <t>https://tabs.ultimate-guitar.com/tab/weezer/say_it_aint_so_tabs_58945</t>
  </si>
  <si>
    <t>9d4ui9q7eDM</t>
  </si>
  <si>
    <t>https://tabs.ultimate-guitar.com/tab/megadeth/holy_wars_the_punishment_due_tabs_711368</t>
  </si>
  <si>
    <t>https://tabs.ultimate-guitar.com/tab/the_chainsmokers/something_just_like_this_chords_1953009</t>
  </si>
  <si>
    <t>https://tabs.ultimate-guitar.com/tab/the_smiths/girl_afraid_tabs_1817648</t>
  </si>
  <si>
    <t>https://tabs.ultimate-guitar.com/tab/paramore/misery_business_tabs_604324</t>
  </si>
  <si>
    <t>https://www.songsterr.com/a/wsa/disturbed-down-with-the-sickness-tab-s6643t0</t>
  </si>
  <si>
    <t>https://tabs.ultimate-guitar.com/tab/disturbed/guarded_tabs_193415</t>
  </si>
  <si>
    <t>https://tabs.ultimate-guitar.com/tab/u2/vertigo_tabs_875201</t>
  </si>
  <si>
    <t>https://tabs.ultimate-guitar.com/tab/deep_purple/stormbringer_tabs_54288</t>
  </si>
  <si>
    <t>https://tabs.ultimate-guitar.com/tab/deep_purple/speed_king_tabs_15185</t>
  </si>
  <si>
    <t>https://tabs.ultimate-guitar.com/tab/kiss/deuce_tabs_204326</t>
  </si>
  <si>
    <t>https://tabs.ultimate-guitar.com/tab/led_zeppelin/whole_lotta_love_tabs_134091</t>
  </si>
  <si>
    <t>Corazon Espinado (feat. Mana)</t>
  </si>
  <si>
    <t>https://tabs.ultimate-guitar.com/tab/santana/corazon_espinado_tabs_719581</t>
  </si>
  <si>
    <t>C Standard</t>
  </si>
  <si>
    <t>C Standard (CFA#D#GC)</t>
  </si>
  <si>
    <t>https://tabs.ultimate-guitar.com/tab/queens_of_the_stone_age/sick_sick_sick_tabs_508980</t>
  </si>
  <si>
    <t>https://tabs.ultimate-guitar.com/tab/radiohead/paranoid_android_tabs_113681</t>
  </si>
  <si>
    <t>F#C#AEBF#</t>
  </si>
  <si>
    <t>NoofSongs</t>
  </si>
  <si>
    <t>Free</t>
  </si>
  <si>
    <t>Balance</t>
  </si>
  <si>
    <t>Target</t>
  </si>
  <si>
    <t>Paid</t>
  </si>
  <si>
    <t>Total</t>
  </si>
  <si>
    <t>Free/Total</t>
  </si>
  <si>
    <t>Free/Paid</t>
  </si>
  <si>
    <t>Beg Total</t>
  </si>
  <si>
    <t>Ratios</t>
  </si>
  <si>
    <t>Int Total</t>
  </si>
  <si>
    <t>Adv Total</t>
  </si>
  <si>
    <t>BegFree / Beg Total</t>
  </si>
  <si>
    <t>IntFree / IntTotal</t>
  </si>
  <si>
    <t>AdvFree / AdvTotal</t>
  </si>
  <si>
    <t>Should be around 0.45, since 45% of it is free content.</t>
  </si>
  <si>
    <t>Holy Wars The Punishment Due</t>
  </si>
  <si>
    <t>C#G#C#F#A#D#</t>
  </si>
  <si>
    <t>https://tabs.ultimate-guitar.com/tab/rammstein/engel_tabs_26284</t>
  </si>
  <si>
    <t>FM7MFYoylVs?t=3m14s</t>
  </si>
  <si>
    <t>wMsazR6Tnf8</t>
  </si>
  <si>
    <t>fTVCtiwPpQk</t>
  </si>
  <si>
    <t>d398sJaNVOQ</t>
  </si>
  <si>
    <t>e|-----------------------|-------------------|
B|-----------------------|-------------------|
G|-------------7h10p7----|-7-----------------|
D|--------7h10--------10-|-------------------|
A|-----------------------|-------------------|
E|-----------------------|-------------------|
e|---------------------10h13p10----|-10------13b15==(13)-(13)-13---12-|-(12)------10-(10)-------10h13p10----|
B|---------------10h13----------13-|----------------------------------|------13-----------10h13----------13-|
G|-(7)-----------------------------|----------------------------------|-------------------------------------|
D|---------------------------------|----------------------------------|-------------------------------------|
A|---------------------------------|----------------------------------|-------------------------------------|
E|---------------------------------|----------------------------------|-------------------------------------|</t>
  </si>
  <si>
    <t>e|-----------------|---------------|----------------|------------------|
B|-----------------|---------------|----------------|------------------|
G|--0---3---5----0-|---3---6-5-----|-0---3---5----3-|---0----(0)-------|
D|--0---3---5----0-|---3---6-5-----|-0---3---5----3-|---0----(0)-------|
A|-----------------|---------------|----------------|------------------|
E|-----------------|---------------|----------------|------------------|</t>
  </si>
  <si>
    <t>e|------------------------------|------------------------|
B|-(3)---1---1-------1-------3--|-3---3---3---3---3---3--|
G|-(0)---0---0---0---0---0---2--|-0---0---2---0---2---0--|
D|-(0)---2---2---0---2---0---0--|-0---0---0---0---0---0--|
A|-(x)---3---3---x---3---x------|-x---x-------x-------x--|
E|-(3)-----------3-------3------|-3---3-------3-------3--|</t>
  </si>
  <si>
    <t>e|------------------------------------|
B|------------------------------------|
G|-2-2--2--2--2--2---------5-----5b---|
D|-2-2--2--2--2--2----5----2-----2----|
A|------------------0---0-----0-------|
E|------------------------------------|</t>
  </si>
  <si>
    <t>e|----------------------------------|
B|-2--2-3-2---2-3-3-3-3-3-3-3-3-2---|
G|-2--2-2-2---2-2-2-2-2-2-2-2-2-2---|
D|-2--2-4-2---2-5-5-5-5-4-4-4-4-2---|
A|-0--0-0-0---0-0-0-0-0-0-0-0-0-0---|
E|----------------------------------|</t>
  </si>
  <si>
    <t>e|-----------------------|-------------|
B|-----------------------|-------------|
G|-----------------------|-------------|
D|-11/------6--7-7--9/---|--2----------|
A|--9/------4--5-5--7/---|----4-3-2----|
E|-----------------------|-------------|</t>
  </si>
  <si>
    <t>e|-------------------------------------|-------------------------------------|
B|-------------------------------------|-------------------------------------|
G|-------------------------------------|-------------------------------------|
D|-------------------------------------|-------------------------------------|
A|--2--2-----2--4---5--5-5p4---4(p2)---|--2--2----2--4--5---5--5p4----4(p2)--|
E|-------------------------------------|-------------------------------------|</t>
  </si>
  <si>
    <t>[Main Riff/Intro]
eb|-----|-----------------|-----------------|-----------------|-------------|
Bb|-----|-----------------|-----------------|-----------------|-------------|
Gb|-----|-----------------|-----------------|-----------------|-------------|
Db|-----|--------5-2----4-|---2-0---0-------|--------5-2----4-|---2-0-------|
Ab|-----|------2----------|-----------------|------2----------|-------------|
Eb|---0-|(0)-3------------|---------------0-|(0)-3------------|-------------|
[Verse Riff]
eb|------------------|-------------|------------------|-------------|
Bb|------------------|-------------|------------------|-------------|
Gb|--x-9-9---9---x-7-|-7---7-------|--x-9-9---9---x-7-|-7---7-------|
Db|--x-9-9---9---x-7-|-7---7-------|--x-9-9---9---x-7-|-7---7-------|
Ab|--x-7-7---7---x-5-|-5---5-------|--x-7-7---7---x-5-|-5---5-------|
Eb|------------------|-------------|------------------|-------------|
eb|-----------------|-------------|-----------------|-------------|
Bb|-----------------|-------------|-----------------|-------------|
Gb|-x-5-5---5---x-7-|-7---7-------|-x-9-9---9---x-7-|-7---7-------|
Db|-x-5-5---5---x-7-|-7---7-------|-x-9-9---9---x-7-|-7---7-------|
Ab|-x-3-3---3---x-5-|-5---5-------|-x-7-7---7---x-5-|-5---5-------|
Eb|-----------------|-------------|-----------------|-------------|</t>
  </si>
  <si>
    <t>e|--------------------|-------3-0-----------|
B|--------------------|-----------3-0-------|
G|------7-7-7---------|--------------2bp0---|
D|--2---7-7-7--7-7-7--|-X-X-X---------------|
A|--2---5-5-5--7-7-7--|-X-X-X---------------|
E|--0----------5-5-5--|-X-X-X---------------|
e|--------------------|---------------------|
B|--------------------|---------------------|
G|------7-7-7---------|---------------------|
D|--2---7-7-7--7-7-7--|---------------------|
A|--2---5-5-5--7-7-7--|--2---2---2---2------|
E|--0----------5-5-5--|----4---5---6---7/---|</t>
  </si>
  <si>
    <t>e|---------------|-------------------|---------------|--------------------|
B|--------9----9-|---9---------------|---------------|--------------------|
G|-9----9-9----9-|---9---9-----------|-9--x-9-9------|---9----------------|
D|-9----9-9----9-|---9---9-11p9-12p9-|-9--x-9-9----9-|---9---9-11p9-12p9--|
A|-7----7-7----7-|---7---7--7----7---|-7----7-7----7-|---7---7--7----7----|
E|-0-------------|---------------0---|-0------0------|--------------------|
e|---------------|-------------------|---------------|-----0------------|
B|-9------9------|-------------------|-9------9------|-----0------------|
G|-9----9-9--x-9-|---9---------------|-9----9-9------|------------------|
D|-9----9-9--x-9-|---9---9-11p9-12p9-|-9----9-9----9-|---9---9-11p9-12--|
A|-7----7-7----7-|---7---7--7----7---|-7----7-7----7-|---7---7--7----7--|
E|-0--0---0------|-----0----0--------|-0------0--0---|-0----------------|</t>
  </si>
  <si>
    <t>e|-----------------------------|
B|-----------------------------|
G|-----------------------------|
D|-------------2-0---4----0-2--|
A|----------2------2----2------|
E|--0--3-4---------------------|</t>
  </si>
  <si>
    <t>e|-------------------|---------------------|
B|-----15-----17-----|-13-----13---15---15-|
G|-----16-----17-----|-14-----14---16---16-|
D|-----17-----17-----|-15-----15---17---17-|
A|-------------------|---------------------|
E|-------------------|---------------------|
e|----------------------|------------------|
B|-(15)--17-----13---10-|-(10)--8---8--(8)-|
G|-(16)--17-----14---10-|-(10)--9---7--(7)-|
D|-(17)--17-----15---10-|-(10)-10--10-(10)-|
A|----------------------|------------------|
E|----------------------|------------------|</t>
  </si>
  <si>
    <t>e|---------------------------------------------------------------------------|
B|---------------------------------------------------------------------------|
G|---------------------------------------------------------------------------|
D|---------------------------------------------------------------------------|
A|---------------------------------------------------------------------------|
E|-8--8--8--8--8--8--8--8--8--8--8--8--8--8--8--8--8--8--8--8--8--8--8--8--8-|
e|---------------------------------------------------------------------------|
B|---------------------------------------------------------------------------|
G|---------------------------------------------------------------------------|
D|--10-----10--8---10-----10--8---10-----10--5---6---------------------------|
A|--10-----10--8---10-----10--8---10-----10--5---6---------------------------|
E|--8------8---6---8------8---6---8------8---3---4---------------------------|</t>
  </si>
  <si>
    <t>e|-----------------------------------------------------------------------------------------------|
B|----------10b-8-10-------10b-8--------10b-8-10---------10b-8-10---10b-8----10b-8-10-12-13-17-15|
G|-------------------------------9----------------------------------------9----------------------|
D|-----------------------------------------------------------------------------------------------|
A|-----------------------------------------------------------------------------------------------|
E|-----------------------------------------------------------------------------------------------|</t>
  </si>
  <si>
    <t>e|------------------------------------------------------------------------------|
B|------------------------------------------------------------------------------|
G|------------------------------------------------------------------------------|
D|------------------------12h14-----12----------------------------12h14-----12--|
A|-12h14-12h14-12h14-12h14-----12h14--14---12h14-12h14-12h14-12h14-----12h14--14|
E|-12----12----12--------------------------12----12----12-----------------------|
e|------------------------------------------------------------------------------|
B|------------------------------------------------------------------------------|
G|------------------------------------------------------------------------------|
D|------------------------12h14-----12----------------------------12h14-----12--|
A|-12h14-12h14-12h14-12h14-----12h14--14---12h14-12h14-12h14-12h14-----12h14--14|
E|-12----12----12--------------------------12----12----12-----------------------|
e|-----------------------------------------------------------------------------|
B|-----------------------------------------------------------------------------|
G|-----------------------------------------------------------------------------|
D|-----------------------------------------------------------------------------|
A|-14-14-14-14-14-14-14-14-14-14-14-14-144-14-14-14-12-12-12-12-12-12-12-12-12-|
E|-12-12-12-12-12-12-12-12-12-12-12-12-122-12-12-12-10-10-10-10-10-10-10-10-10-|
e|-------------------|
B|--------------12---|
G|--------------12---|
D|-12-----------12---|
A|-10--12--14--------|
E|-----10--12--------|</t>
  </si>
  <si>
    <t>e|-------------------0---------0-----------0------0----0---0-----|
B|-----------------------3/5------0------------3-----0---0-------|
G|---------------------------------------------------------------|
D|-------------0-------------------------------------------------|
A|---------0-----------------------------------------------------|
E|-0-0-2/3----------------------------0--------------------------|</t>
  </si>
  <si>
    <t>e|------------------------------------|
B|------------------------------------|
G|------------------------------------|
D|--4---2-4-2---------4---2-4-2-------|
A|----4-------4-2-4-----4-------4-2-4-|
E|------------------------------------|</t>
  </si>
  <si>
    <t>e|--------------------------------------------------------------------------|
B|----------------4---------------------------------------------------------|
G|---------5-------------5--------------------------------------------------|
D|------------------------------------6---------------- 5-------------------|
A|--3--3-----3-------3-----3-------(6)--------------(5)---------------------|
E|----------------------------4--4------(4)---3--3----------(3)-------------|</t>
  </si>
  <si>
    <t>e |--------------------------------------|
C#|--------------------------------------|
A |--------------------------------------|
E |--------------------------------------|
A |---7----7----10----7------------------|
E |------------------------10---8----7---|</t>
  </si>
  <si>
    <t>e|------------|----------|------|---------------|
B|-9-9-7-9--7-|----------|------|---------------|
G|-9-9-7-9--7-|----------|------|---------------|
D|-9-9-7-9--7-|--------0-|-0p2--|-0-----0-------|
A|-7-7-5-7--5-|-0h2p0--0-|------|---0h2---0-----|
E|------------|----------|------|-----------3-0-|</t>
  </si>
  <si>
    <t>e|----------------------------|
B|----------------------------|
G|-9-9-9--------------5--7-7--|
D|-9-9-9---5-5---7-7--5--7-7--|
A|-7-7-7---5-5---7-7--3--5-5--|
E|---------3-3---5-5----------|</t>
  </si>
  <si>
    <t>e|----------------------------------------------|
B|------------3-3-3----3-3-3----3-3-3----3------|
G|---2-2-2----2-2-0----2-2-0----2-2-0----2--2-2-|
D|---2-2-2----0-0-0----0-0-0----0-0-0----0--2-2-|
A|---0-0-0----------------------------------0-0-|
E|--------------2-3------2-3------2-3-----------|</t>
  </si>
  <si>
    <t>e|-------------------------|----3--------------------||
B|-------------------------|----3--------------------||
G|-------------------------|-------------------------||
D|---7---------3--------5--|-------------------------||
A|---7---------3--------5--|------------3--2--0------||
E|---5------0--1--0--1--3--|---------3-----------0---||</t>
  </si>
  <si>
    <t>e|-----------------------------|---------------------------------------------|
B|-----------------------------|-------------12-12b13r12----12-13------------|
G|-------12----12h14-----------|-------13-14-------------14-------14-(14)----|
D|-12h14----14-----------------|---------------------------------------------|
A|-----------------------------|---------------------------------------------|
E|-----------------------------|---------------------------------------------|</t>
  </si>
  <si>
    <t>e|--------3--------1-----------------------|-------------|
B|---------------------------5----------3--|-------------|
G|--2/4-------1/2--------------------------|-------------|
D|----------------------3/5-------3/5------|---3---0-----|
A|-----------------------------------------|-------------|
E|-----------------------------------------|-------------|</t>
  </si>
  <si>
    <t>e|-------------------------------------------|
B|-------------------------------------------|
G|-------------------------------------------|
D|-------------------------------------------|
A|-------------2-----4-6-4----6-7-0---6-7----|
E|--0------2-4----------------------------0--|</t>
  </si>
  <si>
    <t>D#|-------|-------|-------|-------|
A#|-------|-------|-------|-------|
F#|-8~-9~-|-8~-9~-|-8~-9~-|-8~-9~-|
C#|-8~-9~-|-8~-9~-|-8~-9~-|-8~-9~-|
G#|-6~-7~-|-6~-7~-|-6~-7~-|-6~-7~-|
D#|-------|-------|-------|-------|</t>
  </si>
  <si>
    <t xml:space="preserve">e|------------------|---------------|
B|------------------|---------------|
G|------------------|---------------|
D|------------------|------5--7-----|
A|7---7---7------7--|--7-7---7------|
E|------------------|---------------| </t>
  </si>
  <si>
    <t>e|-----0-0----------------------------|
b|-----8-8-x---7-7-----5-5-x---3-3-3--|
g|-----0-0-x---7-7-----4-4-x---0-0-0--|
d|-----9-9-x---5-5---5-5-5-x---5-5-5--|
a|---7-7-7---7-7-7-3---3-3-----0-0-0--|
e|-0-------------------------5-5-5-5--|</t>
  </si>
  <si>
    <t>e|-------------------------------------------|
B|-------------------------------------------|
G|------------------------2-2-----4-4--------|
D|--2-2-----2-2-----------2-2-----4-4--------|
A|--2-2-----2-2-----------0-0-----2-2--------|
E|--0-0-----0-0-0h3b-------------------0h3b--|</t>
  </si>
  <si>
    <t>eb|-----------------------------------------------------------------|
Bb|-----------------------------------------------------------------|
Gb|-----------------------------------------------------------------|
Db|---------8-9-8-----8-7-----7-6-------------8-9-8-----8-7-----7-6-|
Ab|-------7---------9-------8---------------7---------9-------8-----|
Eb|-0-0-0-----------------------------0-0-0-------------------------|
eb|-----------------------------------------------------------------|
Bb|-----------------------------------------------------------------|
Gb|---------8-9-8-----8-7-----7-6-------------8-9-8-----8-7-----7-6-|
Db|-------7-8-9-8---9-8-7-----7-6-----------7-8-9-8---9-8-7---8-7-6-|
Ab|-------7---------9-------8---------------7---------9-------8-----|
Eb|-0-0-0-----------------------------0-0-0-------------------------|</t>
  </si>
  <si>
    <t>e|-------------------|------------------|
B|-------------------|------------------|
G|----------4--------|--------4---4---4-|
D|----------4--------|--------4---4---4-|
A|-0-1-2-2-2-2-2-2-2-|0-1-2-2-2-2-2-2-2-|
E|-------------------|------------------|</t>
  </si>
  <si>
    <t>e|---------------------|------------------|---------------|
B|---------------------|------------------|---------------|
G|---------------------|------------------|---------------|
D|-------5-------------|----5-------------|----5----------|
A|----7-----------7----|-7-----------7----|-7-----------7-|
E|-0--------6--5-----0-|-------6--5-----0-|-------6--5----|</t>
  </si>
  <si>
    <t>e|----------------------|-----------------------------|
B|----------------------|-----------------------------|
G|----------------------|-----------------------------|
D|--------2--------2----|---------2--------2---2------|
A|--0-1-2----0-1-2------|---0-1-2----0-1-2------------|
E|-------------------0--|--------------------3--------|
e|----------------------|-----------------------------|
B|----------------------|-----------------------------|
G|----------------------|----------------------2------|
D|--------2--------2----|---------2--------2---2------|
A|--0-1-2----0-1-2------|---0-1-2----0-1-2-----0------|
E|-------------------0--|-----------------------------|</t>
  </si>
  <si>
    <t>d#|---------------------------------|---------------------------------|
A#|---------------------------------|---------------------------------|
F#|---------------------------------|---------------------------------|
C#|--------------------------X--X---|---------------------------------|
G#|--------------------------X--X---|--5----X-5-----------5-----------|
D#|--------------------------X--X---|--0----X-0-----------0--------0--|
d#|---------------------------------|---------------------------------|
A#|---------------------------------|---------------------------------|
F#|---------------------------------|----------7----------7h9---------|
C#|---------------------------------|--9------------------------------|
G#|--5----X-5--------------------5--|---------------------------------|
D#|--0----X-0-----------0----5h7----|---------------------------------|
d#|---------------------------------|---------------------------------|
A#|---------------------------------|---------------------------------|
F#|---------------------------------|---------------------------------|
C#|--7-------7h9-----------5--------|--5h7-------5b-------------------|
G#|---------------------------------|-------------------------7-------|
D#|---------------------------------|---------------------------------|</t>
  </si>
  <si>
    <t>(clean guitar)
E|-------------------------------------------|
B|-------------------------------------------|
G|---10-10---88-8-8--13-13-15-17---17-17-17--|
D|---10-10---88-8-8--13-13-15-17---17-17-17--|
A|---8--8----66-6-6--11-11-13-15---15-15-15--|
D|-------------------------------------------|
(with heavy distortion)
E|-------------------------------------|
B|-------------------------------------|
G|-------------------------------------|
D|-3-3-3-3-1-1-1-1-6-6-8-10--10-10-10--|
A|-3-3-3-3-1-1-1-1-6-6-8-10--10-10-10--|
D|-3-3-3-3-1-1-1-1-6-6-8-10--10-10-10--|</t>
  </si>
  <si>
    <t>D|-----------------------------------------|
A|-----------------------------------------|
F|-----------------------------------------|
C|-----------------------------------------|
G|------------0---0---------2-------2------|
D|--0-0-1-2-----2---2-2-1-0---0-0-----0-1--|</t>
  </si>
  <si>
    <t>e|-------|-----------------------|-----------------------------------|
B|-------|-----------------------|-----------------------------------|
G|-------|-----------------------|-----------------------------------| (x2)
D|-------|-----------0--1-2------|---------------0--1-2--------------|
A|-------|---0--3~---------------|---0-0-0-0-3~----------------------|
E|--3b---|------------------3b---|-----------------------3b----------|
e|--------------------|----------------------------------------------|
B|--------------------|----------------------------------------------|
G|--------------------|----------------------------------------------|
D|--------2--3-4------|-------------2--3-4---------------------------|
A|--2--5--------------|--2-2-2-2-5-----------------------------------|
E|----------------5b--|---------------------5b-----------------------|
e|-------|-----------------------|-----------------------------------|
B|-------|-----------------------|-----------------------------------|
G|-------|-----------------------|-----------------------------------|
D|-------|-----------0--1-2------|---------------0--1-2--------------|
A|-------|---0--3~---------------|---0-0-0-0-3~----------------------|
E|--3b---|------------------3b---|-----------------------3b----------|</t>
  </si>
  <si>
    <t>e|------------------------------------------|
B|------------------------------------------|
G|-------------3--------------------5---3---|
D|-----5-3-5---3---3--5----5--3--5--5---3---|
A|-----5-3-5-------3--5----5--3--5----------|
E|--3---------------------------------------|
e|------------------------------------------|
B|------------------------------------------|
G|-------------3----------------------------|
D|-----5-3-5---3---3--5----5-3-1------------|
A|-----5-3-5-------3--5----5-3-1------------|
E|--3---------------------------------------|</t>
  </si>
  <si>
    <t>e|----0------------|-------------------|
B|----5---3---2-0.-|0-----0-2p0--------|
G|-------(2)--2-1.-|1-----------1------|
D|--------------2.-|2-------------2-0--|
A|-----------------|hold---------------|
E|-----------------|-------------------|</t>
  </si>
  <si>
    <t>E|------------------------|------------------------|------------------------|------------------------|
B|------------------------|------------------------|------------------------|------------------------|
G|------------------------|------------------------|------------------------|------------------------|
D|-------11----11-11----11|-------11----11-11-11---|-------11----11-11----11|-------11----11-11-11---|
A|-------9-----9--9-----9-|-------9-----9--9--9----|-------9-----9--9-----9-|-------9-----9--9--9--0-|
D|-0--0-----0--------0----|-0--0-----0-----------0-|-9--9-----9--------9----|-9--9-----9-----------0-|
E|------------------------|------------------------|------------------------|------------------------|
B|------------------------|------------------------|------------------------|------------------------|
G|------------------------|------------------------|------------------------|------------------------|
D|-------7-----------7----|-------11----------11---|-------11----------11---|-------11----11-11----11|
A|-------5-----------5----|-------9-----------9----|-------9-----------9----|-------9-----9--9-----9-|
D|-5--5-----5--5--5-----5-|-9--9-----9--9--9-----9-|-9--9-----9--9--9-----9-|-0--0-----0--------0----|</t>
  </si>
  <si>
    <t>e|-----------------|-----------------|-----------------|-----------------|
B|-----------------|-----------------|-----------------|-----------------|
G|-----------------|-----------------|-----------------|-----------------|
D|-----------------|-----------------|-----------------|-----------------|
G|---7---7---7---7-|---7---7---7---7-|---7---7---7---7-|---7---7---7---7-|
D|-0---0---0---0---|-0---0---0---0---|-0---0---0---0---|-0---0---0---0---|
e|-----------------|-----------------|-----------------|-----------------|
B|-----------------|-----------------|-----------------|-----------------|
G|-----------------|-----------------|-----------------|-----------------|
D|-----------------|-----------------|---5---5---5---5-|---3---3---3---3-|
G|---7---7---7---7-|---7---7---7---7-|-----------------|-----------------|
D|-0---0---0---0---|-0---0---0---0---|-5---5---5---5---|-3---3---3---3---|
e|-----------------|-----------------|-----------------|-----------------|
B|-----------------|-----------------|-----------------|-----------------|
G|-----------------|-----------------|-----------------|---------15--15--|
D|---7---7---7---7-|---7---7---7---7-|---5---5---5---5-|---3---3---------|
G|-----------------|-----------------|-----------------|--------17B--17B-|
D|-7---7---7---7---|-7---7---7---7---|-5---5---5---5---|-3---3-----------|</t>
  </si>
  <si>
    <t>e|---------------|------------------|-----------------|------------------|
B|-------------6-|-(6)--------------|-----------------|------------------|
G|-7--7--7-5-7-5-|-(5)--7-5-5-3---0-|----0--(0)-3---0-|-----------5--3-0-|
D|-5--5--5-5-5---|--5---5-5-5-3-x-0-|-x--0--(0)-3-0-0-|-3--(3)/5--3--3-0-|
A|---------------|------------------|-----------------|-1--(1)/3---------|
E|---------------|------------------|-----------------|------------------|
e|--------------------|---------------------|------------------------|----------------|
B|--------------------|-----8-----------0---|--------------------0---|----------------|
G|-------7--(7)-5-7-7-|-(7)---5-7-5-3-0---0-|-----------0--(0)-3-0---|----------------|
D|-(5)---5---5--5-5-5-|--5----5-5-5-3-0---0-|-----(4)---0---0------0-|-3--(3)/5--5~---|
A|--------------------|---------------------|---x--------------------|-3--(3)/5--5~---|
E|--------------------|---------------------|-x----------------------|----------------|</t>
  </si>
  <si>
    <t>e|-------------|------|-3-----2-------------|
B|-------------|------|-3-----3-----1-------|
G|(2)--2-----2-|------|-0-----2-----0-----0-| 
D|-2--(2)---(2)|-(5x)-|-0-----0-----2-----0-|
A|-0-----3p0(0)|------|-------------3-----2-|
E|-------------|------|---------------------|</t>
  </si>
  <si>
    <t>eb|--------------15----14-----|--------------15----14-----|
Bb|-----15--------------------|-----15--------------------|
Gb|--------14-12----14----14--|--------14-12----14----14--|
Db|--12-----------------------|--12-----------------------|
Ab|---------------------------|---------------------------|
Eb|---------------------------|---------------------------|
eb|--------------15----14-----|--------------15----14-----|
Bb|-----15--------------------|-----15--------------------|
Gb|--------14-12----------14--|--------14-12----------14--|
Db|--14-----------------------|--14-----------------------|
Ab|---------------------------|---------------------------|
Eb|---------------------------|---------------------------| 
eb|--------------15----14-----|--------------15----14-----|
Bb|-----15--------------------|-----15--------------------|
Gb|--12----14-12----14----14--|--12----14-12----14----14--|
Db|---------------------------|---------------------------|
Ab|---------------------------|---------------------------|
Eb|---------------------------|---------------------------|
eb|--------------15----14-----|--------------15----14-----|
Bb|-----15--------------------|-----15--------------------|
Gb|--------14-12----14----14--|--------14-12----14----14--|
Db|--12-----------------------|--12-----------------------|
Ab|---------------------------|---------------------------|
Eb|---------------------------|---------------------------|</t>
  </si>
  <si>
    <t>e|------------------------------------------|
B|----3----------3--------------------------|
G|------2-0--------0-------0----------------|
D|0-0----------------0------------0h2p0-----|
A|------------3-3-------------0h2--------3--|
E|---------------------3-3------------------|
e|----------------------------------------------|
B|----3---------3-------------------------------|
G|------2-0-------0-------0---0-2p0-0-4p0-0-5b--|
D|0-0---------------0---------------------------|
A|----------3-3---------------------------------|
E|--------------------3-3-----------------------|</t>
  </si>
  <si>
    <t>e|---7--------7---------7------10/9-7--------7------------6-------------|
b|-----9--------9---------9-----------9---9----9-------8-----8----------|
g|-------8--------8---------8-------------8------8-----6-------6--------|
d|----------------------------------------9--------9---8---------8------|
a|-6---------9--------7-------------------7------------6----------------|
E|----------------------------------------------------------------------|
e|---7--------7---------7------10/9-7--------7------------6-------------|
b|-----9--------9---------9-----------9---9----9-------8-----8----------|
g|-------8--------8---------8-------------8------8-----6-------6--------|
d|----------------------------------------9--------9---8----------------|
a|-6---------9--------7-------------------7------------6----------------|
E|----------------------------------------------------------------------|</t>
  </si>
  <si>
    <t>e|----------0-1-----3----------------|
B|------1-------1-----3--------------|
G|--------2-------2------------------|
D|----2------------------------------|
A|--0---------------------3-----2-3--|
E|----------------------3------------|</t>
  </si>
  <si>
    <t>eb|-----------------|-----------------|-----------------|-----------------|
Bb|-----------------|-----------------|-----------------|-----------------|
Gb|---------6-------|---------6-------|---------2-------|---------2-------|
Db|-----9-----9---9-|-----9-----9---9-|-----6-----6---6-|-----6-----6---6-|
Ab|---7---7-----7---|---7---7-----7---|---4---4-----4---|---4---4-----4---|
Eb|-5---------------|-5---------------|-2---------------|-2---------------|
eb|-----------------|------------------|-----------------|-----------------|
Bb|-----------------|------------------|-----------------|-----------------|
Gb|-----9---7-------|-----11---9-------|---------6-------|---------6-------|
Db|---7---7---7---7-|---9----9---9---9-|-----9-----9---9-|-----9-----9---9-|
Ab|-5-----------5---|-7------------7---|---7---7-----7---|---7---7-----7---|
Eb|-----------------|------------------|-5---------------|-5---------------|</t>
  </si>
  <si>
    <t>e|---------------------------------------------------------------------------|
B|---------------------------------------------------------------------------|
G|------4--4-4---4-4-4--4/6-6-6--6b-6-6/4--4-4--4-4-4-(4)--4-4-4--4----------|
D|------x--x-x---x-x-x--x-x-x-x--x--x-x-x--x-x--x-x-x-(x)--x-x-x--x--0-------|
A|------2--2-2---2-2-2--2/4-4-4--4b-4-4/2--2-2--2-2-2-(2)--2-2-2--2--0-------|
E|-15/-----------------------------------------------------------------------|</t>
  </si>
  <si>
    <t>e|-----------------------------------------------------|
B|-----------------------------------------------------|
G|-----4-----------------------4-----------------------|
D|--------4-----------------------4--------------------|
A|--2--------2--------2--5--2--------2--------2--0--5--|
E|--------------2--5--------------------2--5-----------|</t>
  </si>
  <si>
    <t>e|---2--2---------------0------0---0---4--4--5--7----5--5--5--0-----2---2---2---0--0---2--0--|
B|---------3--0----0---------------------------------------------3---------------------------|
G|-------------------------------------------------------------------------------------------|
D|-------------------------------------------------------------------------------------------| (x2)
A|-------------------------------------------------------------------------------------------|
E|-------------------------------------------------------------------------------------------|</t>
  </si>
  <si>
    <t>e|--------------------------------|-----------------------------|
B|---10---10-10-5-5/6-6-6-6-6-6/5-|---10---10-10-5-5/6--8p6h8p6-|
G|--------------------------------|-----------------------------|
D|--------------------------------|-----------------------------|
A|-8----8-------3-3/4---------4/3-|-8----8-------3-3/4----------|
E|--------------------------------|-----------------------------|</t>
  </si>
  <si>
    <t>e|---------------------------------------------------------|
B|---------------------------------------------------------|
G|---9---7------5-----7-------9---7------5-------7---------|
D|-----7----7-----5-----7-------7----7------5--------5-5---|
A|-0----------0-----0-----0-0----------0------0------3-2-0-|
E|---------------------------------------------------------|</t>
  </si>
  <si>
    <t>e|--------------0------------------------0-----------|
B|----------1-------1----------------1-------1-------|
G|--------2-------------0----------0-------------0---|
D|------2------------------------2-------------------|
A|--0------------------------3-----------------------|
E|---------------------------------------------------|
e|----------2---2--------------------1---1-----------|
B|--------3---------3--------------1---------1-------|
G|------2---------------0--------2---------------0---|
D|--0------------------------3-----------------------|
A|---------------------------------------------------|
E|---------------------------------------------------|</t>
  </si>
  <si>
    <t xml:space="preserve">e|---------------------------|--------------------------|
B|---------------------------|--------------------------|
G|--------7b8--7-------------|---------------------5----|
D|--------------------7b8--7-|-(7)-----------5--------7-|
A|-0---0-----------0---------|------0--8--7-----7-------|
E|---------------------------|--------------------------| </t>
  </si>
  <si>
    <t>e|-------------------------|----------------------------|-------------------------|------------------------|
B|-------------------------|----------------------------|----------8b~------------|------------------------|
G|-------------------------|----------------------------|-------7-----------------|------------------------|
D|-------8-----------8-----|---------8------------8-----|---/9--------7~-------(7)|--5---------------------|
A|-------------------------|----------------------------|-------------------------|-----5-----5/7~---------|
E|-6-----------6-----------|--6------------6------------|-------------------------|--------0---------------|
e|-------------------------|---------------------------|-------------------------|-------------------------|
B|--------------8b~--------|---------------------------|-------------------------|-------------------------|
G|----------7--------------|---------------------------|-------------------------|-------------------------|
D|----/9------------7------|-(7)/5---------------------|--------5---7---7b---5~--|-------5-----------------|
A|-------------------------|----------5-------5/7~-----|--5/7--------------------|-----------0-----3~----0-|
E|-------------------------|--------------0------------|-------------------------|--------------0----------|
e|-------------------------|----------------------------|-------------------------|------------------------|
B|-------------------------|----------------------------|-------------------------|------------------------|
G|-------------------------|------------------7---7--9~-|-------0-----------------|------------------------|
D|--------5--7b----5h7-(7)~|-----5-------/9-------------|-------------------------|------------------------|
A|---5/7-------------------|---------5------------------|-------------------------|------------------------|
E|-------------------------|----------------------------|-------------15/---------|------------------------|</t>
  </si>
  <si>
    <t>e|------------------------------------|------------------------------------|
B|------------------------------------|------------------------------------|
G|------------------------------------|------------------------------------|
D|---------------------9-----8-----7--|---------------------9-----8-----7--|
A|---------------------7-----7-----7--|---------------------7-----7-----7--|
E|--0--0---0--0--0--0-----0-----0-----|--0--0---0--0--0--0-----0-----0-----|
e|------------------------------------|------------------------------------|
B|------------------------------------|------------------------------------|
G|------------------------------------|------------------------------------|
D|---------------------9-----8-----7--|---------------------9-----8-----7--|
A|---------------------7-----7-----7--|---------------------7-----7-----7--|
E|--0--0---0--0--0--0-----0-----0-----|--0--0---0--0--0--0-----0-----0-----|</t>
  </si>
  <si>
    <t>e|------------------------------------|
B|------------------------------------|
G|------2-0--------0--------0-------0-|
D|----2----------0--------0-------0---|
A|--0----------2--------3-------2-----|
E|-----------3--------1-------3-------|</t>
  </si>
  <si>
    <t>e|------------------------|------------------------|
B|------------------------|------------------------|
G|-------0----------------|-------0----------------|
D|----4-----4-----4-----4-|----4-----4-----4-----4-|
A|-2-----------2-----5----|-0-----------0-----5----|
E|------------------------|------------------------|
e|------------------------|------------------------|
B|------------------------|------------------------|
G|-------0----------------|-------2----------------|
D|----4-----4-----4-----4-|----2-----2-----2-----2-|
A|-2-----------2-----5----|-4-----------4-----0----|
E|------------------------|------------------------|</t>
  </si>
  <si>
    <t>e|------------------|------------------|-------------------------------|
B|------------------|------------------|-------------------------------|
G|------------------|------------------|-------------------------------|
D|--------3-2--2----|-3-2--2-----------|-3-2--2------------------------|
A|--------3-2--2----|-3-2--2-----------|-3-2--2------------------------|
e|-1-3-1--1-0--0----|-1-0--0-----1-3-1-|-1-0--0------------------------|</t>
  </si>
  <si>
    <t>e|-----------------------|-----------------------------|
B|-----------------------|--------2h3p2----5-----5--2--|
G|-----------------------|-----2--------2--4-----4--2--|
D|-----------------------|-----------------------------|
A|-----------------------|--0--------------------------|
E|-------------------0h2-|-----------------4--4-----2--|
e|-------------------------|-------------------------|
B|-------2-----2-----2-----|--3-----3-----3-----3--2-|
G|-------2-----2-----2-----|--2-----2-----2-----1--2-|
D|-------------------------|-------------------------|
A|-------------------------|-----------------------0-|
E|----2-----2--0--0-----0--|--2--2-----2--0--0--0----|</t>
  </si>
  <si>
    <t>e|-9-7-9----10-9-10-9-7--10-9-10---------------------------|
B|-------7-----------------------7--12-10-12-10-9-12-10----|
G|---------------------------------------------------------|(x4)
D|---------------------------------------------------------|
A|---------------------------------------------------------|
E|---------------------------------------------------------|
e|----------------9-------------10-9--9-10--9-7-9----|
B|-9-10-12--10-12---12-10-9--------------------------|
G|--------------------------11-----------------------|
D|---------------------------------------------------|
A|---------------------------------------------------|
E|---------------------------------------------------|</t>
  </si>
  <si>
    <t>e|-----------------------|----------------------|
B|-----------------------|----------------------|
G|-----------------------|------------9----7----|
D|---9------9--4----7----|--9------9--9----7----| (x3)
A|---9------9--4----7----|--9------9--7----5----|
E|---7------7--2----5----|--7------7------------|
e|----------------------|-------------------|------7------7------|
B|----------------------|-------------------|------7------7------|
G|----------------------|-------------------|--------------------|
D|--9------9--4----7----|--9----------------|--------------------|
A|--9------9--4----7----|--9----------------|--------------------|
E|--7------7--2----5----|--7----------------|--------------------|</t>
  </si>
  <si>
    <t>e|----------------2--0-0-0-0-0-0-----------------2-0-0-0-0-0-0-----------|
B|--------------3----1-1-1-1-1-1---------------3---1-1-1-1-1-1-----------|
G|--------0---2------0-0-0-0-0-0---------0---2-----2-2-2-2-2-2-----------|
D|------0---0--------2-2-2-2-2-2-------0---0-------2-2-2-2-2-2-----------|
A|----2--------------3-3-3-3-3-3-----2-------------0-0-0-0-0-0-----------|
E|--3------------------------------3-------------------------------------|</t>
  </si>
  <si>
    <t>e|-------------------------------------------3----|
B|-------------------------------------------3----|
G|-2-b4-b2-p0-------------2-b4-b2-p0--------------|
D|------------2---0-2----------------2---0-2------|
A|------------------------------------------------|
E|--------------0-------0--------------0----------|</t>
  </si>
  <si>
    <t>e|-----------------------|
B|-----------------------|
G|-----------------------|
D|-----------0-----------| 2x
A|---------2-------------|
E|-0--0--4---------------|
e|-------------------------|
B|-------------------------|
G|-------------------------|
D|-------------0--4--2--0--| 4x
A|----------2--------------|
E|-0--0--4-----------------|</t>
  </si>
  <si>
    <t>e|---------------------|-------------------|
B|---------5-----------|-------------------|
G|-1--2/4-----6----4---|-4----4------------|
D|-2--4/6-----7----7---|-4----4h6p4h6------|
A|---------------------|-------------------|
E|---------------------|-------------------|
e|----------------4----|-2h4p2p0----0--0---|
B|---------5------5----|---------0--0--0---|
G|-1--2/4-----6--------|-------------------|
D|-2--4/6-----7--------|-------------------|
A|---------------------|-------------------|
E|---------------------|-----------------0-|</t>
  </si>
  <si>
    <t>e|-----------------|-----------------|-----------------|-----------------|
B|-1---------1-----|-0---------0-----|-3---------0-----|-1---------1-----|
G|-------0-------0-|-------0-------0-|-------0-------0-|-------0-------0-|
D|-----2-------2---|-----2-------2---|-----2-------2---|-----2-------2---|
A|-3-------3-------|-3-------3-------|-3-------3-------|-3-------3-------|
E|-----------------|-----------------|-----------------|-----------------|
e|-----------------|-----------------|-----------------|-----------------|
B|-0---------0-----|-3---------3-----|-1---------1-----|-0---------0-----|
G|-------2-------2-|-------2-------2-|-------2-------2-|-------2-------2-|
D|-----2-------2---|-----2-------2---|-----2-------2---|-----2-------2---|
A|-0-------0-------|-0-------0-------|-0-------0-------|-0-------0-------|
E|-----------------|-----------------|-----------------|-----------------|
e|-----------------|-----------------|-----------------|-----------------|
B|-3---------3-----|-1---------1-----|-0---------0-----|-3---------3-----|
G|-------0-------0-|-------0-------0-|-------0-------0-|-------0-------0-|
D|-----2-------2---|-----2-------2---|-----2-------2---|-----2-------2---|
A|-3-------3-------|-3-------3-------|-3-------3-------|-3-------3-------|
E|-----------------|-----------------|-----------------|-----------------|
e|-----------------|-----------------|-----------------|-----------------|
B|-1---------1-----|-0---------0-----|-3---------3-----|-1---------------|
G|-------2-------2-|-------2-------2-|-------2-------2-|-------2---------|
D|-----2-------2---|-----2-------2---|-----2-------2---|-----2-----------|
A|-0-------0-------|-0-------0-------|-0-------0-------|-0-------0---2---|
E|-----------------|-----------------|-----------------|-----------------|</t>
  </si>
  <si>
    <t>eb|-------0-0-0-0-0-|---7-7-7-7-7-7-7--|------0-0-0-0-0-0-0-0-|--------------|
Bb|--3su5-5-5-5-5-5-|---8-8-8-8-8-8-8--|-3su5-5-5-5-5-5-5-5-5-|--------------|
Gb|-----------------|------------------|----------------------|--0-b2--0-----|
Db|-----------------|------------------|----------------------|----------2---|
Ab|-----------------|------------------|----------------------|--------------|
Eb|-----------------|------------------|----------------------|--------------|
eb|----0----0-----0-----0-|-----0-----0-----0-2-0-|-0-0----0----0-----0------|
Bb|----0----0-----0-----0-|-----0-----0-----0-2-0-|-0-0----0----0-----0------|
Gb|----1----1-------------|-----------------1-2-1-|-1-1----------------------|
Db|-----------------------|--2--------------------|--------------------------|
Ab|------------2-----4----|--------------2--------|----------2-----4---------|
Eb|-0-----3---------------|--------3--------------|------3-------------------|
eb|-----0-----0---0-2-0--|-----0-----0-----0-----0-|---0----0------0--2--0---|
Bb|-----0-----0---0-2-0--|-----2-----2-----2-----2-|---2----2------0--2--0---|
Gb|---------------1-2-1--|-----2-----2-----2-----2-|-2-2----2---------2------|
Db|--2-------------------|--------------2-----4----|-------------2-----------|
Ab|-------------2--------|--0-----4----------------|------4------------------|
Eb|--------3-------------|-------------------------|-------------------------|
eb|----0------0-------0-----0-|---0-----0-----0---------|-----------------------|
Bb|----0------0-------0-----0-|---0-----0-----0-------3-|------3-----3----------|
Gb|---------------------------|------------------2su4---|-2su4---2su4--2p0------|
Db|---------------------------|-2-----------------------|------------------2----|
Ab|---------------2------4----|------------2------------|-------------------0h2-|
Eb|-0-----3-------------------|------3------------------|-----------------------|
eb|---|------------------------------|----0----------------------------------|
Bb|---|------------------------------|----0--2su3-3-3-3-3-3------------------|
Gb|---|------------------------------|----1--3su4-4-4-4-4-4-2p0--------------|
Db|---|-0-1-2----------------------2-|--------------------------2------------|
Ab|-2-|--------0-2-1--0h1p0---0------|---------------------------------------|
Eb|---|---------------------3----3---|-0-------------------------------------|</t>
  </si>
  <si>
    <t>e|-----------------|-----------------|-----------------|-----------------|
B|-----------------|-----------------|-----------------|-----------------|
G|-9-----2-2-----6-|-6---4-4---------|-9-----2-2-----6-|-6-4-4-2-2-4-4---|
D|-9-----2-2-----6-|-6---4-4---------|-9-----2-2-----6-|-6-4-4-2-2-4-4---|
A|-7-----0-0-----4-|-4---2-2---------|-7-----0-0-----4-|-4-2-2-0-0-2-2---|
E|-----------------|-----------------|-----------------|-----------------|</t>
  </si>
  <si>
    <t>e|-4-----4---|-3-----3---|-4-----4---|-3-----3---|
B|-6-----6---|-4-----4---|-3-----3---|-2--1--2--1|
G|----5-----5|----5-----5|----5-----5|-----------|
D|-----------|-----------|-----------|-----------|
A|-----------|-----------|-----------|-----------|
E|-----------|-----------|-----------|-----------|
e|-4-----4---|-6-----6---|--8-----8---|--8--------|
B|-6-----6---|-8-----8---|--9-----9---|--9--------|
G|----5-----5|----5-----5|------------|--10-------|
D|-----------|-----------|----10----10|--10-------|
A|-----------|-----------|------------|-----------|
E|-----------|-----------|------------|-----------|</t>
  </si>
  <si>
    <t>e|---------------------------|--------------------------|
B|---------------------------|--------------------------|
G|---------------------------|--------------------------|
D|-----7---5-----------------|-----7---5----------------|
A|-5h7---7-----7p5-----------|-5h7---7----7p5-----------|
E|-----------------7-5/3---0-|----------------7-5/3b----|
e|-----------------------------------------------------|
B|-----------------------------------------------------|
G|-----------------------------------------------------|
D|-----7---5--------------------7---5------------------|
A|-5h7---7---7p5------------5h7---7---7p5--------------|
E|----------------7-5/3-0------------------7-5/3-5-6-7-|
e|----------------|---------------------|
B|----------------|---------------------|
G|----------------|---------------------|
D|---5p2-0h2-2~~~-|---5p2-0h2-2p0-------|
A|----------------|--------------2------|
E|----------------|-----------------3p0-|</t>
  </si>
  <si>
    <t>e|-----------------------------------------------------|
B|-----------------------------------------------------|
G|-----------------------------------------------------|
D|----------9-10-9----9---------9-10-9---------6-------|
A|-----------------12---12--11---------8-7-8-----------|
E|-12/--0----------------------------------------------|
e|-----------------------------------------------------|
B|-----------------------------------------------------|
G|-----------------------------------------------------|
D|-------9-10-9----9---------9-10-9---------6--7-------|
A|--------------12---12--11---------8-7-8--------------|
E|---0-------------------------------------------------|
e|-----------------------------------------------------|
B|-----------------------------------------------------|
G|-----------------------------------------------------|
D|-------9-10-9----9---------9-10-9---------6----------|
A|--------------12---12--11---------8-7-8--------------|
E|---0-------------------------------------------------|
e|-----------------------------------------------------|
B|-----------------------------------------------------|
G|-----------------------------------------------------|
D|-------9-10-9----9---------9-10-9---------6----------|
A|--------------12---12--11---------8-7-8--------------|
E|---0-----------------------------------------7-------|</t>
  </si>
  <si>
    <t>e|----5------5------5-5------------|
B|----5------5------5-5------------|
G|---------------------------------|
D|-------4-4-----------------------|
A|--------------------------2-3-4--|
E|2-2-----------2-2-----5----------|</t>
  </si>
  <si>
    <t>e|----------------------|--------------------------|---------------------------|
B|----------------------|--------------------------|-----------7h8p7-----------|
G|--w/ad lib. feedback--|--------6--------6--7-----|--6--7--9---------9--7--6--|
D|----------------------|--8--9-----8--9--------9--|---------------------------|
A|----------------------|--------------------------|---------------------------|
E|----------------------|--------------------------|---------------------------|
e|--------------------------|-----------------------------|--------------------------|
B|--------------------------|--------7--7h8p7------7------|--7-----------------7--9--|
G|-----6--7-----6--7--9--6--|--7--9------------10-----10--|-----7-----------7--------|
D|--9--------9--------------|-----------------------------|--------7-----7-----------|
A|--------------------------|-----------------------------|-----------9--------------|
E|--------------------------|-----------------------------|--------------------------|
e|---------------------------|--------------------------|---------------------------|
B|--9br--7------7------------|--------------------------|-----------7h8p7-----------|
G|----------10-----7--6--7---|--------6--------6--7-----|--6--7--9---------9--7--6--|
D|---------------------------|--8--9-----8--9--------9--|---------------------------|
A|---------------------------|--------------------------|---------------------------|
E|---------------------------|--------------------------|---------------------------|</t>
  </si>
  <si>
    <t>e|----------------------------|
B|----------------------------|
G|----------------------------|
D|----------------------------| x3
A|----10b----------10b--------|
E|-0------0--0-0-0-----0--0-0-|
e|--------------------------------------|
B|--------------------------------------|
G|------------------------2(3)2-0h2p0---|
D|------------------------------------2-|
A|----10b----------10b------------------|
E|-0------0--0-0-0-----0----------------|</t>
  </si>
  <si>
    <t>e|------|---------------------------------------------|-------|
B|--2---|---------------------------------------------|-------|
G|--4br-|-2---4---5-5---2-4-5---2---4---5-5---5-4---2-|-------|
D|------|-2---4---5-5---2-4-5---2---4---5-5---5-4---2-|-------|
A|------|---0---0-----------------0---0-----------0---|-------|
E|------|---------------------------------------------|-0-3-4-|</t>
  </si>
  <si>
    <t>e|--3-----2--3--2--3--2--------------------------------------------------|
B|--3-----3--3--3--3--3--3--------3-----3--------3-----3--------3-----3--|
G|--0-----2-----------2--2--------0--0--0--------0--0--0--------0-----0--|
D|--0-----0-----------0--0-----2-----2--2-----0-----2--2-----0-----0-----|
A|--x--------------------------3--------------2--------------0-----0-----|
E|--3--------------------------------------------------------------------|</t>
  </si>
  <si>
    <t>e|----------|--------------|-----------|---1---------|----------|--------------|
B|----1---3-|--------------|-----1---3-|-3-1-3---1-3-|----1---3-|--------------|
G|------2---|-1-0----------|-------2---|-2---2-2-----|------2---|-1-0----------|
D|----------|-----3-0----0-|-----------|-------------|----------|-----3-0------|
A|----------|--------0-3---|-----------|-------------|----------|---------0-3--|
D|-0--------|--------------|-0---------|-------------|-0--------|--------------|
e|---|----------|-1----------------|----------|---------------|---------------|
B|---|----1-3-3-|-1--3--3-----1--3-|----1---3-|---------------|---1---3-------|
G|---|----2-2-2-|-2--2--2--2-------|------2---|-1-0-----------|-----2---------|
D|-0-|-0--------|------------------|----------|-----3-0-----0-|---------------|
A|---|----------|------------------|----------|---------0-3---|---------------|
D|---|----------|------------------|-0--------|---------------|-0-------------|</t>
  </si>
  <si>
    <t>e|----------|----------------------------|--------------------|
B|----------|----------------------------|--------------------|
G|----------|---14---12---11---7---5h7-5h|-7-5---7---2----(2)-|
D|----------|-0----0----0----0---0-------|-----0---0----------|
A|----------|----------------------------|--------------------|
E|----------|----------------------------|--------------------|
e|--------------------------------|-------------------------|
B|--------------------------------|--------------15----(15)-|
G|---14---12---16---14---12h14-12h|-14-12---14--------------|
D|-0----0----0----0----0----------|-------0----0------------|
A|--------------------------------|-------------------------|
E|--------------------------------|-------------------------|</t>
  </si>
  <si>
    <t>e|-----------------------------------------------------------------------|
B|----------3---------------3----------------3----------------3----------|
G|------2-------2-------3-------3--------0-------0--------2-------2------|
D|--0-------------------------------------------------0------------------| (4x)
A|-------------------1---------------3-----------------------------------|
E|-----------------------------------------------------------------------|
e|------------10--10-----------------------10--10-------------------------|
B|---------10--------10-----------------10--------10----------------10----|
G|------10--------------10-----------10--------------10-----9-10-12-------|
D|---12--------------------12-----12---------------------12---------------|
A|------------------------------------------------------------------------|
E|------------------------------------------------------------------------|
e|-----------13--13/12--------------------12--10-------------------------|
B|--------13-----------13--------------13--------10----------------------|
G|-----14-----------------14--------14--------------10-------------------|
D|--15---------------------------14--------------------12----------------|
A|-----------------------------------------------------------------------|
E|-----------------------------------------------------------------------|</t>
  </si>
  <si>
    <t>e|---------------------------|---------------------------|
B|-3----------3--------------|-2-------------------------|
G|-------2-------2-----------|------------3--------------|
D|----4-----4----------------|-------4-------4---4-2-----|
A|-5-----------------4-2-----|----4-----4------------5-2-|
E|-----------------------5-4-|-2-------------------------|
e|-----------------------------|---------------------------|
B|-3-----------3h5p3-----------|---------------------------|
G|---------2---------2---------|------------3--------------|
D|-----4-----4-----------4/6-6-|-------4-------4---4-2-----|
A|-4/5---5---------------5/7-7-|----4-----4------------5-2-|
E|-----------------------------|-2-------------------------|
e|-----------------------------|---------------------------|
B|-3------------3--------------|-2-------------------------|
G|---------2-------2-----------|------------3--------------|
D|-----4------4----------------|-------4-------4---4-2-----|
A|-4/5---5-------------4-2-----|----4-----4------------5-2-|
E|-------------------------5-4-|-2-------------------------|
e|------------------------------|----------------------------|
B|-3------------3h5p3-----------|----------------------------|
G|---------2----------2---------|------------3-------3-------|
D|-----4------4-----------4/6-6-|-------4-------4------4-----|
A|-4/5---5----------------5/7-7-|----4-----4------4------4/7-|
E|------------------------------|-2--------------------------|</t>
  </si>
  <si>
    <t>e|--------------------------------------|
B|--------0--1--------------------------|
G|--------2-------------------0-2-------|
D|-----2------- 2-0-2HP------------3--0-|
A|--0--------------------3---3----------|
E|-------------------------1------------|(x4)</t>
  </si>
  <si>
    <t>E|-------------------------|
B|-------------------------|
G|-------------------------|
D|-----------3h4-----------|
A|-0-3h5-x-x-----5-0-2h3-2-|
D|-0---------------0-2h3-2-|</t>
  </si>
  <si>
    <t>D|----------------------------------------------------------------------------|
A|----------------------------------------------------------------------------|
G|--2---2---2------2---2---2-------3---3---3------3---3---3-------------------|
D|--0---0---0------0---0---0-------0---0---0------0---0---0-------------------|
A|--5---5---5------5---5---5-------5---5---5------5---5---5-------------------|
D|-----------------------------0------------------------------0---------------|
D|---------------------------------------------------------------------------|
A|---------------------------------------------------------------------------|
G|--4---4---4------4---4---4-------5---5---5------5---5---5------------------|
D|--0---0---0------0---0---0-------0---0---0------0---0---0------------------|
A|--5---5---5------5---5---5-------5---5---5------5---5---5------------------|
D|-----------------------------0------------------------------0--------------|
D|----------------------------------------------------------------------------|
A|----------------------------------------------------------------------------|
G|--7---7---7------2---2---2-------3---3---3------3---3---3-------------------|
D|--0---0---0------0---0---0-------0---0---0------0---0---0-------------------|
A|--5---5---5------5---5---5-------5---5---5------5---5---5-------------------|
D|-----------------------------0------------------------------0---------------|
D|---------------------------------------------------------------------------|
A|---------------------------------------------------------------------------|
G|--4---4---4------4---4---4-------5---5---5------5---5---5------------------|
D|--0---0---0------0---0---0-------0---0---0------0---0---0------------------|
A|--5---5---5------5---5---5-------5---5---5------5---5---5------------------|
D|-----------------------------0------------------------------0--------------|</t>
  </si>
  <si>
    <t>e|---------13-------------------12------------------10-------|
B|-----------------------------------------------------------|
G|----14-------14---------12-------12--------10---------10---|
D|--0-------------------0-----------------0------------------|
A|-----------------------------------------------------------|
E|-----------------------------------------------------------|
e|---------8----------------5-----------------------3------------3/1---|
B|---------------------------------------------------------------------|
G|----9------9--------5--------5------------4----------4---------4/2---|
D|-0-------------0--------------------0--------------------------------|
A|---------------------------------------------------------------------|
E|---------------------------------------------------------------------|</t>
  </si>
  <si>
    <t>e|--------------------7--10--12--|------9----------9----------|
B|--7-----7-----7----------------|--11-----11-------------11--|
G|--7--7-----------7-----7---9---|--11---------11-----11------|
D|--9--------9-------------------|--8-------------------------|
A|--9----------------------------|----------------------------|
E|--7----------------------------|----------------------------|
e|--5-----5---7---5-------5-7-------|------7---7-------7-------|
B|------5---------------5-------5-7-|--7---------7---7---------|
G|----------------------------------|--7-----7-----7-----------|
D|--7---------------7---------------|--------------------------|
A|--------------------------7-------|--------------------------|
e|----------------------------------|--------------------------|
e|-----7-----7--------7-------------10--|
B|--8-----------8--------8--10h12-------|
G|--7-----7--------7--------------------|
D|--9-----------------------------------|
A|--------------------------------------|
E|--------------------------------------|
e|------10----------10----------10----------10------|
B|--10------------------------------10----------11--|
G|----------11--11------11--11----------------------|
D|--------------------------------------12----------|
A|--------------------------------------------------|
E|--------------------------------------------------|
e|-----7-----7--------7--7---------|------9------9----------9--|
B|--------------8--8--------8------|----------------11---------|
G|--9-----9--------------------9---|--11-----11---------11-----|
D|---------------------------------|---------------------------|
A|-----------------------------10--|--9------------------------|
E|---------------------------------|---------------------------|</t>
  </si>
  <si>
    <t>e|-----------------------------------|-----------------------------------|
B|-----------------------x-12b---10~-|-----------------------x-12b---10~-|
G|--14--14-14-14--14-14--x-----------|--13--13-13-13--13-13--x-----------|
D|--x---x--x--x---x--x---x-----------|--x---x--x--x---x--x---x-----------|
A|--12--12-12-12--12-12--------------|--11--11-11-11--11-11--------------|
E|-----------------------------------|-----------------------------------|
e|-----------------------------------|-------------------------------|
B|-----------------------x-12b---10~-|-----------------x-12b-12b-12b-|
G|--10--10-10-10--10-10--x-----------|--9--9-9-9--9-9--x-------------|
D|--x---x--x--x---x--x---x-----------|--x--x-x-x--x-x--x-------------|
A|--8---8--8--8---8--8---------------|--7--7-7-7--7-7----------------|
E|-----------------------------------|-------------------------------|</t>
  </si>
  <si>
    <t>e|----------------------|----------------------|----------------------|----------------------|
B|----------------------|----------------------|----------------------|----------------------|
G|----------------3-3-0-|----------------6-6-6-|----------------3-3-0-|----------------6-6-6-|
D|-3--3-3-x-x-x-x-3-3-0-|-6--6-6-x-x-x-x-6-6-6-|-3--3-3-x-x-x-x-3-3-0-|-6--6-6-x-x-x-x-6-6-6-|
A|-3--3-3-x-x-x-x-1-1-0-|-6--6-6-x-x-x-x-4-4-4-|-3--3-3-x-x-x-x-1-1-0-|-6--6-6-x-x-x-x-4-4-4-|
E|-1--1-1-x-x-x-x-------|-4--4-4-x-x-x-x-------|-1--1-1-x-x-x-x-------|-4--4-4-x-x-x-x-------|</t>
  </si>
  <si>
    <t>eb|-------------------------------|----------------------------------|
Bb|-------------------------------|----------------------------------|
Gb|-------------------------------|----------------------------------|
Db|-------------------------------|----------------------------------|
Ab|-7--7--5----x--7---7--5--4-----|-7--7----5----x--7---7---5--4-----|
Eb|-5--5--3----x--5---5--3--2--0--|-5--5----3----x--5---5---3--2--0--|
eb|----------------------------------|---------------------------------|
Bb|----------------------------------|---------------------------------|
Gb|----------------------------------|--7p5---7p5----------------------|
Db|----------------------------------|------7-----7-5------------------|
Ab|-7--7----5----x--7---7---5--4-----|----------------7-6-5/3-5-3------|
Eb|-5--5----3----x--5---5---3--2--0--|----------------------------5-3--|</t>
  </si>
  <si>
    <t>[Intro]
e|----------8--------|-11------11----11-----11-----11-----11------|
B|---------b7--------|--------------------------------------------|
G|-------------------|---12p11--12p11--12p11--12p11--12p11--12p11-|
D|-7---7-7-----------|--------------------------------------------|
A|-0---0-0-----------|--------------------------------------------|
E|-------------------|--------------------------------------------|
e|----------8--------|-17-17-17-17------17---17---17--17--|
B|---------b7--------|------------------------------------|
G|-------------------|-14-14-14-14------14---14---14--14--|
D|-7---7-7-----------|------------------------------------|
A|-0---0-0-----------|------------------------------------|
E|-------------------|------------------------------------|
[Verse]
e|--------------------|--------------------|--------------------|--------------------|
B|--------------------|--------------------|--------------------|--------------------|
G|----7---6---5-------|--------7---8---9---|----7---6---5-------|-----------8--7-----|
D|-7-------------5--5-|-7------------------|-7-------------5--5-|-7------7--------5--|
A|--------------------|--------------------|--------------------|--------------------|
E|--------------------|--------------------|--------------------|--------------------|</t>
  </si>
  <si>
    <t>D |-----|-------------------------------|------------------------------|-------|
A |-----|-------------------------------|------------------------------|-------|
F#|-----|-------------------------------|------------------------------|-------|
D |-----|-------------------------------|------------------------------|-------|
A |-----|-------3p0-0-5-----------------|-------3--0-5-----------------|-------|
D |-15/-|-/7--7-------0----0-0--6-5-3-0-|-/7--7------0----0-0--6-5-3-0-|-------|
D |-------------------------------|-------------------|------------------------|
A |-------------------------------|-------------------|------------------------|
F#|-------------------------------|-------------------|------------------------|
D |-------------------------------|-------------------|------------------------|
A |-------3p0-0-5-----------------|-5-3---------------|------------------------|
D |-/7--7-------0----0-0--6-5-3-0-|-----6-5-3-0-3-5-0-|------------------------|</t>
  </si>
  <si>
    <t>e|---------|---------------------------|--------------------------|
B|---------|---------------------------|--------------------------|
G|-------0-|-2-------------------2-2-2-|-2----------------------0-|
D|-----0---|-2----0h7h9---7------2-2-2-|-2----0h7h9--7-9b10r9-7-0-|
A|-10/-----|-0-/7----------------0-0-0-|-0-/7---------------------|
E|---------|---------------------------|--------------------------|
e|---------------------------|--------------------------|
B|---------------------------|--------------------------|
G|-2-------------------0-0-0-|-2----------------------0-|
D|-2----0h7h9---7------0-0-0-|-2----0h7h9--7-9b10r9-7-0-|
A|-0-/7----------------0-0-0-|-0-/7---------------------|
E|---------------------------|--------------------------|</t>
  </si>
  <si>
    <t>e|-----------------|-----------------|---------0-------|-----------------|
B|---------9-------|-----------------|---------5-------|-----------------|
G|o--------9-------|-----------------|---------7-------|-----------------|
D|o--------9-------|-----------------|---------7-------|-----------------|
A|---------7-------|-----------------|-----------------|-----------------|
E|-0-0---0---------|-----------------|-0-0---0---------|-----------------|
e|---------3-------|-----------------|---------0-------|-----------------|
B|---------3-------|-----------------|---------3-------|-----------------|
D|---------2-------|-----------------|---------5-------|----------------o|
G|---------2-------|-----------------|---------5-------|----------------o|
A|---------0-------|-----------------|-----------------|-----------------|
E|-0-0---0---------|-----------------|-0-0---0---------|-----------------|
e|-----------------|-----------------|
B|-3-----3-----3---|---3-----3---3---|
G|-0-----0-----2---|---0-----0---2---|
D|-x-----x-----x---|---x-----x---2---|
A|-3-----2-----0---|---3-----2---0---|
E|-----------------|-----------------|</t>
  </si>
  <si>
    <t>e|------------------------------------------------------------------|
B|------------------------------------------------------------------|
G|------------------------------------------------------------------| (x3)
D|------------------------------------------------------------------|
A|-----------4-------5-------4-------2--------------2---------------|
E|-----2-2-------2-------2-------2-------5---4---5-----5---4---0----| 
e|------------------------------------------------------------|
B|------------------------------------------------------------|
G|------------------------------------------------------------|
D|-----------------------------------7-------9----------------|
A|-----------4-------5-------4-------5-------7------(12/)-----|
E|-----2-2-------2-------2-------2------------------(12/)-----|</t>
  </si>
  <si>
    <t>e|---------------------------------|--------------------------------------|
B|---------------------------------|--------------------------------------|
G|---------------------------------|--------------------------------------|
D|---------7-------7--/9---9-------|-12/11-12/11-12-/-7---7--/9---9-------|
A|-9-------5-------5--/7---7-------|-10/9--10/9--10-/-5---5--/7---7-------|
E|-7-------------------------------|--------------------------------------|</t>
  </si>
  <si>
    <t>e|------------------------------------|--------------------------------|
B|--0h4p0h7p0h4p0h7p0h4p0h7p0h4p0h7p0h|4p0h7p0h4p0h7p0h4p0h7p0h4p0h7p0h|
G|------------------------------------|--------------------------------|
D|------------------------------------|--------------------------------|
A|------------------------------------|--------------------------------|
E|------------------------------------|--------------------------------|
e|----------------------------------|--------------------------------|
B|--5p0h8p0h5p0h8p0h5p0h8p0h5p0h8p0h|5p0h8p0h5p0h8p0h5p0h8p0h5p0h8p0h|
G|----------------------------------|--------------------------------|
D|----------------------------------|--------------------------------|
A|----------------------------------|--------------------------------|
E|----------------------------------|--------------------------------|
e|-------------------------------------|--------------------------------|
B|--12p0h10p0h9p0h10p0h9p0h7p0h9p0h5p0h|7p0h4p0h5p0h4p0h5p0h4p0h5p0h4p0h|
G|-------------------------------------|--------------------------------|
D|-------------------------------------|--------------------------------|
A|-------------------------------------|--------------------------------|
E|-------------------------------------|--------------------------------|
e|-------------------------------------|--------------------------------|
B|--12p0h10p0h9p0h10p0h9p0h7p0h9p0h5p0h|7p0h4p0h5p0h4p0h5p0h4p0h5p0h4p0h|
G|-------------------------------------|--------------------------------|
D|-------------------------------------|--------------------------------|
A|-------------------------------------|--------------------------------|
E|-------------------------------------|--------------------------------|</t>
  </si>
  <si>
    <t>e|------------------------------------|
B|------------------------------------|
G|-------8-------4-------6------------|
D|----6-------2-------4----------6-7--|
A|-4-------0-------2----------4-------|
E|-------------------------2----------|</t>
  </si>
  <si>
    <t>e|-------5-7-----7-|-8-----8-2-----2-|-0---------0-----|-----------------|
B|-----5-----5-----|---5-------3-----|---1---1-----1---|-0-1-1-----------|
G|---5---------5---|-----5-------2---|-----2---------2-|-0-2-2-----------|
D|-7-------6-------|-5-------4-------|-3---------------|-----------------|
A|-----------------|-----------------|-----------------|-2-0-0---0--/8-7-|
E|-----------------|-----------------|-----------------|-----------------|
e|---------7-----7-|-8-----8-2-----2-|-0---------0-----|-----------------|
B|-------5---5-----|---5-------3-----|---1---1-----1---|-0-1-1-----------|
G|-----5-------5---|-----5-------2---|-----2---------2-|-0-2-2-----------|
D|---7-----6-------|-5-------4-------|-3---------------|-----------------|
A|-0---------------|-----------------|-----------------|-2-0-0-------0-2-|
E|-----------------|-----------------|-----------------|-----------------|
e|-------0-2-----2-|-0-----0----------|---------3-----3-|-3^2-2-2---------|
B|-----------3-----|---1-----0h1------|-1-----1---0-----|-----3-3---------|
G|-----0-------2---|-----2-------2----|---0---------0---|-----------------|
D|---2-----0-------|-3----------------|-----2-----------|-0---0-0---------|
A|-3---------------|---------0----0-2-|-3---------------|-------------0-2-|
E|-----------------|------------------|---------3-------|-----------------|
e|---------2-----2-|-0-----0----------|---------------2-|-0-0-0-----------|
B|-------1---3-----|---1-----0-1------|-------1-----3---|-1-1-1-----------|
G|-----0-------2---|-----2-------2----|-----0-----2-----|-2-2-2-----------|
D|---2-----0-------|-3----------------|---2-----0-------|-3-3-3-----------|
A|-3---------------|---------0----0-2-|-3---------------|-----------------|
E|-----------------|------------------|-----------------|-----------------|</t>
  </si>
  <si>
    <t>e|-------|-------------|-------------------|
B|-------|-------------|-------------------|
G|-------|-------0---2-|-0-------3-3-2-0---|
D|-------|-----2---3---|-------0-----------|
A|---0-2-|---3---------|-----2-------------|
E|-3-----|-------------|---3---------------|</t>
  </si>
  <si>
    <t>e|-----------------------------------------|
B|-----------------------------------------|
G|-----------------------------------------|
D|-----------------------5-----------------|x2
A|---------3-------5-5-/7---7p5-3--5---5---|
E|---5-3-5----5-3-5-----------------3---2--|
e|-----------------------------------------------------|
B|--------12-12--------------------14-12---------------|
G|--------12-12--------------------14-12---------------|
D|--------12-12--------5-----------14-12--------5------|x2
A|---2-2-------------5---5h7--2-2-------------5---5h7--|
E|---0-0---------5h7----------0-0---------5h7----------|
[Solo]
e|--------------------------------------------------------------------|
B|--------------------------------------------------------------------|
G|-5~-7b(half)--5--------------2-5p2p0-5p2p0-5p2p0-5p2p0--------------|
D|-5~------------7p5--------------------------------------------------|
A|-------------------7p6p5/3-5v---------------------------------------|
E|--------------------------------------------------------------------|
e|--------------------------17------17------20p17---17----------------|
B|-----------------------17---20p17---20p17------20---20p17-----------|
G|-5p2p0-5p2p0-5-/17v-19b-----------------------------------19-17-17--|
D|--------------------------------------------------------------------|
A|--------------------------------------------------------------------|
E|--------------------------------------------------------------------|
e|-------------------------------|--22b-22b-|-22b-22b--|5---5-7-5-7-8--|
B|-----10p8--10p8--8-------------|----------|----------|5-5-5-8-5-8-10-|
G|--/9-----9-----9---9-7-5h7-5v--|----------|----------|--5------------|
D|-------------------------------|----------|----------|---------------|
A|-------------------------------|----------|----------|---------------|
E|-------------------------------|----------|----------|---------------|</t>
  </si>
  <si>
    <t>e|--------------------------------|
B|--------------------------------|
G|--------------------------------|
D|-2-------12--11--10-------------|
A|-2-------12--11--10-------------|
E|-0-------10---9---8-------------|
e|--------------------------------------------------------------------|
B|--------------------------------------------------------------------|
G|--------------------------------------------------------------------|
D|-------------------12--11--10---------------------------------------|
A|-------------------12--11--10---------------------------------------|
E|-0-0-12-0-0-11-0-0-10---9---8-------0-0-7-0-0-6-0-0-5-0-4-0-3-0-2-1-|(x4)
e|-----------------------------------------------------------------|
B|-----------------------------------------------------------------|
G|-----------------------------------------------------------------|
D|-----------------------------------------------------------------|
A|-----2-----3-----4-----3-----2-2-----2-----3-----5/4---5/4---5/4-|
E|-0-1---0-1---0-1---0-1---0-1-----0-1---0-1---1-0-3/2-0-3/2-0-3/2-|(x2)
e|-----------------------------------------------------------------|
B|-----------------------------------------------------------------|
G|-------------------------------------------------------------4---|
D|-------------------------------------------------------------4---|
A|-----2-----3-----4-----3-----2-2-----2-----3-----4-----3-----2---|
E|-0-1---0-1---0-1---0-1---0-1-----0-1---0-1---0-1---0-1---0-1-----|
e|-----------------------------------------------------------------|
B|-----------------------------------------------------------------|
G|-----------------------------------------------------------------|
D|-----------------------------------------------------------------|
A|-----2-----3-----4-----3-----2-2-----2-----3-----5/4---5/4---5/4-|
E|-0-1---0-1---0-1---0-1---0-1-----0-1---0-1---1-0-3/2-0-3/2-0-3/2-|</t>
  </si>
  <si>
    <t>e|----------------------------------|-------------------------------------------|
B|----------------------------------|-------------------------------------------|
G|----------------------------------|-------------------------------------------|
D|--2--2-2-2-2---------------9------|--2--2-2-2-2-------------------------------|(x3)
A|--0--0-0-0-0--7-6-7--8-7-8---7-8--|--0--0-0-0-0--7-6-7--8-6-7---6-------------|
E|----------------------------------|---------------------------8---7~~---------|
e|----------------------------------|-------------------------------------------|
B|----------------------------------|-------------------------------------------|
G|----------------------------------|-------------------------------------------|
D|--2--2-2-2-2---------------9------|--2--2-2-2-2-----------------2--3----------|
A|--0--0-0-0-0--7-6-7--8-7-8---7-8--|--0--0-0-0-0--7-6-7--8-6-7---0--1----------|
E|----------------------------------|-------------------------------------------|
e|-------------------------------------------|
B|-------------------------------------------|
G|-------------------------------------------|
D|---------2-2-2--4-4-4--5-------------------|
A|--4-4-4--0-0-0--2-2-2--3--2--3-------------|
E|--2-2-2-------------------0--1-------------|</t>
  </si>
  <si>
    <t>e|-------0-----|-------0-----|-------0-----|-------0---7-|
B|-----0---0---|-----0---0---|-----0---0---|-----0---0---|
G|---0-------0-|---0-------0-|---0-------0-|---0---------|
D|-------------|-------------|-------------|-------------|
A|-------------|-------------|-------------|-------------|
E|-0-----------|-0-----------|-0-----------|-0-----------|
e|-7-----------7p0---------|---------7---8---7h8/5---7-5-/0------|
B|-----0-----------0-------|---------0---0-----------0-------5---|
G|---------0-----------0---|-----0-------------------------------|
D|-------------------------|-------------------------------------|
A|-------------------------|-------------------------------------|
E|-0-----------------------|-0-----------------------------------|
e|-------------2p0---------|-------------0---0---0---|
B|-5-------5-------5-------|---------5-------5---5---|
G|-----5---------------5---|-----5-----------5---5---|
D|-------------------------|-------------------------|
A|-0-----------------------|-0---------------0---2---|
E|-------------------------|-------------------------|
e|-0-----------3p0-----0---|-0----------0h5p0---------|
B|-5-------5-------5---5---|-7---7-5-7--------7p0-0h5-|
G|-5-----5---5-------5-5---|-7------------------------|
D|-------------------------|--------------------------|
A|-3---3---------------3---|-5------------------------|
E|-------------------------|--------------------------|
e|-------12----|-------0-----|-------0-----|-------0-----|
B|-----12--0---|-----0---0---|-----0---0---|-----0---0---|
G|---12------0-|---0-------0-|---0-------0-|---0-------0-|
D|-------------|-------------|-------------|-------------|
A|-------------|-------------|-------------|-------------|
E|-0-----------|-0-----------|-0-----------|-0-----------|</t>
  </si>
  <si>
    <t>e|------------------------|
B|------------------------|
G|------------------------|
D|------------------------|
A|--5--------3--4~----3---|
E|-----3--6---------------|
e|----------------------------------------------------------------------------------------------------|
B|----------------------------------------------------------------------------------------------------|
G|----------------------------------------------------------------------------------------------------|
D|--------------------------6-----6--6/-----------8--8----8-------10----10-10-------------------------|
A|--5--------3--4~----3-----4-----4--4/-----------6--6----6-------8-----8--8-----6--8--6--8--9--------|
E|-----3--6--------------------------------------------------------------------------------------9~---|
e|----------------------------------------|
B|----------------------------------------|
G|----------------------------------------|
D|----------------------------------------|
A|--6--6--6--6-----9-----9--7-(7)----5~---|
E|--------------9-(9)----------7----------|</t>
  </si>
  <si>
    <t>e|-----------------------------------|---------------------------------------|
B|-----------------------------------|-----------------5-5---------5---------|
G|-7-------7-7-9-9-10-10-9-9-7-7-9-9-|-5-------5-5-7-7-----7-7-5-5---5-------| x2
D|-----7-7---------------------------|-----5-5-------------------------------|
A|-----------------------------------|---------------------------------------|
E|-----------------------------------|---------------------------------------|
e|-----------------------------------|---------------------------------------|
B|-----------------------------------|---------------------------------------|
G|-----------------------------------|-----------------4-4---------4---------|
D|-7-7-----7-7-9-9-10-10-9-9-7-7-9-9-|-5-5-----5-5-7-7-----7-7-5-5---5-------|
A|-----7-7---------------------------|-----5-5-------------------------------|
E|-----------------------------------|---------------------------------------|
e|-----------------------------------|---------------------------------------|
B|-----------------------------------|---------------------------------------|
G|-----------------------------------|-----------------2-2---------2---------|
D|-7-7-----7-7-9-9-10-10-9-9-7-7-9-9-|-3-3-----3-3-5-5-----5-5-3-3---3-------|
A|-----7-7---------------------------|-----3-3-------------------------------|
E|-----------------------------------|---------------------------------------|</t>
  </si>
  <si>
    <t>e|---------------------------------|---------------------------------|
B|---------------------------------|---------------------------------|
G|o2-2---2-------------------------|-2-2---2-------------------------|
D|o----4---4-3-2-------------------|-----4---4-2---------------------|
A|-----------------4---------------|-------------4---2-----4---------|
E|---------------------------------|-----------------------------2---|
e|---------------------------------|---------------------------------|
B|---------------------------------|---------------------------------|
G|-2-2---2-------------------------|-2-2---2-------------------------|
D|-----4---4-3-2-------------------|-----4---4-2---------------------|
A|-----------------4---------------|-------------4-3-2-----4---------|
E|---------------------------------|-----------------------------2---|
e|---------------------------------|---------------------------------|
B|---------------------------------|---------------------------------|
G|-5-5---5-------------------------|-5-5---5-------------------------|
D|-----7---7-6-5-------------------|-----7---7-5---------------------|
A|-----------------7---------------|-------------7-6-5-----7---------|
E|---------------------------------|-----------------------------5---|
e|---------------------------------|---------------------------------|
B|---------------------------------|---------------------------------|
G|-5-5---5-------------------------|-5-5---5------------------------o|
D|-----7---7-6-5-------------------|-----7---7-5-----5-5---5---5----o|
A|-----------------7---------------|-------------7-------7-------7\--|
E|---------------------------------|---------------------------------|</t>
  </si>
  <si>
    <t>e|-----------------||-------------|---------------|----------------|
B|---------------8-||-------------|-6/7---7h8p7---|----------------|
G|---------7-8h9---||-5h7-----4h7-|---------------|----------------|
D|--7-9-10---------||--------5----|-------------9-|----------------|
A|-----------------||-------------|---------------|----------------|
E|-----------------||-------------|---------------|----------------|
e|------------------|-------------|---------------|----------------|
B|----------------8-|-------------|-6/7-7--7h8p7--|----------------|
G|----------7-8h9---|-5h7-----4h7-|---------------|----------------|
D|---7-9-10---------|--------5----|-------------9-|----------------|
A|------------------|-------------|---------------|----------------|
E|------------------|-------------|---------------|----------------|
e|--5h7-5h7p5---------5----|-----7------|--5h7p5h7p5---------------|
B|------------8-(8)p5-8b10-|-----10b12--|------------8----(8)p5----|
G|-------------------------|------------|--------------------------|
D|-------------------------|------------|--------------------------|
A|-------------------------|------------|--------------------------|
E|-------------------------|------------|--------------------------|
e|-----------------|----------------------|---------|-----------------|
B|-8b10r8p5-5h7p5--|---------5---------5--|---------|------4/5h7------|
G|---------------7-|-(7)------7-5/4/5h7---|---------|-4--7-------4--7-|
D|-----------------|--------------------7-|-(7)-----|-----------------|
A|-----------------|----------------------|---------|-----------------|
E|-----------------|----------------------|---------|-----------------|
e|-5h7-5h7p5-5---------5----|-(5)----|-----------------|--------------|
B|-------------8-8p5-8-8b10-|-(8b10)-|---------------8-|--------------|
G|--------------------------|--------|---------7-8h9---|-5h7------4-7-|
D|--------------------------|--------|--7-9-10---------|--------------|
A|--------------------------|--------|-----------------|--------------|
E|--------------------------|--------|-----------------|--------------|</t>
  </si>
  <si>
    <t>e|------------------------------------------------|
B|------------------------------------------------|
G|------------------------------------------------|
D|------------------------------------------------|
A|------------------------------------------------|
E|-12/1-0-0-0-0-0-0-0-0-0-0-0-0-0-0-0-0-0-0-0-0-0-|
e|-----------------------------------------------------|
B|-----------------------------------------------------|
G|-----------------------------------------------------|
D|-----------------------------------------------------|
A|-----------------------------------------------------|
E|-1-1-1-4-4-4-5-5-5-7-7-7-7-7-7/11-8-7-7-7-7-7-7-7/1--|
e|--------------------------------------------------------|
B|--------------------------------------------------------|
G|--------------------------------------------------------|
D|--------------------------------------------------------|
A|--------------------------------------------------------|
E|-0-0-0-0-0-0-0-0-0-0-1-1-1-4-4-4-5-5-5-7-7-7-7-7-7/11-8-|
e|-------------------------------------------------------------------|
B|-------------------------------------------------------------------|
G|-------------------------------------------------------------------|
D|-------------------------------------------------------------------|
A|-------------------------------------------------------------------|
E|-7-7-7-7-7-7-7-7-7-7-7-7-8-7-8-7/5-7-5-7-5-4-1-4-4-4-4-4-4-4-4-4-4-|
e|------------------------------------------------|
B|------------------------------------------------|
G|------------------------------------------------|
D|------------------------------------------------|
A|------------------------------------------------|
E|-7-5-7-5-4-5-4-5-4-1-0-0-0~~~~~~~~~~~~~~~~~~~~~-|</t>
  </si>
  <si>
    <t>e|-------------------|-------------------|----------------------11--12--|
B|-------------------|-------------------|--------9---------12----------|
G|-------------------|-------------------|--------------11--------------|
D|-------------------|-------------------|-----9-----9------------------|
A|-------------------|-------------------|--7---------------------------|
E|-------------------|-------------------|------------------------------|
e|--------------19--17--16h-17p-16---------|----------------------------------|
B|----------17---------------------19--17--|----------12----------14--16--17--|
G|-----------------------------------------|----------------------------------|
D|------18---------------------------------|------14----------14--------------|
A|--16-------------------------------------|--11----------12------------------|
E|-----------------------------------------|----------------------------------|
e|---------------------------------|--------------------------16--17--|
B|----------17--16b----------------|----------21----------19----------|
G|---------------------16----------|----------------------------------|
D|------18-----------------16------|------21----------21--------------|
A|--16-------------------------14--|--19----------18------------------|
E|---------------------------------|----------------------------------|
e|----------------------------------|----------------------------------|
B|----------17--16------------------|----------12----------14--16--17--|
G|------------------16--------------|----------------------------------|
D|------18--------------16--14--13--|------14----------14--------------|
A|--16------------------------------|--11----------12------------------|
E|----------------------------------|----------------------------------|
e|-----------------------------19~----|----------------------11--12--|
B|----------17-------------19---------|--------9---------12----------|
G|------------------------------------|--------------11--------------|
D|------18-------------21-------------|-----9-----9------------------|
A|--16----------16S-18----------------|--7---------------------------|
E|------------------------------------|------------------------------|</t>
  </si>
  <si>
    <t>e|----------5/6-6-6-5/6-6-6-6-6-6------------------------------------|
B|-------6--5/6-6-6-5/6-6-6-6-6-6-9-8-6-6----------------------------|
G|---6h7--------------------------------6h7--------------------------|
D|-8----------------------------------------8-6--8-8-8-8-8-8-8-8-----|
A|-----------------------------------------------8-8-8-8-8-8-8-8-----|
E|-------------------------------------------------------------------|
e|--------------------------------6----------------------------------|
B|-6-----6----------------6-------6-------6-------6-------6----------|
G|-6-7-8-6h7----8b9--8b10---8b10----8b10----8b10-----8b10------------|
D|------------8------------------------------------------------------|
A|-------------------------------------------------------------------|
E|-------------------------------------------------------------------|
e|-------------------------------------------6---9-8-6------------------------|
B|------6-------6------6------6------6---------6-------9-8-6-6---8---6--------|
G|-8b10---8b10----8b10---8b10---8b10---8b10------------------6h7-8---6h7-7----|
D|-----------------------------------------------------------------8-----8----|
A|----------------------------------------------------------------------------|
E|----------------------------------------------------------------------------|
e|------------------------------------|
B|---6---8-6--------------------------|
G|---6h7-8-6h7-7/---------------------|
D|-8-----------8/---10-10-10-10-10----|
A|------------------8--8--8--8--8-----|
E|------------------------------------|</t>
  </si>
  <si>
    <t>e|---------------------------------------------------------------------||
B|---------------------------------------------------------------------||
G|--------------7----------------------------------7-------------------||
D|---------9-10--10-9-7--7-10-9-7-------------9-10---10-9--------------||
A|-------7------------------------10-9------7-------------9--12-10-9---||
E|---0-0--------------------------------0-0---------------10-14-12-10--||
e|-------------------------------------------------------------------||
B|-------------------------------------------------------------------||
G|--------------7----------------------------------7-----------------||
D|---------9-10--10-9-7--7-10-9-7-------------9-10---10-9------------||
A|-------7------------------------10-9------7-------------9--12-10/--||
E|---0-0--------------------------------0-0---------------10-14-12/--||
e|--------------------------------------------------------------||
B|--------------------------------------------------------------||
G|--------7*-------------------------------7*-------------------||
D|---9-10-----10-9-7--7-10-9-7--------9-10----10-9--------------||
A|-----------------------------10-9----------------9--12-10-----||
E|-------------------------------------------------10-14-12-10*-||</t>
  </si>
  <si>
    <t>e|---------------------------------------|
B|-----------7--------10--7--9--7--------|
G|--------9-----9------------------9-----|
D|-----9-----------9------------------9--|
A|--7------------------------------------|
E|---------------------------------------|
e|--------------------------------------|---------------------------------------|
B|-----------7--------------------------|-----------7--------10--7--9--7--------|
G|--------9-----9-----7--6-----------6--|--------9-----9------------------9-----|
D|-----9-----------9--------9--7--9-----|--9--------------9------------------9--|
A|--7-----------------------------------|-----7---------------------------------|
E|--------------------------------------|---------------------------------------|
e|--10--7--9--7-9-7-------------------------|
B|-------------------10--7--10----10----10--|
G|------------------------------9-----7-----|
D|------------------------------------------|
A|------------------------------------------|
E|------------------------------------------|
e|---------------------------------------|--------------------------------------|
B|-----------7--------10--7--9--7--------|-----------7--------------------------|
G|--------9-----9------------------9-----|--------9-----9-----7--6-----------6--|
D|-----9-----------9------------------9--|-----9-----------9--------9--7--9-----|
A|--7------------------------------------|--7-----------------------------------|
E|---------------------------------------|--------------------------------------|
e|---------------------------------------|
B|-----------7--------10--7--9--7--------|
G|--------9-----9------------------9-----|
D|--9--------------9------------------9--|
A|-----7---------------------------------|
E|---------------------------------------|
e|--------------------7--10--7--12--9------|
B|-----------------8-------------------10--|
G|-----------4/-7--------------------------|
D|--------5--------------------------------|
A|-----5-----------------------------------|
E|--3--------------------------------------|</t>
  </si>
  <si>
    <t>e|---------------------------------------------------------|
B|---------------------------------------------------------|
G|---------------------------------------------------------|
D|------------------------------------------------5--------| (x4) 
A|--(7)--7--7-5-----5--5--5-3-----3--3--3-1-----5---5--7---|
E|--------------7-------------5-------------3--------------|
e|------------------7----------------------------------------|
B|--8--7h8p7h8p7h8-----8--7h8p7h8p7h8--8-----------8---------|
G|----------------------------------------9--9~--7---7--9~---|
D|-----------------------------------------------------------|
A|-----------------------------------------------------------|
E|-----------------------------------------------------------|</t>
  </si>
  <si>
    <t>e|---------------------------------------------13--10----------------|
B|-12--------12--15-13-12--------10--------10---------13-11-10-11-10-|
G|-----12h14--------------14-12------10h12---------------------------|
D|-------------------------------------------------------------------|
A|-------------------------------------------------------------------|
E|-------------------------------------------------------------------|
e|----------------------------------------|
B|-10--------10--13-p11p10-------------10-|
G|-----10h12---------------12p10----10----|
D|-------------------------------12-------|
A|----------------------------------------|
E|----------------------------------------|</t>
  </si>
  <si>
    <t>e|----------------------------------|------------------------------------|
B|----------------------------------|------------------------------------|
G|----4---4h6h4---4-----4---4h6h4---|------------------------6---6h8h6---|x4
D|--6---6-------6-----6---6-------6-|----4---4h6h4---4-----8---8-------8-|
A|6-----------------7---------------|--6---6-------6---6/9---------------|
E|----------------------------------|7-----------------------------------|</t>
  </si>
  <si>
    <t>e|--21-17-------17-12----------------------|--17~----14--15--17~----14--15--|
B|--------17----------14-------------------|--------------------------------|
G|-----------18----------14----------------|--------------------------------|
D|--------------------------14-------------|--------------------------------|
A|-----------------------------12~---------|--------------------------------|
E|-----------------------------------------|--------------------------------|
e|--17----------------------14--15--|--14~------------14~------------|
B|--------------14--15--17----------|---------15--17-----------------|
G|------14--16----------------------|--------------------------------|
D|----------------------------------|------------------------16--17--|
A|----------------------------------|--------------------------------|
E|----------------------------------|--------------------------------|
e|----------------------------------|--------------------------------|
B|----------------------15--14--15--|--------------------------------|
G|--14--16--14------14--------------|---------16--14-----------------|
D|--------------17------------------|--17~------------17~----16--14--|
A|----------------------------------|--------------------------------|
E|----------------------------------|--------------------------------|
e|----------------------------------|--------------------------------|
B|----------------------------------|------------------------14--15--|
G|--------------------------14--16--|---------16--14--16~------------|
D|--16--14------14--16--17----------|--17~---------------------------|
A|----------17----------------------|--------------------------------|
E|----------------------------------|--------------------------------|
e|----------------------14--15--17--|--14~------------14~------------|
B|----------14--15--17--------------|---------15--17---------17--15--|
G|--14--16--------------------------|--------------------------------|
D|----------------------------------|--------------------------------|
A|----------------------------------|--------------------------------|
E|----------------------------------|--------------------------------|
e|---------------------------------|--------------------------------|
B|--17--14--15--17--17b----15--14--|--15~--------14--15~------------|
G|---------------------------------|---------16---------------------|
D|---------------------------------|------------------------16--17--|
A|---------------------------------|--------------------------------|
E|---------------------------------|--------------------------------|
e|----------------------------------|--------------------------------|
B|----------------------15--14--15--|---------15--14-----------------|
G|--14--16--14------14--------------|--16~------------16~----14------|
D|--------------17------------------|----------------------------17--|
A|----------------------------------|--------------------------------|
E|----------------------------------|--------------------------------|
e|----------------------------------|--------------------------------|
B|--------------------------14--15--|---------15--14--15~----14------|
G|--14--------------14--16----------|--16~-----------------------16--|
D|------17--16--17------------------|--------------------------------|
A|----------------------------------|--------------------------------|
E|----------------------------------|--------------------------------|
e|----------------------------------|-------------------------|
B|--14--15--17--15--14--15------14--|--15~--------8--7--------|
G|--------------------------16------|-------------------------|
D|----------------------------------|-------------------------|
A|----------------------------------|-------------------5--5--|
E|----------------------------------|-------------------------|
e|-------------------------|-------------------------|-------------------------|
B|-------------5--7--------|-------------2-----3-----|-------------------------|
G|-------------------------|--4----------------------|-------------------------|
D|--7----------------------|--4----------------------|--4----------2-----4-----|
A|--7----------------0--0--|--2----2--2-----2-----2--|--4----------2-----4-----|
E|--5----5--5--------------|-------------------------|--2----2--2--0--0--2--2--|
e|-------------------------|-------------------------|---------------------------|
B|-------------------------|-------------8--7--5-----|---------------------------|
G|----------------4/----6--|--7-------------------7--|-------------4/--6h--7--6--|
D|--5-------------5/----7--|--7----------------------|--5------------------------|
A|--5----------------------|--5----5--5--------------|--5------------------------|
E|--3----3--3--3-----------|-------------------------|--3----3--3----------------|
e|--------------------------------------------------|----------------------|
B|--------------------------------------14--15--17--|--17b~----------------|
G|--------------14--16--18--14--16--18--------------|----------------------|
D|--14--16--17--------------------------------------|----------------------|
A|--------------------------------------------------|----------------------|
E|--------------------------------------------------|----------------------|</t>
  </si>
  <si>
    <t>E|------------------------------------------------------------------------------------------------------|
B|------------------------------------------------------------------------------------------------------|
G|------------------------------------------------------------------------------------------------------|
D|------------------------------------------------------------------------------------------------------|
A|-00-5-0-7-0-8-0-10-0-8-0-7h8p7-----88-10-0-8-0-7~--77-7-0-8-0------00-5-0-7-0-8-0-10-0-8-0-7h8p7------|
D|-00----------------------------10--88--------------77---------10~--00----------------------------10---|
E|-----------------------|
B|-----------------------|
G|-----------------------|
D|-----------------------|
A|-88x--77x--------------|
D|-88x--77x--------------|</t>
  </si>
  <si>
    <t>E|-----------------------------------------------------17b-----17b-18b-----|
B|--8-10//17----10p8h10-8-10//18b----10-8-10//20b---18-----20--------------|
G|-------------------------------------------------------------------------|
D|-------------------------------------------------------------------------|
A|-------------------------------------------------------------------------|
D|-------------------------------------------------------------------------|
E|----15-17-15-13------15-17-15-13------15-17-15-13---|
B|----------------15---------------15-----------------|
G|----------------------------------------------------|
D|----------------------------------------------------|
A|----------------------------------------------------|
D|----------------------------------------------------|
E|----15-17-15-13------15-17-15-13------15-17-15-13---|
B|----------------15---------------15-----------------|
G|----------------------------------------------------|
D|----------------------------------------------------|
A|----------------------------------------------------|
D|----------------------------------------------------|
E|----20-22-20-18------20-22-20-18------20-22-20-18---|
B|----------------20---------------20-----------------|
G|----------------------------------------------------|
D|----------------------------------------------------|
A|----------------------------------------------------|
D|----------------------------------------------------|
E|----20-22-20-18------20-22-20-18------21b22---------|
B|----------------20---------------20-----------------|
G|----------------------------------------------------|
D|----------------------------------------------------|
A|----------------------------------------------------|
D|----------------------------------------------------|</t>
  </si>
  <si>
    <t>E|----------------------|-----------------------|-----------------------|-----------------------|
B|----------------------|-----------------------|-----------------------|-----------------------|
G|----------------------|-----------------------|-----------------------|-----------------------|
D|----------------------|-----------------------|-----------------------|-----------------------|
A|----------------------|-----------------------|-----------------------|-----------------------|
D|12-0-13-0-12-0-10h12--|-0-0-13-0-12-0-10h12---|-0-0-13-0-12-0-10h12---|-0-0-13-0-16h17p16-0---|
E|----------------------|-----------------------|---------------------------|-----------------------|
B|----------------------|-----------------------|---------------------------|-----------------------|
G|----------------------|-----------------------|---------------------------|-----------------------|
D|----------------------|-----------------------|---------------------------|-----------------------|
A|----------------------|-----------------------|---------------------------|-----------------------|
D|12-0-13-0-12-0-10h12--|-0-0-13-0-12-0-10h12---|--0-0-[10-10-10-10-10]--0--|-[10-10-10]0[10-10-10]-| --[allharmonics]
E|----------------------|-----------------------|-----------------------|-----------------------|
B|----------------------|-----------------------|-----------------------|-----------------------|
G|----------------------|-----------------------|-----------------------|-----------------------|
D|----------------------|-----------------------|-----------------------|-----------------------| (x4)
A|----------------------|-----------------------|-----------------------|-----------------------|
D|12-0-13-0-12-0-10h12--|-0-0-13-0-12-0-10h12---|-0-0-13-0-12-0-10h12---|-0-0-13-0-16h17p16-0---|</t>
  </si>
  <si>
    <t>e|-----------------------------------------------------------------|
B|-----------------------------------------------------------------|
G|-----------------------------------------------------------------|
D|----------------------1/3--1---------------0---------------------| 
A|-------1------------1---------3/5-3---1-3----3----1-3-3h5-3h5----|
E|---1-3---3------1-3--------------------------------------------3-|</t>
  </si>
  <si>
    <t>e|--------------------------------------------------|
B|--------------------------------------------------|
G|--------------------------------------------------|
D|-----4-----------4--------------------2-2-2--4-2--| x4
A|-------6-2---------6-2---4-4-4--6-4---------------|
E|-4-4---------4-4----------------------------------|</t>
  </si>
  <si>
    <t>D#|--------------------------------------|
A#|--------------------------------------|
F#|---------------------------------10---|
C#|-12-12-12-10-12-10--------------------|
G#|-------------------12-11-10-(10)------|
D#|--------------------------------------|</t>
  </si>
  <si>
    <t>e|------------------|----------------|
B|------------------|----------------|
G|------------------|----------------|
D|------------------|----------------|
A|-555-55--55-557-7-|55-55--55-558-8-|
E|-333033-033-335-5-|33033-033-336-6-|</t>
  </si>
  <si>
    <t>e|-----------------------------------------|
B|-----------------------------------------|
G|------0-----x-x------0-----x-x-----0-----|
D|------0-----x-x------0-----x-x-----0-----|
A|------1-----x-x------1-----x-x-----1-----|
E|--1-3---1-3-x-x--1-3---1-3-x-x-1-3---1-3-|
e|-----------------------------------------|
B|-----------------------------------------|
G|-------------------------------7/9-9-9-9-|
D|------------3-3-3-3--5/7-7-7-7-----------|
A|----3/5-5-5------------------------------|
E|-----------------------------------------|</t>
  </si>
  <si>
    <t>e|---------5------------3-------------------------5-------|
B|---------5------------3------------6------------5-------|
G|---------5------------4------------7------------5-------|
D|---------7------------5------------7------------7-------|
A|----------------------------5--5---5--------------------|
E|--5--5---------3--3----------------------5--5-----------|</t>
  </si>
  <si>
    <t>e|------------------------------------------|
B|------------------------------------------|
G|------------------------------------------|
D|-----------0---0--------------------------|
A|--0--2--4-----------------0---0--0--0--0--|
E|-------------------3--3-------------------|</t>
  </si>
  <si>
    <t>e|-------------------------------|-------------------------------|
B|-------------------------------|-------------------------------|
G|----------------4---2----------|-------------------------------|
D|0----------4------------4---2--|--------2---0---2---4-------0--|
A|-------------------------------|-------------------------------|
E|-------------------------------|-------------------------------|</t>
  </si>
  <si>
    <t>e|-------------------------------|-------------------------------|
B|-------------------------------|-------------------------------|
G|-------------------------------|-------------------------------|
D|----------------5--------------|-----------------------3-------|
A|-------3---5-------------3-----|------3------3s5---------------|
E|---3-----------------3---------|---3------3--------------------|</t>
  </si>
  <si>
    <t>e|----------------------------------------|
b|-13b14-14-14-14r13-11-13b14-11----------|
g|----------------------------------------|
d|----------------------------------------|
a|----------------------------------------|
E|----------------------------------------|
e|----------------------------------------|
b|-13b14-14-14-14r13-11-13b14-12----------|
g|----------------------------------------|
d|----------------------------------------|
a|----------------------------------------|
E|----------------------------------------|</t>
  </si>
  <si>
    <t>e|-----------------------------|
B|-----------------------------|
G|-----------------------------|
D|----------------------10~----|
A|----------10-h12------12~----|
E|-10--10----------------------|</t>
  </si>
  <si>
    <t>eb|---|-------------------|-------------------|------------------|
Bb|-7-|-(7)-8-----------3-|-(3)-4p3---5-6p5---|-7--8---------10--|
Gb|-7-|-(7)-7-----------3-|-(3)-3-----5-------|-7--7---------10--|
Db|-7-|-(7)-7-----------3-|-(3)-3-----5-------|-7--7---------10--|
Ab|-5-|-(5)-5-------------|-------------------|-5--5----------8--|
Eb|---|-------0-0-0-0-0---|---------0-------0-|------0-0-0-0-----|
eb|-------------------------|----------------|-------------------|
Bb|-(10)-11-10----10--8-----|-7--8---------3-|-(3)-4p3---5-6p5---|
Gb|-(10)-10-10----10--9-----|-7--7---------3-|-(3)-3-----5-5-----|
Db|-(10)-------10----10-----|-7--7---------3-|-(3)-3-----5-5-----|
Ab|--(8)--------------------|-5--5-----------|-------------------|
Eb|---------------------0-0-|------0-0-0-0---|---------0-------0-|
eb|-----------------|-------------------------|-------------------|
Bb|-7--8---------10-|-(10)-11-10----10--8---7-|-------------------|
Gb|-7--7---------10-|-(10)----10----10--9---7-|-------------------|
Db|-7--7---------10-|-(10)-------10----10---7-|-------------------|
Ab|-5--5----------8-|--(8)------------------5-|-------------------|
Eb|------0-0-0-0----|-------------------------|-------------------|</t>
  </si>
  <si>
    <t>e|------------------------------------|--------------------------|
B|------------------------------------|--------------------------|
G|------------------------------------|--------------------------|
D|------------------------------------|--------------------------|
A|----------2h3--2~~~-----------------|-------2~~~--1~~~--0------|
E|----0--0-------------0--2h3--2~~~---|----0-----------------3---|</t>
  </si>
  <si>
    <t>e|------------------------------5------5--5----x----5--5----5--5------|
B|------------------------------5h6----6--6----x----6--6----6--6------|
G|------------------------------5-7----7--7----x----7--7----7--7------| x2
D|--0--2--3--2----0--2--3--2----5-7----7--7----x----7--7----7--7------|
A|------------------------------5------5--5----x----5--5----5--5------|
E|------------------------------5------5--5----x----5--5----5--5------|</t>
  </si>
  <si>
    <t>e|----------------------------|-------------------|
B|----------------------------|-------------------|
G|----------------------------|--------------9-9--|
D|--------------0--0------0---|--------------9-9--|
A|-----------2---------2-----2|--------------7-7--|
E|-0--0--4--------------------|--3--0-----0-------|</t>
  </si>
  <si>
    <t>e|-------------------------|-------------------------|--------------------------|
B|-------------------------|-------------------------|--------------------------|
G|-------------------------|-------------------------|-2p0----------------------|
D|-------------------------|-------------------------|-----2--------------1-1-2-|
A|-5p3---------------------|-5p3---------------------|-5p3---2-4----5-5-5-------|
E|-----5-0-2-2-3-3-3-4-4-5-|-----5-0-2-2-3-3-3-4-4-5-|-----5-0-2--2-3-3-3-4-4-5-|
e|-----------------------|
B|-----------------------|
G|-2p0-------------------|
D|-----2---------1-(1)-2-|
A|-5p3---2-4--5--------0-|
E|-----5-0-2--3--4-(4)---|</t>
  </si>
  <si>
    <t>E|----0------------0-------|-----0------------0-------|
B|-10---10-10---10---10-10-|--10---10-10---10---10-10-|
G|7--7-----7---7--7----7---|-6--6----6----6--6----6---|
D|-------------------------|--------------------------|
A|-------------------------|--------------------------|
D|-------------------------|--------------------------|
E|----0------------0-------|-----0------------0-------|
B|-10---10-10---10---10-10-|--10---10-10---10---10-10-|
G|0--0----0----0--0----0---|--------------------------|
D|-------------------------|-7--7----7----7--7----7---|
A|-------------------------|--------------------------|
D|-------------------------|--------------------------|
E|----0------------0-------|-----0------------0-------|
B|-10---10-10---10---10-10-|--10---10-10---10---10-10-|
G|7--7-----7---7--7----7---|-6--6----6----6--6----6---|
D|-------------------------|--------------------------|
A|-------------------------|--------------------------|
D|-------------------------|--------------------------|
E|----0------------0-------|-----0------------0-------|
B|-10---10-10---10---10-10-|--10---10-10---10---10-10-|
G|0--0----0----0--0----0---|--------------------------|
D|-------------------------|-7--7----7----7--7----7---|
A|-------------------------|--------------------------|
D|-------------------------|--------------------------|
E|--------------------------|---------------------------------|
B|--------------------------|---------------------------------|
G|-7-7-7-7--4/14-14-14-11-9-|-7-7-7-7--12-12-12-11--11-11-9-9-|
D|--------------------------|---------------------------------|x2
A|-5-5-5-5--2/12-12-12--9-7-|-5-5-5-5--10-10-10--9---9--9-7-7-|
D|--------------------------|---------------------------------|</t>
  </si>
  <si>
    <t>E|---------------------------------|---------------------------------|
B|---------------------------------|---------------------------------|
G|---------------------------------|---------------------------------|
D|11-9--11-9--12--11-9--11-9--12---|11-9--11-9--12--11-9--11-9--12---|
A|-----9-----9---9-----9-----9---9-|-----9-----9---9-----9-----9---9-|
D|---------------------------------|---------------------------------|</t>
  </si>
  <si>
    <t>E|-------------------------------------------------------------------------------|
B|-------------------------------------------------------------------------------|
G|-------------------------------------------------------------------------------|
D|6-8--6-8--6-8--6-8----6-8--6-8--6-8--8-6----6-8--6-8--6-8--6-8----6-8--6-8--6-8|
A|6-8--6-8--6-8--6-8----6-8--6-8--6-8--6-4----6-8--6-8--6-8--6-8----6-8--6-8--6-8|
D|6-8--6-8--6-8--6-8----6-8--6-8--6-8---------6-8--6-8--6-8--6-8----6-8--6-8--6-8|</t>
  </si>
  <si>
    <t>E|------------------------------------------------|
B|------------------------------------------------|
G|------------------------------------------------|
D|-3-------2-3-------2----3--------2-3-------2----|
A|-3---0-3---3---0-3---3--3----0-3---3---0-3---3--|
D|-3-3-------3-3----------3--3-------3-3----------|</t>
  </si>
  <si>
    <t>e|------------------------------------|
B|---9-------6-------13-------8-------|
G|--10-------6-------13-------8-------|
D|--10-(x2)--6-(x2)--13-(x2)--8-(x2)--|
A|---8-------4-------11-------6-------|
E|------------------------------------|</t>
  </si>
  <si>
    <t>e|--------------------------------|
B|--------------------------------|
G|--------------------------------|
D|--------------------------------|
A|-99-77-66-555/-99-77-66-555/----|
E|-77-55-44-333/-77-55-44-333/----|</t>
  </si>
  <si>
    <t>e|--------------------------0--|
B|--------------------------0--|
G|---------6-6--------6-----0--|
D|---6-6---6-6---4-4--6--6-----|
A|---6-6---4-4---4-4--4--6-----|
E|---4-4-0----0--2-2-----4-----|
e|-------------------------------|
B|-------------------------------|
G|---------6-6--------6----------|
D|---6-6---6-6---4-4--6--6--4----|
A|---6-6---4-4---4-4--4--6--4----|
E|---4-4-0----0--2-2-----4--2----|</t>
  </si>
  <si>
    <t>e|--------------------------|----------------------------|-------------------------|
B|--------------------------|----------------------------|-------------------------|
G|*-------------------------|------------------h-----h---|-------------------------|
D|*--0--0----0-0--0-0-----0-|--0--0----0-0--0-7-8-0-5-6--|--0--0----0-0--0-0-----0-|
A|---0--0----0-0--0-0-----0-|--0--0----0-0--0-7-8-0-5-6--|--0--0----0-0--0-0-----0-|
E|---0--0----0-0--0-0-----0-|--0--0----0-0--0-7-8-0-5-6--|--0--0----0-0--0-0-----0-|
e|------------------------------||--------------------------|-----------------------------|
B|------------------------------||--------------------------|-----------------------------|
G|----------------------p------*||*-------------------------|----------------------p------|
D|--0--0----0-0--0-----1-0-----*||*--0--0----0-0--0-0-----0-|--0--0----0-0--0-----3-0-----|
A|--0--0----0-0--0--h-------p---||---0--0----0-0--0-0-----0-|--0--0----0-0--0--h-------p--|
E|--0--0----0-0--0-0-1-----1-0--||---0--0----0-0--0-0-----0-|--0--0----0-0--0-0-3-----6-5-|</t>
  </si>
  <si>
    <t>e|----------------------------------------------------------|
B|-9999-99-99-9109109-9999-99-99-9109109-9999-99-99-9109109-|
G|-9999-99-99-9-99-99-9999-99-99-9-99-99-9999-99-99-9-99-99-|
D|-9999-99-99-9-99-99-9999-99-99-9-99-99-9999-99-99-9-99-99-|
A|-7777-77-77-7-77-77-7777-77-77-7-77-77-7777-77-77-7-77-77-|
E|----------------------------------------------------------|
e|--------------------------------------------------------|
B|-9999xx-------------------------------------------------|
G|-9999xx9..7..-------------------------------------------|
D|-9999xx9..7..-------------------------------------------|
A|-7777xx7..5..5/4/2...-----------------------------------|
E|--------------------------------------------------------|</t>
  </si>
  <si>
    <t>eb|-----2--------2--------0--------0--------2--------2--------0--------0-----|
Bb|---3---3----3---3----3---3----3---3----3---3----3---3----3---3----3---3---|
Gb|-4-------2---------0-------0--------4---------2--------0-------0--------4-|
Db|--------------------------------------------------------------------------|
Ab|--------------------------------------------------------------------------|
Eb|--------------------------------------------------------------------------|</t>
  </si>
  <si>
    <t>eb|---------------------------------------------------|
Bb|---------------------------------------------------|
Gb|---------------------------------------------------|
Db|---------------------------------------------------|
Ab|--4--2--4--2--4--2--4--2----4--4--4--4--4--4--4----|
Eb|---------------------------------------------------|
eb|---------------------------------------------------|
Bb|---------------------------------------------------|
Gb|---------------------------------------------------|
Db|-----7-------------------9-------------------------|
Ab|-----7-------------------9-------------------------|
Eb|--0--5----------------0--7-------------------------|</t>
  </si>
  <si>
    <t>e|----------------------------------------------------------------------------------|
B|----------------------------------------------------------------------------------|
G|----------------------------------------------------------------------------------|
D|----------7---5------------------7---5-----------------7---5----------------------|
A|--0-5h7-0---0------------0-5h7-0---0-----------0-5h7-0---0------------------------|
E|----------------------------------------------------------------------------------|</t>
  </si>
  <si>
    <t>e|--10--12--10------8--|--10--12--10------8--|
b|--------------10-----|--------------10-----|
g|---------------------|---------------------|
D|---------------------|---------------------|
A|---------------------|---------------------| 
E|---------------------|---------------------|</t>
  </si>
  <si>
    <t>E|----------------------------------|----------------------------------|
B|----------------------------------|----------------------------------|
G|----------------------------------|----------------------------------|
D|----------------------------------|----------------------------------|
A|-----5---5p3----------------------|-----5---5p3----------------------|
D|-0-----------5-3-----5-3-----5---3|-0-----------5-3-----5-3-----5---3|
E|----------------------------------|----------------------------------|
B|----------------------------------|----------------------------------|
G|----------------------------------|----------------------------------|
D|----------------------------------|----------------------------------|
A|-----5---5p3----------------------|-----5---5p3----------------------|
D|-0-----------5-3-----5-3-----5---3|-0-----------5-3-----5-3-----5---3|
E|--------------------------------|--------------------------------|
B|--------------------------------|--------------------------------|
G|--------------------------------|--------------------------------|
D|-----5---5p3--------------------|-----5---5p3--------------------|
A|-------------5-1-----3---1-3---1|-------------5-1-----3---1-3---1|
D|-5------------------------------|-5------------------------------|
E|----------------------------------|----------------------------------|
B|----------------------------------|----------------------------------|
G|----------------------------------|----------------------------------|
D|----------------------------------|----------------------------------|
A|-----5---5p3----------------------|-----5---5p3----------------------|
D|-0-----------5-3-----5-3-----5---3|-0-----------5-3-----5-3-----5---3|
E|--------------------------------|-------------------------------------|
B|--------------------------------|-------------------------------------|
G|--------------------------------|-----------------5b(7)-----5-2-------|
D|-----7---7p5---7---7-----5---7-0|-5-5-5-5-5-3-------------------5-3---|
A|-------------7---------7--------|-------------5-----------------------|
D|-7------------------------------|-------------------------------------|
E|----------------------------------|----------------------------------|
B|----------------------------------|----------------------------------|
G|----------------------------------|----------------------------------|
D|----------------------------------|----------------------------------|
A|-----5---5p3----------------------|-----5---5p3----------------------|
D|-0-----------5-3-----5-3-----5---3|-0-----------5-3-----5-3-----5---3|</t>
  </si>
  <si>
    <t>eb|------------------|--------------------|--------------------|----------------------|
Bb|------------------|--------------------|--------------------|----------------------|
Gb|-18/----14-----16-|--18---16---14---18-|----18--18-18-18-18-|--18-18--18-18-18-18--|
Db|------------------|--------------------|--------------------|----------------------|
Ab|-16/----12-----14-|--16---14---12---16-|----16--16-16-16-16-|--16-16--16-16-16-16--|
Eb|------------------|--------------------|--------------------|----------------------|
eb|------------------|--------------------|--------------------|----------------------|
Bb|------------------|--------------------|--------------------|----------------------|
Gb|-18/----14-----16-|--18---16---14---14-|----14--14-14-14-13-|--13-13---13-13-13-13-|
Db|------------------|--------------------|--------------------|----------------------|
Ab|-16/----12-----14-|--16---14---12---12-|----12--12-12-12-11-|--11-11---11-11-11-11-|
Eb|------------------|--------------------|--------------------|----------------------|</t>
  </si>
  <si>
    <t>eb|------------------|
Bb|------------------|
Gb|--------5-5-------|
Db|--2-2-2-5-5-5-5-7-|
Ab|--2-2-2-3-3-5-5-7-|
Eb|--0-0-0-----3-3-5-|</t>
  </si>
  <si>
    <t>E|------------------------------------------------------------------------------------|
B|------------------------------------------------------------------------------------|
G|------------------------------------------------------------------------------------|
D|------------------------------------------------------------------------------------|
A|------------------------------------------------------------------------------------|
D|-0---15-15-15-15-15-15-0-15-0---0---15-15-15-15-15-15-0-15-15-15-15--0-15-15-15-15--|</t>
  </si>
  <si>
    <t>e|------------------|----------------|
B|------------------|----3----3--3---|
G|----2-----2-----2-|----2----2--2---|
D|----2-----2-----2-|----------------|
A|-0--------0-----0-|--0---0---------|
E|------------------|----------------|</t>
  </si>
  <si>
    <t>e|---------------------------------------------------------|
B|---------------------------------------------------------|
G|---------------------------------------------------------|
D|------12--12---10---12-----------------------------------|
A|------------------------12--11--10------b8---------------|
E|------------------------------------10------10-----------|</t>
  </si>
  <si>
    <t>e|-12-----12-13-12-------------12-----12-17-12-------------12--12-----|
B|------------------13------13------------------13------13 --15-------|
G|-----------------------14--------------------------14---------------|
D|--------------------------------------------------------------------|
A|--------------------------------------------------------------------|
E|--------------------------------------------------------------------|
e|--12-13-12-------------12--12-12--12-12-12 -12-12-12-------|
B|------------13------13-----13-13--13-13-13 -13-13-13-15----|
G|-----------------14-------------------------------------14-|
D|-----------------------------------------------------------|
A|-----------------------------------------------------------|
E|-----------------------------------------------------------|</t>
  </si>
  <si>
    <t>e|------------------|----------------------|----|
B|------------------|----------------------|----|
G|-2-2-2-0--2h3p2-0-|-2-2-2-0--2h3p2-0-----|-2~-|
D|------------------|----------------------|----|
A|------------------|----------------------|----|
E|------------------|----------------------|----|</t>
  </si>
  <si>
    <t>e|------------------------------------------------------------------|
B|------------------------------------------------------------------|
G|--10-10-10-10----------10--10-8-------10-10-8---------10-10-8-----|
D|--10-10-10-10----------10-------10----10------10------10------10--|
A|--10-10-10-10----------10-------------10--------------10----------|
E|--8--8--8--8----15/----8---------------8----------15/--8----------|
e|---------------------------------------------------------12----|
B|---------------------------------------------------------12----|
G|---10--10-8---------10-10-10b12r10------10-10-8-----10---------|
D|---10-------10------10------------------10------10--10---------|
A|---10---------------10------------------10----------10---------|
E|---8-----------15/--8--------------15/--8-----------8----------|</t>
  </si>
  <si>
    <t>e|-----------------------------------------------------|
B|-----------------------------------------------------|
G|-----------------------------------------------------|
D|-7/5--2---2--2-2-2--2-2-7/5--2---2--2-2-2--2-2-2-2---| x3
A|-7/5--2---2--2-2-2--2-2-7/5--2---2--2-2-2--2-2-2-2---|
E|-5/3--0---0--0-0-0--0-0-5/3--0---0--0-0-0--0-0-0-0---|
e|-----------------------------|
B|-----------------------------|
G|-----------------------------|
D|-5/7--7---7--7-7-7--7-7-7-7--|
A|-5/7--7---7--7-7-7--7-7-7-7--|
E|-3/5--5---5--5-5-5--5-5-5-5--|</t>
  </si>
  <si>
    <t>e|--------------------------------------------------------------------|
B|-----3p0------0-------1---------------3p0-----0--------1--------4---|
G|---0--------0---0---0---0-2b3-0-----0-------0---0----2---2----5---5-|
D|----------3-------1-----------------------3--------1--------4-------|
A|--------------------------------------------------------------------|
E|-3-------------------------------3----------------------------------|
e|-------------------------------------------------------------------|
B|-----3p0------0-------1--3b5--1-------3p0------0-------1-----------|
G|---0--------0---0---0---------------0--------0---0---0---0-2b3-0---|
D|----------3-------1------------------------3-------1---------------|
A|-------------------------------------------------------------------|
E|-3--------------------------------3--------------------------------|</t>
  </si>
  <si>
    <t>Eb|---------------------------------------|
Bb|---------------------------------------|
Gb|---------------------------------------|
Db|---------------------------------------|
Ab|-------5-------7-------1----0----------|
Db|--0---------7--------------------0--3--|
Eb|----------------------------------|
Bb|----------------------------------|
Gb|----------9-9---------------------|
Db|--0---0-----9------8---7---0-10---|
Ab|--0---0---7-7------8---7---0-10---|
Db|--0---0------------8---7---0-10---|</t>
  </si>
  <si>
    <t>D#|----------------------------------------|
A#|----------------------------------------|
F#|-7-7-7-14-14/12-12-12-12-12-14-14/10-10-|
C#|-x-x-x--x--x--x--x--x--x--x--x--x-x--x--|
G#|-5-5-5-12-12/10-10-10-10-10-12-12/8--8--|
C#|----------------------------------------|</t>
  </si>
  <si>
    <t>e|------------------------------------------------|
B|------------------------------------------------|
G|------------------------------------------------|
D|------------------------------------------------|
A|--7----5--2--5--0---------7----5--2-------------|
E|-------------------3--0--------------3--0-------|</t>
  </si>
  <si>
    <t>D#|----8---8---8---8---8---8---8---8------8--8--8--8--8--8--8--8--|
B |----0---0---0---0---0---0---0---0------0--0--0--0--0--0--0--0--|
G |-9b11--11--11--11--11--11--11--11---11r9--9--9--9--9--9--9--9--|
B |---------------------------------------------------------------|
A |---------------------------------------------------------------|
E |---------------------------------------------------------------|
D#|----12--12--12--12--12--12--12--12-----------------------------|
B |-----0---0---0---0---0---0---0---0------0--0--0--0--0--0--0--0-|
G |-13b15--15--15--15--15--15--15--15--15r13-13-13-13-13-13-13-13-|
B |---------------------------------------------------------------|
A |---------------------------------------------------------------|
E |---------------------------------------------------------------|
D#|---3--3--3--3--3--3--3--3------3--3--3--3--3--3--3--3----------|
B |---0--0--0--0--0--0--0--0------0--0--0--0--0--0--0--0----------|
G |-4b6--6--6--6--6--6--6--6----6r4--4--4--4--4--4--4--4----------|
B |---------------------------------------------------------------|
A |---------------------------------------------------------------|
E |---------------------------------------------------------------|
D#|----8---8---8---8---8---8---8---8------8--8--8--8--8--8--8--8--|
B |----0---0---0---0---0---0---0---0------0--0--0--0--0--0--0--0--|
G |-9b11--11--11--11--11--11--11--11---11r9--9--9--9--9--9--9--9--|
B |---------------------------------------------------------------|
A |---------------------------------------------------------------|
E |---------------------------------------------------------------|</t>
  </si>
  <si>
    <t>e|---12---12--------9----9--|
B|---------------12---12----|
G|------9----9--------------|
D|--------------------------|x3
A|--------------------------|
E|--------------------------|
e|---12---12------8/9------9----9-----|
B|----------------------12---12-------|
G|------9-----------------------------|
D|------------------------------------|
A|------------------------------------|
E|------------------------------------|</t>
  </si>
  <si>
    <t>e|----------------------------------------------------------------------------|
B|--4-4-4-4-4-4-4-4-4-4-4-4/11-11-11-11/4-4-4-4-4-4-4-4-4-4-4-4/11-11-11-11/--|
G|----------------------------------------------------------------------------|
D|----------------------------------------------------------------------------|
A|----------------------------------------------------------------------------|
E|----------------------------------------------------------------------------|
e|---------------------------------------------------------------------------|
B|--4-4-4-4-4-4-4-4-4-4-4-4/11-11-11-11/4-4-4/3-3-3-3-3-3-3-3-3-3-3-3-3-3-3--|
G|---------------------------------------------------------------------------|
D|---------------------------------------------------------------------------|
A|---------------------------------------------------------------------------|
E|---------------------------------------------------------------------------|</t>
  </si>
  <si>
    <t>e|-7-7-X7--7-------8-8-X8--8-------8-8-X8--8-------7-7-X7--7-------|
B|-6-6-X6--6-------8-8-X8--8-------9-9-X9--9-------6-6-X6--6-------|
G|-7-7-X7--7-------8-8-X8--8-------8-8-X8--8-------7-7-X7--7-------|
D|-----------------------------------------------------------------|
A|-----------------------------------------------------------------|
E|-----------------------------------------------------------------|</t>
  </si>
  <si>
    <t>e|x--x-x--x-x-----------------x--x-x--x-x------------------------|
B|8--x-x--x-x-10-10--8--10--8-7--x-x--x-x-7-7-9--10-10-9---------|
G|9--x-x--x-x--9--9--9---9--9-8--x-x--x-x-8-8-8---8--8-8---------|
D|10-x-x--x-x-10-10-10--10-10-9--x-x--x-x-9-9-9---9--9-9---------|
A|x--x-x--x-x-----------------x--x-x--x-x------------------------|
E|x--x-x--x-x-----------------x--x-x--x-x------------------------|
e|x--x-x--x-x--------------------x---x--|
B|x--x-x--x-x-10-10--8--10--8--7-x-7-x-7|
G|x--x-x--x-x--9--9--9---9--9--8-x-8-x-8|
D|x--x-x--x-x-10-10-10--10-10--9-x-9-x-9|
A|x--x-x--x-x--------------------x---x--|
E|x--x-x--x-x--------------------x---x--|</t>
  </si>
  <si>
    <t>e|-------------9----------|------9p7-------7-9--|-7p5------5------|
B|-------------9----------|----------7-----7-7--|-5--------5---5--|
G|---------9---9h11p9-----|------------8---8-8--|-6--------6h7p6--|
D|----9----9----------11/-|----9-------9---9----|-7-----7--7------|
A|----9h11----------------|---------------------|-----------------|
E|-0----------------------|-/7------------------|-----5-----------| 
e|---5h7p5--------|------12/14--12--------|--------------9----------|
B|---------7p5----|------12/14--12-14-----|--------------9----9-----|
G|---------5---6--|-------------------11/-|----------9---9h11-9-----|
D|-7--------------|-----------------------|-----9----9----------11--|
A|----------------|-----------------------|-----9h11----------------|
E|----------------|-0---------------------|--0----------------------| 
e|--------9-9-7----9p7-9--|-7p5---------5--------5--|------12/19------|
B|----------7-7--7-7---7--|-5----------------5h7p5--|------12/19------|
G|----8-8---8-8--8-8---8--|-6-------6h7----7-6h7p6--|-----------------|
D|------------9--9-9------|-7-------7---------------|-------------14/-|
A|------------------------|-------------------------|-------------14/-|
E|-7----------------------|------5------------------|-0-----------16/-|</t>
  </si>
  <si>
    <t>e|------|----------------|-------------------|-------------------|---------|
B|------|---------------5|-------------------|-------------------|---------|
G|------|-----5-------7--|-5h7p5-----5-------|-------------------|---------|
D|---5-6|-7-------7------|-------7-7-----7---|-5-7-7---------2---|2--------|
A|-7----|---7------------|-------------------|-------5-7---5-0---|0--------|
E|------|----------------|-------------------|-----------8-------|---------|</t>
  </si>
  <si>
    <t>G|------------------------------------------------------------------|
D|--------------------11---9----------------------------------------|
A|------------------9--------11----9---9--------12-12-12-12-11-11---|
E|-9---9-------9-12-------------12--------------------------------12|</t>
  </si>
  <si>
    <t>E|-----------------------------|
B|-----------------------------|
G|-----------------------------|
D|-----------------------------|
A|-----------------------------|
D|-0-3p0-5p0-3-0-0-3p0-5b6-5b6-|</t>
  </si>
  <si>
    <t>e|-------------------------------------------------------------------|
B|-------------------------------------------------------------------|
G|--------------------------------------------------9-9-9-9-11-------|
D|------------------------------9-9-9-9-11-11-11-11------------------|
A|----------9-9-9-9-12-12-12-12--------------------------------------|
E|-------------------------------------------------------------------|
e|-------------------------------------------------------------------|
B|-------------------------------------------------------------------|
G|-11-11-11-14-14-14-14-16-16-16-16-16b-16b-16b-16b-16b-16b-16b-16b--|
D|-------------------------------------------------------------------|
A|-------------------------------------------------------------------|
E|-------------------------------------------------------------------|
e|-------------------------------------------------------------------|
B|-------------------------------------------------------------------|
G|16-14----------14---16-14-----------14---16b(18)=r16====-16--16-16-|
D|------16-14-16------------16-14-16---------------------------------|
A|-------------------------------------------------------------------|
E|-------------------------------------------------------------------|
e|-------------------------------------------------------------------|
B|-------------------------------------------------------------------|
G|-16-14--------------14---------------------------------------------|
D|---------16---14-16----16--16--16-16-16-14-----------14------------|
A|--------------------------------------------16-14-16----16---------|
E|-------------------------------------------------------------------|
e|-------------------------------------------------------------------|
B|-------------------------------------------------------------------|
G|-------------------------------------------------------------------|
D|-------------------------------------------------------------------|
A|-16--16-16-14--12----14-12-------------12--14-12---------12--------|
E|----------------------------14-12-14-----------14------------------|
e|-------------------------------------------------------------------|
B|-------------------------------------------------------------------|
G|-------------------------------------------------------------------|
D|-------------------------------------------------------------------|
A|14b15-15-15-15r14/-------------------------------------------------|
E|-------------------------------------------------------------------|</t>
  </si>
  <si>
    <t>e|-------------------------------|
B|-------------------------------|
G|-------------------------------|
D|-------------------------------| x4
A|-------/4-2-4-5-5-5-4-2-14-----|
E|-2-2-2-------------------------|</t>
  </si>
  <si>
    <t>e|----------------|-----------------|----------------|-----------------|----------------|
B|----------------|-----------------|----12----------|---------16b16p14|----14--14b14p14|
G|----------------|-----------------|----12----------|---------16b16p14|----14--14b14p14|
D|----------------|-----------------|-14-12----------|-----------------|-16-14----------|
A|----------------|-----------------|----------------|-----------------|----------------|
E|----------------|-----------------|----------------|-----------------|----------------|
e|----------------|----------------|----------------|-----------------|-----------------|
B|---14---14b14p12|---12---14b14p12|---12---16b16p14|----14---16b16p14|----14---14b14p12|
G|---14---14b14p12|---12---14b14p12|---12---16b16p14|----14---16b16p14|----14---14b14p12|
D|16-14-----------|14-12-----------|14-12-----------|-16-14-----------|-16-14-----------|
A|----------------|----------------|----------------|-----------------|-----------------|
E|----------------|----------------|----------------|-----------------|-----------------|
e|----------------|---------------|-----------------|-----------------|-----------------|
B|--12b--12b--12b-|---12b--12/----|-----------------|-----------------|--------------10B|
G|--12b--12b--12b-|---12b--12/----|-----------------|-----------------|-----------------|
D|14---14---14----|-14---14-------|-----------------|-----------------|-----------------|
A|----------------|---------------|-----------------|-----------------|-----------------|
E|----------------|---------------|-----------------|-----------------|-----------------|</t>
  </si>
  <si>
    <t>D#|---3--3-----3-(3)-----3-------|---------3-----3-(3)-----3-------|
A#|---0----0---------0-----0---0-|-1---------1---------1-----1---1-|
F#|---0------0---------0-----0---|-0-----------0---------0-----0---|
C#|---0--------------------------|-0h2---2-------------------------|
G#|---2--------------------------|-----3---------------------------|
D#|---3--------------------------|---------------------------------|
D#|-------3---------------3-------|----3-----3-(3)--------------------|
A#|-1---1---1---1-1-----1---1---0-|-0----0---------0-----0---0-------o|
F#|-0h2-------2---0-----------0---|-0------0---------0h2---0-------0--|
C#|-0h3-----------0h2-------------|-0--------------------------0h2----|
G#|-------------------3-----------|-2--------------------------------o|
D#|-------------------------------|-3---------------------------------|</t>
  </si>
  <si>
    <t>D#|---|------------------------------------------------------------|
A#|---|---x-8-8-7p0-7/5---3/5-5-3-3/1---1/3-3-1-1--0-1-0-----------|
F#|-2-|--------------------------------------------------2-0-2-----|
C#|-2-|------------------------------------------------------------|
G#|-0-|------------------------------------------------------------|
D#|---|------------------------------------------------------------|
D#|-----------------------------------------------------------|
A#|-x-8-8-7p0-7/5---3/5-5-3-3/1---1/3-3-1-1--0-1-0------------|
F#|------------------------------------------------2-0------2-|
C#|---------------------------------------------------------2-|
G#|---------------------------------------------------------0-|
D#|-----------------------------------------------------0-3---|</t>
  </si>
  <si>
    <t>D#|---------7-7--9-|--9--9--9----7-7-5-|-5-5-5----7-7--9-|--9--9--9----7-7-5--|
A#|---------7-7--9-|--9--9--9----7-7-5-|-5-5-5----7-7--9-|--9--9--9----7-7-5--|
F#|---------8-8--9-|--9--9--9----8-8-6-|-6-6-6----8-8--9-|--9--9--9----8-8-6--|
C#|---------9-9-11-|-11-11-11----9-9-7-|-7-7-7----9-9-11-|-11-11-11----9-9-7--|
G#|---------9-9-11-|-11-11-11----9-9-7-|-7-7-7----9-9-11-|-11-11-11----9-9-7--|
D#|---------7-7--9-|--9--9--9----7-7-5-|-5-5-5----7-7--9-|--9--9--9----7-7-5--|
D#|-5-5-5-5-5-5-5---7--7--7/8--|
A#|-5-5-5-5-5-5-5---7--7--7/8--|
F#|-6-6-6-6-6-6-6---8--8--8/9--|
C#|-7-7-7-7-7-7-7---9--9--9/10-|
G#|-7-7-7-7-7-7-7---9--9--9/10-|
D#|-5-5-5-5-5-5-5---7--7--7/8--|</t>
  </si>
  <si>
    <t>e|------------------------------------|---------------------------|
B|------------------------------------|---------------------------|
G|------------------------------------|---------------------------|
D|12/14/12---------12-----------------|--12/14/12--------14-14p12-|
A|----------12/14-----10--10-10/12~~~/|-----------12/14-----------|
E|------------------------------------|---------------------------|</t>
  </si>
  <si>
    <t>e|----------------7-------------|---------0------0------0-----|
B|------------10-----10---------|--------10-----10-----10-----|
G|---------9-------------9------|---------9------9------9-----|
D|-----10-------------------10--|--------10-----10-----10-----|
A|--0---------------------------|--0----------------0------9--|
E|------------------------------|-----7------8----------------|
e|-------------------------------|----------------0-------------|
B|---------------10--------------|------------10-----10---------|
G|------------9------------------|---------9-------------9------|
D|--(10)--10---------------------|-----10-------------------10--| x3
A|---------------------9b--9--8--|------------------------------|
E|-------------------------------|------------------------------|</t>
  </si>
  <si>
    <t>e|-------------------------------------------------------------|
B|-------------------------------------------------------------|
G|------7--9---------7--9------------7--9---------7--9---------|
D|--------------------------------0--------0-0-0--------0-0-0--|
A|-7-7--------7-7-7--------7-7-7-------------------------------|
E|-------------------------------------------------------------|
e|-------------------------------------------------------------|
B|-------------------------------------------------------------|
G|----7--9---------7--9------------7--9--------7--9------------|
D|-------------------------------------------------------------| x4
A|-------------------------------------------------------------|
E|-7--------7-7-7--------7-7-7--8-------8-8-8--------8-8-8-----|</t>
  </si>
  <si>
    <t>e|--------------------------------|------------------------------|
B|--------------------------------|------------------------------|
G|-----------5-5--7--7----7/------|------------5-5--7--7---------|
D|---2--2-5--5-5--7--7-7--7/------|---2-2-2-5--5-5--7--7-7-------|
A|---2--2-5--3-3--5--5-7--5/------|---2-2-2-5--3-3--5--5-7--5/---|
E|---0--0-3--3-3--5--5-5--5/------|---0-0-0-3--3-3--5--5-5-------|</t>
  </si>
  <si>
    <t>eb|-------------------------------------------------------------------|
Bb|-------------------------------------------------------------------|
Gb|--9--9--7/9----7-/9--9---7-/9--7--9--7/9--9--7/9----7/9------7--8--|
Db|--9--9--7/9----7-/9--9---7-/9--5--9--7/9--9--7/9----7/9---9--7--8--|
Ab|--7--7--5/7----5-/7--7---5-/7-----7--5/7--7--5/7----5/7---9--5--6--|
Eb|----------------------------------------------------------7--------|</t>
  </si>
  <si>
    <t>e|----------------------------------------------------|
B|----------------------------------------------------|
G|----------------------------------------------------|
D|-------------------2-1~-------------6-4--------2-1~-|(x4)
A|-2-4-4-4~--2-4-2-4-------2-4-4-4-4------2--0-2------| 
E|----------------------------------------------------|</t>
  </si>
  <si>
    <t>eb|--------------------------------|--------------------------------|
Bb|--------------------------------|----------------3-3----3--------|
Gb|--------------------------------|----------------2-2--x-2--------|
Db|9---------------11------12------|5---------------0-0--x-0--------|
Ab|b7--------------9-------10------|3-------------------------------|
Eb|--------------------------------|--------------------------------|
eb|--------------------------------|--------------------------------|
Bb|--------------------------------|--------------------------------|
Gb|--------------------------------|--------------------------------|
Db|9---------------11------12------|14--1211-9----------------------|
Ab|7---------------9-------10------|12--10-9-7----------------------|
Eb|--------------------------------|--------------------------------|</t>
  </si>
  <si>
    <t>e|---------||-----------------|-----------------|------------------|
B|---------||--------3-(3)----|-(3)----(3)------|---------3-(3)----|
G|---------||----2s4----------|------------2-2--|-----2s4----------|
D|---------||-----------------|------------2-2--|---2--------------|
A|---------||-----------------|------------0-0--|-2-2--------------|
E|-x-x-12/-||-0---------------|-----------------|-0----------------|</t>
  </si>
  <si>
    <t>e|-----------9--10-|--12--10--9------|-----------------|-----------------|
B|--------10-------|-------------10--|-(10)------------|--5--------------|
G|------9----------|-----------------|-----9---7p6---7-|-----------------|
D|-----------------|-----------------|-----------------|-----------------|
A|-----------------|-----------------|-----------------|-----------------|
E|-----------------|-----------------|-----------------|-----------------|
e|-----------9--10-|--9h10p9---------|-----------------|-----------------|
B|-(5)----10-------|----------10-----|---------------5-|-----------------|
G|------9----------|-------------9-7-|--(7)--6---7-----|-----------------|
D|-----------------|-----------------|-----------------|--7--------------|
A|-----------------|-----------------|-----------------|-----------------|
E|-----------------|-----------------|-----------------|-----------------|</t>
  </si>
  <si>
    <t>e|--------------|------------------------|-------------------------|
B|--------------|------------------------|-------------------------|
G|--------------|------------------8--10-|-------------------------|
D|------8-8-----|--10b-------------------|--10b-10--10-------------|
A|--10-------10-|------------------------|-------------------------|
E|--------------|------------------------|-------------------------|
e|---------------------------------------|------------------------------|
B|---------------------------------------|--------------------------11--|
G|---------------------------------------|-----------------------12-----|
D|------8-8-----8--10---10r-8---8--------|------8h-----8/15-------------|
A|--10-------10--------------------10----|------------------------------|
E|-------------------------------------9-|--10--------------------------|
e|------------------11--13-|-----------------------------|
B|--13b--------------------|--13b--13--13h----13/0-------|
G|-------------------------|-----------------------------|
D|-------------------------|-----------------------------|
A|-------------------------|-----------------------------|
E|-------------------------|-----------------------------|
e|-------------------------------------------|---------------------|
B|---------------------20b---18--------------|---------------------|
G|------15-15--15---------------20-18--------|---------------------|
D|--17-------------17-----------------20--20-|----------20/3-------|
A|-------------------------------------------|---------------------|
E|-------------------------------------------|---------------------|</t>
  </si>
  <si>
    <t>(Capo 2)
F#|----------------------3---0---------------|
C#|------3-----1---------------1-------------|
A |----0---------------2---0-----2-0---------|
E |--0-------2-------3-----------------------|
B |--------0-----0h1-------------------------|
F#|------------------------------------------|
F#|----1-------------1----------|
C#|----3-----------3---3--------|
A |----2---------2--------------|
E |--0---------0----------------|
B |------0h3p0-----------0h3p0--|
F#|-----------------------------|</t>
  </si>
  <si>
    <t>d#|-----------------|-----------------|-----------------|-----------------|
A#|-----------------|-----------------|-----------------|-----------------|
F#|-----------------|-----------------|-----------------|-----------------|
C#|-4-4---4---------|-2-2---2-2-2---2-|-4-4---4---------|-0-0---0-0-0-----|
G#|-4-4---4-2-4-2-4-|-2-2---2-2-2---2-|-4-4---4-2-4-2-4-|-0-0---0-0-0-----|
C#|-4-4---4---------|-2-2---2-2-2---2-|-4-4---4---------|-0-0---0-0-0-----|
d#|-----------------|-----------------|-----------------|-----------------|
A#|-----------------|-----------------|-----------------|-----------------|
F#|-----------------|-----------------|-----------------|-----------------|
C#|-4-4---4---------|-2-2---2-2-2---2-|-4-4---4---------|-9-9-9-9-9-9-9-9-|
G#|-4-4---4-2-4-2-4-|-2-2---2-2-2---2-|-4-4---4-2-4-2-4-|-7-7-7-7-7-7-7-7-|
C#|-4-4---4---------|-2-2---2-2-2---2-|-4-4---4---------|-7-7-7-7-6-6-6-6-|</t>
  </si>
  <si>
    <t>Eb|--------------------------------------------------------------------------|
Bb|--------------------------------------------------------------------------|
Gb|--------------------------------------------------------------------------|
Db|--------------------------------------------------------------------------|x3
Ab|--7-10-7-8-7--7-10-7-8-7--7-10-7-8-----------------7-10-7-8-7--7-10-7-8-7-|
Db|--------------------------------------------------------------------------|
Eb|---------------------------------------------------|
Bb|---------------------------------------------------|
Gb|---------------------------------------------------|
Db|---------------------------------------------------|
Ab|-2--5--2--3--2-----2--5--2--3--2-----2--5-2--3-----|
Db|-2--5--2--3--2-----2--5--2--3--2-----2--5-2--3-----|</t>
  </si>
  <si>
    <t>Eb|-----------------------------|------------------------|
Bb|-----------------------------|------------------------|
Gb|-----------------------------|------------------------|
Db|-----------------------------|------------------------|
Ab|o----3-5---------3-5-----3-5-|----3-5---------1-----6-|
Db|--0------0-0-0-0-----0-0-----|-0------0-0-0-0---0-0---|
Eb|----------------------------|-----------------------------|
Bb|----------------------------|-----------------------------|
Gb|----------------------------|-----------------------------|
Db|----------------------------|-----------------------------|
Ab|----3-5---------3-5-----3-5-|----3-5---------------------o|
Db|-0------0-0-0-0-----0-0-----|-0------0-0-0-0-6-6-6-6-6-6--|</t>
  </si>
  <si>
    <t>e|-----------------|-----------------|
B|-----------------|-----------------|
G|-7/9-9-7/9-9-7-9-|---------------77|
D|-7/9-9-7/9-9-7-9-|---7-7-7-7/6/5-77|x3
A|-5/7-7-5/7-7-5-7-|---7-7-7-7/6/5-55|
E|-----------------|-0-5-5-5-5/4/3---|
e|-----------------|-----------------|
B|-----------------|-----------------|
G|-7/9-9-7/9-9-7-9-|-----------------|
D|-7/9-9-7/9-9-7-9-|---7-7-7-7/6/5---|
A|-5/7-7-5/7-7-5-7-|---7-7-7-7/6/5---|
E|-----------------|-0-5-5-5-5/4/3-0-|</t>
  </si>
  <si>
    <t>e|-------------------------------------------------------------12-15b17-|
B|--------15--------15--------15-------------------------12-15----------|
G|-14b16-----14b16-----14b16-----14b16r14-12-14-12-14-12----------------|
D|----------------------------------------------------------------------|
A|----------------------------------------------------------------------|
E|----------------------------------------------------------------------|
e|------------------------------------------------------|
B|---------------4/5/4----------------------------------|
G|-2/4----4--4-----------5/4/5/4/5-4/5s/4-4/9-------9---|
D|------------------------------------------------------|
A|------------------------------------------------------|
E|------------------------------------------------------|</t>
  </si>
  <si>
    <t>e|---------------------------|--------------------------------------|
B|---------------------------|--------------------------------------|
G|---------------------------|--------------------------------------|
D|-----------------5-3-------|------------------------5-3-----------|
A|--3-5--3-5--3-5--3-1-------|-3-5-(5)--3-5-(5)--3-5--3-1-----------|
E|--1-3--1-3--1-3------3-1-3-|-1-3-(3)--1-3-(3)--1-3------3-1-3-(3)-|</t>
  </si>
  <si>
    <t>Eb|------------------------------------------------------------------|
Bb|------------------------------------------------------------------|
Gb|--14--14--14--14--14--14---------------10----12--12----12------12-|
Db|--14--14--16--14--16--14-----10--10----10----12--12h14-12------12-|
Ab|--0---0---0---0---0---0---0--10--10h12---------------------14-----|
Eb|------------------------------------------------------------------|
Eb|------------------------------------------------------------------|
Bb|------------------------------------------------------------------|
Gb|--14--14--14--14--14--14---------------10-------------------------|
Db|--14--14--16--14--16--14-----10--10----10-------------------------|
Ab|--0---0---0---0---0---0---0--10--10h12---------------12/----------|
Eb|------------------------------------------------------------------|
Eb|------------------------------------------------------------------|
Bb|------------------------------------------------------------------|
Gb|--7-7-7--4/5-5-7-4/5--5--7-5--------------------------------------|
Db|--7-7-7--4/5-5-7-4/5--5--7-5-7-5----------------------------------|
Ab|--7-7-7--------------------7-5------------------------------------|
Eb|------------------------------------------------------------------|</t>
  </si>
  <si>
    <t>e|--------------------------|-----------------------------------|
B|--------------------------|-----------------------------------|
G|--------------------------|-----------------------------------|
D|----------------0)----0)--|--9-------9-------9-------9--------|
A|----------------5-----5---|--7-------7-------7-------7--------|
E|-------------7-----7------|--0-0-0-0-0-0-0-0-0-0-0-0-0-0-0-0--|
e|-----------------------------------|-----------------------------------|
B|-----------------------------------|-----------------------------------|
G|-----------------------------------|-----------------------------------|
D|--9-------9-------9-9----0)----0)--|--9-------9-------9-------9--------|
A|--7-------7-------7-7----5-----5---|--7-------7-------7-------7--------|
E|--0-0-0-0-0-0-0-0-0-0-7-----7------|--0-0-0-0-0-0-0-0-0-0-0-0-0-0-0-0--|
e|-----------------------------------|
B|-----------------------------------|
G|-----------------------------------|
D|--9-------9-------9-9----0)----0)--|
A|--7-------7-------7-7----5-----5---|
E|--0-0-0-0-0-0-0-0-0-0-7-----7------|</t>
  </si>
  <si>
    <t>e|---------------------|-----7-6--------------------------|
B|---------------------|---7-----7-5----5//7--7-----------|
G|---------------------|-7------------7-----------9-6-7-9-|
D|----- 9//12/9-----9--|----------------------------------|
A|--9-12--------12-----|----------------------------------|
E|---------------------|----------------------------------|
e|--------7//10-7----7-|----14-19-18-14-------------------|
B|--7//10---------10---|-15-------------17--15-17//19-19--|
G|---------------------|----------------------------------|
D|---------------------|----------------------------------|
A|---------------------|----------------------------------|
E|---------------------|----------------------------------|
e|-----------------------------------------------|
B|-17//19-19-17//19-19--17-14-15-17-15-14-14-12--|
G|-----------------------------------------------|
D|-----------------------------------------------|
A|-----------------------------------------------|
E|-----------------------------------------------|</t>
  </si>
  <si>
    <t>C |---------------------------|
G |---------------------------|
D#|---------------------------|
A#|---------------------------|
F |-17-17-17--17/21-21-19/17--|
C |-0--0--0---0--0--0--0--0---|</t>
  </si>
  <si>
    <t>e|10------------------------------|---------------------|
b|------------10--13----------10--|12--------------10---|
g|--------------------------------|------------12-------|
D|--------------------------------|---------------------|
A|--------------------------------|---------------------|
D|--------------------------------|---------------------|
e|10------------------------------|---------------------|
b|------------10--13----------10--|12-------------------|
g|--------------------------------|------------12-------|
D|--------------------------------|----------------12---|
A|--------------------------------|---------------------|
D|--------------------------------|---------------------|
E|-----------------------------------|
B|-----------------------------------|
G|-----------------------------------|
D|-----------------------------------|
A|--3h5-----6p5-----3h5---3h5---6p5--|
D|------0-0-----0-0-----0-----0------|
E|-----------------------------------|
B|-----------------------------------|
G|-----------------------------------|
D|-----------------------------------|
A|--3h5-----6p5-----3h5---3h5-3-3-3--|
D|------0-0-----0-0-----0-----3-3-3--|</t>
  </si>
  <si>
    <t>e|---------------------------------|-------------------------------|
B|-------8---------------8---------|-------8-----------------------|
G|-----------8-----------8---8-----|-----------8---------8---8-----|
D|---------------0---0-----0-------|-----------------0-------0-----|
A|-----x---------0---------x-----0-|--8--8---------0---0---------0-|
E|--8------8---8---6---6---6---6---|--x------x-------------6---6-0-|
e|--------------------------------|----------------------------0-------| 
B|--3----3--------------3---------|--3------3---3--3~-------3--3---3---|
G|-----------3---3------3---3-----|--3-------------2~----0--0--0---0---|
D|--0--------------0----------0-0-|--2----2---2----------2--2--2---2-0-|
A|-----------------0--0---1---1---|----------------------------------0-|
E|--3--3---3---3------------------|------------------------------------|
e|---------------------------------|------------------------------|
B|-------3-----------3---3---3---3-|--3------3---3-3~--3-3--3-----|
G|-----------3---3---3-------3---3-|--3----3---3---2~--0-0--0-----|
D|-----0---------------------------|--2--------2---2~----2--2--0--|
A|-----------------0---0---1---1---|---------------------------0--|
E|--3------3---3-------------------|------------------------------|</t>
  </si>
  <si>
    <t>Eb|-10--12--13--12--10--12--13--12----|
Bb|---10--10--10--10--10--10--10--10--|
Gb|-----------------------------------|
Db|-----------------------------------|
Ab|-----------------------------------|
Db|-----------------------------------|</t>
  </si>
  <si>
    <t>e|--17-12-||---17-12----12------------------------17-12-|
B|--------||---------15----15-13------------------------|
G|--------||---------------------14-12-14---12----------|
D|--------||--------------------------------------------|
A|--------||--------------------------------------------|
E|--------||--------------------------------------------|
e|--17-12----12-----------------------15-12-|
B|--------15----15-13-----------------------|
G|--------------------14-12-14---12---------|
D|------------------------------------------|
A|------------------------------------------|
E|------------------------------------------|
e|--15-12----12----------------------15-12-|--15-12----12-------------19-20----------|
B|--------15----15-13----------------------|--------15----15-13----------------------|
G|--------------------14-12-14---12--------|--------------------14-12----------------|x2
D|-----------------------------------------|-----------------------------------------|
A|-----------------------------------------|-----------------------------------------|
E|-----------------------------------------|-----------------------------------------|</t>
  </si>
  <si>
    <t>OUTRO
e|-----------------------|----------------|-----------14---------------------------|
B|--12------12--14--14---|---14--15--15---|---14--15------15--14--15---------------|
G|-----------------------|----------------|----------------------------------------|
D|-----------------------|----------------|----------------------------------------| x4
A|-----------------------|----------------|----------------------------------------|
E|-----------------------|----------------|----------------------------------------|
e|----------------------------------------|----------------------------------------|
B|--12----12--12--12-12p10------12p10-----|--12----12--12--12-12p10------14b15r14--|
G|-------------------------11---------11--|-------------------------11-------------|
D|----------------------------------------|----------------------------------------| x3
A|----------------------------------------|----------------------------------------|
E|----------------------------------------|----------------------------------------|
e|-----------------------|----------------|-----------14---------------------------|
B|--12------12--14--14---|---14--15--15---|---14--15------15--14--15---------------|
G|-----------------------|----------------|----------------------------------------|
D|-----------------------|----------------|----------------------------------------|
A|-----------------------|----------------|----------------------------------------|
E|-----------------------|----------------|----------------------------------------|</t>
  </si>
  <si>
    <t>e|----11------11------11-----|----9------9------9------|----9------9------9-----|
B|-------11------11------11--|------11------11-----11--|------11-----11-----11--|
G|----------12------12-------|----------10-----10------|----------10-----10-----|
D|---------------------------|-------------------------|------------------------|
A|---------------------------|-------------------------|------------------------|
E|---------------------------|-------------------------|------------------------|
e|-----8------8-----8--------|
B|-------9------9-----9------|
G|---------10-----10---------|
D|---------------------------|
A|---------------------------|
E|---------------------------|</t>
  </si>
  <si>
    <t>e|----------------------------------------------------------------|
B|----------------------------------------------------------------|
G|----------------------------------------------------------------|
D|-----5-8-5-------------5---3-----------5---5b-------5-----------|
A|---6-------6-8-6---3-6---6---6-----3-6---6----6---6---6-8-5---5-|
E|-8---------------5-------------5-4--------------6-----------7---|
e|-----------------------------------------------------------------|
B|-----------------------------------------------------------------|
G|-----0-3-0-------------0---------------0---1p0-------0-----------|
D|---1-------1-3-1-----1---1-3-1-------1---1-----1---1---1-3-0---0-|
A|-3---------------0-3-----------0---3-------------1-----------2---|
E|---------------------------------4-------------------------------|</t>
  </si>
  <si>
    <t>[Play 3x]
e|------------------------------|------------------------------|
B|------5---4h5---7-5---4h5---5-|------5---4h5---7-5---4h5---5-|
G|--------4-----4-----4---------|--------4-----4-----4---------|
D|--------------------------6---|--------------------------6---|
A|-4(4)-------------------------|-0(0)-------------------------|
E|------------------------------|------------------------------|
e|------------------------------|
B|------5---4h5---7-5---4h5---5-|
G|--------4-----4-----4---------|
D|--------------------------6---|
A|------------------------------|
E|-0(0)-------------------------|
[1st And 2nd Ending]
e|------------0-----------------------|
B|--------4-------4---------4-7p5-----|
G|------4---4---4---4-----5-------4---|
D|----------------------6-----------6-|
A|-2(2)---------------3---------------|
E|------------------------------------|
[3rd Ending]
E|------------0---------------0-------|
B|--------4-------4---------0---------|
G|------4---4---4---4-----6-----6-----|
D|----------------------7---------7---|
A|-2(2)---------------0-------------7-|
E|------------------------------------|</t>
  </si>
  <si>
    <t>eb|-----13-12-13-10-13-12-13---|-----13-12-13-10-13-12-13---|
Bb|--10------------------------|--10------------------------|
Gb|----------------------------|----------------------------|
Db|----------------------------|----------------------------|
Ab|----------------------------|----------------------------|
Eb|----------------------------|----------------------------|
eb|-----13-12-13-10-13-12-13---|-----13-12-13-10-13-12-13---|
Bb|--11------------------------|--11------------------------|
Gb|----------------------------|----------------------------|
Db|----------------------------|----------------------------|
Ab|----------------------------|----------------------------|
Eb|----------------------------|----------------------------|
eb|-----15-13-15-12-15-13-15---|-----15-13-15-12-15-13-15---|
Bb|--12------------------------|--12------------------------|
Gb|----------------------------|----------------------------|
Db|----------------------------|----------------------------|
Ab|----------------------------|----------------------------|
Eb|----------------------------|----------------------------|
eb|-----15-12-15-13-15-12-15---|-----15-12-15-13-15-12-15---|
Bb|--13------------------------|--13------------------------|
Gb|----------------------------|----------------------------|
Db|----------------------------|----------------------------|
Ab|----------------------------|----------------------------|
Eb|----------------------------|----------------------------|
eb|-----17-15-17----17-15-17---|-----17-15-17----17-15-17---|
Bb|--14----------17------------|--14----------17------------|
Gb|----------------------------|----------------------------|
Db|----------------------------|----------------------------|
Ab|----------------------------|----------------------------|
Eb|----------------------------|----------------------------|
eb|-----17-13-17----17-13-17---|-----17-13-17----17-13-17---|
Bb|--15----------17------------|--15----------17------------|
Gb|----------------------------|----------------------------|
Db|----------------------------|----------------------------|
Ab|----------------------------|----------------------------|
Eb|----------------------------|----------------------------|
eb|-----18-17-18----17-15-17---|-----15-14-15----15-14-15---|
Bb|--15----------14------------|--13----------12------------|
Gb|----------------------------|----------------------------|
Db|----------------------------|----------------------------|
Ab|----------------------------|----------------------------|
Eb|----------------------------|----------------------------|
eb|-----13-12-13----13-12-13---|-----12-10-12----12-10-12---|
Bb|--11----------10------------|--9-----------x-------------|
Gb|----------------------------|----------------------------|
Db|----------------------------|----------------------------|
Ab|----------------------------|----------------------------|
Eb|----------------------------|----------------------------|
eb|-----8--7--8-----7-----7----|-----7-----7----------------|
Bb|--10----------9-----10------|--8-----10-------10-8--10---|
Gb|----------------------------|--------------7-------------|
Db|----------------------------|----------------------------|
Ab|----------------------------|----------------------------|
Eb|----------------------------|----------------------------|
eb|-----5-----5----------------|
Bb|--6-----8--------8--7--8----|
Gb|--------------5-------------|
Db|----------------------------|
Ab|----------------------------|
Eb|----------------------------|</t>
  </si>
  <si>
    <t>eb|--------------------------|--------------------------|
Bb|--------------------------|-3p2p0--------------------|
Gb|--------------------------|-------2p0----------------|
Db|-----------------------2--|-----------2p0------------|
Ab|-------2p0-------2-----0--|---------------2p0-----2--|
Eb|-0-3h4-----0-3h4-0-3h4----|-------------------3h4-0--|
eb|--------------------------|---------------------||
Bb|--------------------------|---------------------||
Gb|--------------------------|-2-------------------||
Db|-----------------------2--|-0--2-(2)------------||
Ab|-------2p0-------2-----0--|----0-(0)-2-(2)------||
Eb|-0-3h4-----0-3h4-0-3h4----|----------------3----||</t>
  </si>
  <si>
    <t>eb|---------------------------------------------------------------------------|
Bb|---------------------------------------------------------------------------|
Gb|--------------------------5------------------------------------------------|
Db|------7-------5-------7---5---------7-------5-------7--------------7-------|
Ab|0-0-0---0-0-0---0-0-0---0-----0-0-0---0-0-0---0-0-0---0-3~---0-0-0---0-0-0-|
Eb|---------------------------------------------------------------------------|
eb|---------------------------------------------------------------------------|
Bb|--------------------5p0---------5p0----------------------------------------|
Gb|------------0-5p0-------7-5p0-------7-5p0---5p0----------------------------|
Db|5-------7---------7-----------7-----------7-----7-5p0---7-5-0----------7---|
Ab|--0-0-0---0-------------------------------------------7----------0-0-0---0-|
Eb|---------------------------------------------------------------------------|
eb|---------------------------------------------------------------------------|
Bb|---------------------------------------------------------------------------|
Gb|----------------5----------------------------------------------------------|
Db|----5-------7---5--------7-------5-------7-------------7-------5-------7---|
Ab|0-0---0-0-0---0----0-0-0---0-0-0---0-0-0---0-3~--0-0-0---0-0-0---0-0-0---0-|
Eb|---------------------------------------------------------------------------|
eb|---------------------------------------------------------------------------|
Bb|---------------------------------------------------------------------------|
Gb|-5/-----7-------5w//-----8p7p5-------------0-8p7p5---------------2---0-8p7p|
Db|-5/-----------5----------------7-7-5-5h7~----------7-7-5-5-0---------------|
Ab|----0-7-----5------------------------------------------------3-4-----------|
Eb|----------5----------------------------------------------------------------|</t>
  </si>
  <si>
    <t>e|------------------|------------------|
B|---9-----10-----7-|-----9-----10---7-|
G|---9------9-----8-|-----9------9---8-|
D|---9------9-----9-|-----9------9---9-|
A|-----7-7----7-7---|-7-7---7-7----7---|
E|------------------|------------------|
e|-------------------|-----------------------|
B|-----7-----8-----5-|-(5)-----0---(0)-------|
G|-----7-----7-----6-|-(6)---x---------------|
D|-----7-----7-----7-|-(7)-x-----------------|
A|-7s5---5-5---5-5---|-----------------------|
E|-------------------|-------------------0---|
e|--------------------|------------------|
B|-----9-----10-----7-|-----9-----10---7-|
G|-----9------9-----8-|-----9------9---8-|
D|-----9------9-----9-|-----9------9---9-|
A|-------7-7----7-7---|-7-7---7-7----7---|
E|-(0)----------------|------------------|
e|-------------------|--------------0-0--|
B|-----7-----8-----5-|-(5)----------5-5--|
G|-----7-----7-----6-|-(6)----------6-6--|
D|-----7-----7-----7-|-(7)----------6-6--|
A|-7s5---5-5---5-5---|--------------4-4--|
E|-------------------|-------------------|</t>
  </si>
  <si>
    <t>e|---------------------------------------------------------|
B|---------------------------------------------------------|
G|---------------------------------------------------------|
D|---------------------------------------------------------|
A|-X/--0^3^7-12^7^3^0^3^7-12-7-3-0-3-7-12-7-3-0-3-7-12-7-3-|
E|---------------------------------------------------------|
e|---------------------------------------------------|
B|---------------------------------------------------|
G|---------------------------------------------------|
D|---------------------------------------------------|
A|-0-5-9-12-9-5-0-5-9-12-9-5-0-5-9-12-9-5-0-5-9-12-9-|
E|---------------------------------------------------|
e|--------------------------------------------------------|
B|--------------------------------------------------------|
G|--------------------------------------------------------|
D|-12-0-3-7-12-7-3-0-3-7-12-7-3-0-3-7-12-7-3-0-3-7-12-7-3-|
A|--------------------------------------------------------|
E|--------------------------------------------------------|
e|---------------------------------------|
B|---------------------------------------|
G|---------------------------------------|
D|-0-5-9-12-9-5-0-5-9-12-9-5-0-5-9-12-9~-|
A|---------------------------------------|
E|---------------------------------------|
E|----------------------------------------------------------------------------|
B|----------------------------------------------------------------------------|
G|-12-3-7-12-7-3-0-3-7-12-7-3-0-5-9-12-9-5-0-5-9-12-9-5-0-3-7-12-7-3-0-3-7-12-|
D|----------------------------------------------------------------------------|
A|----------------------------------------------------------------------------|
E|----------------------------------------------------------------------------|
E|-----------------|
B|-----------------|
G|-7-3-0-5-9-12-9~-|
D|-----------------|
A|-----------------|
E|-----------------|</t>
  </si>
  <si>
    <t>e|--2-p0-----0--5-p0-----0--2-p0-----0--4p2p0-----0------------------|
B|--------3-----------3-----------3------------3---------------------|
G|-------------------------------------------------------------------| x8
D|-------------------------------------------------------------------|
A|-------------------------------------------------------------------|
E|-------------------------------------------------------------------|
e|--2-p0-----0--5-p0----|
B|--------3-----------3-|
G|----------------------|
D|----------------------|
A|----------------------|
E|----------------------|</t>
  </si>
  <si>
    <t>Eb|-------------------------------------------------------------|
Bb|-------------------------------------------------------------|
Gb|-------------------------------------------------------------|
Db|-------------------------------------------------------------|
Ab|------------3-5-----------5-6------------3-5-6-5---9-8-------|
Db|-0-0--0-5-6------0--0-5-6-----0-0--0-5-6---------6-----8-3-5-|
Eb|-------------------------------------------------------------|
Bb|-------------------------------------------------------------|
Gb|-------------------------------------------------------------|
Db|-------------------------------------------------------------|
Ab|------------3-5-----------5-6------------3-5-6-5-------------|
Db|-0-0--0-5-6------0--0-5-6-----0-0--0-5-6---------6-3-5-0-3-5-|</t>
  </si>
  <si>
    <t>D|------------------------------------------------------------------------------|
A|------------------------------------------------------------------------------|
F|------------------------------------------------------------------------------|
C|-5/7-----7---10----7----8----85/7---10---7---8---8-8-8------------------------|
G|-3/5-----5---8-----5----6----63/5---8----5---6---6-6-6------------------------|
C|-----0-0---0----00---00---00------0----0---0---0------------------------------|
D|------------------------------------------------------------------------------|
A|------------------------------------------------------------------------------|
F|------------------------------------------------------------------------------|
C|-5/7-----7---10----7----8----85/7---10---7------------------------------------|
G|-3/5-----5---8-----5----6----63/5---8----5------------------------------------|
C|-----0-0---0----00---00---00------0----0---7-7-7-10-7-------------------------|</t>
  </si>
  <si>
    <t>eb|----------0--------------0--------------0--------------0--------|
Bb|-----------17-------------17-------------17-------------17------|
Gb|-----19------19-----19------19------19-----19------19-----19----|
Db|---16--16------0--16--16------0---16--16-----16--16--16-----0---|
Ab|-17-------------16----------------------------------------------|
Eb|--------------------------------15-------------15---------------|</t>
  </si>
  <si>
    <t>e|----------------|------12+~ -----------------------------|
B|--14~ ----12~ --|------12+~ -----------------------------|
G|--13~ ----13~ --|-----------------------------11p9-------|
D|--13~ ----11~ --|--------------------------9-------9h11--|
A|----------------|------------------7--9/11---------------|
E|----------------|--0------------/9-----------------------|
e|--------------------------------|------------------------------------|
B|-----14~ ---12------------------|-------5~ ----x0--------------------|
G|-----13~ -------11h13~ ---11----|-------6~ ----x0---------------9h11-|
D|-----13~ --------------------14-|-------4~ ------------------9-------|
A|-----11~ -----------------------|-0---0--------------7--9/11---------|
E|--0-----------------------------|-----------------/9-----------------|
e|-----------------|--------------------------------|------------------|
B|-----------------|-----14~ ---12------------------|-------5~ ---x0---|
G|--9--9-----9-----|-----13~ -------11h13~ ---11----|-------6~ ---x0---|
D|-----9h11--9h11--|-----13~ --------------------14-|-------4~ --------|
A|-----------------|-----11~ -----------------------|-0---0------------|
E|-----------------|--0-----------------------------|------------------|
e|-------------------------------|-------------------------------|
B|-------------------------------|-----14~ ---12-----------------|
G|---------------11p9------------|-----13~ -------11h13~ --11----|
D|-------------9------11------9--|-----13~ -------------------14-|
A|-----7--9/11-----------9h11----|-----11~ ----------------------|
E|--/9---------------------------|--0----------------------------|
e|----------------------------------------------|----12----------------|
B|---------5~ ---5~ ----------------------------|----12----14~ ---12---|
G|---------6~ ---6~ ------------------9h11p9----|----------13~ --------|
D|---------4~ ---4~ -------------9-11--------11-|----------13~ --------|
A|--0--0-----------------7--9/11----------------|----------11~ --------|
E|-------------------0-9------------------------|-0-----0--------------|
e|------------------|------------------------------------|-------------|
B|------------------|-------5~ ---5/------5~-------6~ ---|---------7~ -|
G|--11h13~ ---11----|-------6~ ---6/--------6~ -/7---7~ -|-/8----------|
D|---------------14-|-------4~ --------------------------|-----6-------|
A|------------------|-0---0------------------------------|-------------|
E|------------------|-----------------/5--------/6-------|-/7----7-----|
e|--------------------|--------------------------------------|
B|-----7~ -----x------|------------10~ ---10~ -------10------|
G|--------8~ ----8----|------------11~ ------11~ --------11\--|
D|-----------------6--|---/9--9------------------------------|
A|--------------------|--------------------------------------|
E|--7-----------------|--/10----10-----10--------------------|
e|------------------------------|-------------------------------------|
B|----------3~ ---3------3------|-----------6~ -----5~ ---x0----------|
G|----------------4-4~ ----4----|-------------7~ ---6~ ---x0----------|
D|-----2---------------------2--|--/5--5------------4~ ---------------|
A|------------------------------|-------------------------------7-7h9-|
E|--3----3----------------------|--/6----6----------5--------/9-------|</t>
  </si>
  <si>
    <t>E|--5-| |-----------|-----------|-----------|-----------|
B|--5-| |-5p0-0-----|-5p0-0-----|-5p0-0-----|-7p0-0-5---|
G|--6-| |-5p0-0-6-6-|-5p0-0-6-6-|-5p0-0-6-6-|-7p0-0-5---|
D|--7-| |-5p0-0-7-7-|-5p0-0-7-7-|-5p0-0-7-7-|-7p0-0-5-5-| 
A|--7-| |-------7-7-|-------7-7-|-------7-7-|---------5-|
E|--5-| |-----------|-----------|-----------|-----------|</t>
  </si>
  <si>
    <t>B |-----------------------------------------------------|
F#|-----------------------------------------------------|
D |-----------------------------------------------------|
A |-------------6----------------------------6----------|
E |-----------------------------------------------------|
A |-0--0--0-0-0-----0--3h5-0-0-0-0-0-0-0-0-0-----0--3h5-|
B |---------------------------------------------------------|
F#|---------------------------------------------------------|
D |---------------------------------------------------------|
A |----------6----------------------------------------------|
E |---------------------------------------------------------|
A |-0--0-0-0-----0--3h5-0-0-5-5-5-5-6-6-6-6-8-8-8-8-7-7-7-7-|
B |-----------------------------------------------------------------|
F#|-----------------------------------------------------------------|
D |-----------------------------------------------------------------|
A |-----------------------------------------------------------------|
E |-----------------------------------------------------------------|
A |-5-5-5-5-6-6-6-6-8-8-8-8-7-7-7-7-5-5-5-5-6-6-6-6-8-8-8-8-7-7-7-7-|
B |--------------------------|
F#|--------------------------|
D |--------------------------|
A |--------------------------|
E |--------------------------|
A |-5555555566668888-6v--5-6-|</t>
  </si>
  <si>
    <t>E|------------|--------------------------------------------------------|
B|------------|--------------------------------------------------------|
G|------------|--------------------------------------------------------|
D|------------|--------------------------------------------------------|
A|------------|--------------------------------------------------------|
D|------------|-19-19S18-18S17-17S16-16-15S14S13S12S11S10S9S8S7S6S5S4--|
E|-----------------------------------||---------------------------------|
B|----------------------------------o||---------------------------------|
G|-----------------------------------||---------------------------------|
D|-----------------------------------||---------------------------------|
A|------8-------7-----8---------6---o||-----8-------7-----8---------6---|
D|--0-6---0-0-6---0-6---0-0-6-8---0--||-0-6---0-0-6---0-6---0-0-6-8---0-|
E|----------------------------------|----------------------------------|
B|o---------------------------------|---------------------------------o|
G|----------------------------------|----------------------------------|
D|--0-6-8-6-0-5-6-5-0-6-8-6-3-5-6-5-|-0-6-8-6-0-5-6-5-0-6-8-6-3-5-6-5--|
A|o-0-6-8-6-0-5-6-5-0-6-8-6-3-5-6-5-|-0-6-8-6-0-5-6-5-0-6-8-6-3-5-6-5-o|
D|--0-6-8-6-0-5-6-5-0-6-8-6-3-5-6-5-|-0-6-8-6-0-5-6-5-0-6-8-6-3-5-6-5--|</t>
  </si>
  <si>
    <t>D|------------------------------------------------------------|
A|------------------------------------------------------------|
F|---555555555555/777777777777/444444444444/222222222222------|
C|---777777777777/999999999999/555555555555/333333333333------|
G|---000000000000-000000000000-000000000000-000000000000------|
C|------------------------------------------------------------|
D|------------------------------------------------------------|
A|------------------------------------------------------------|
F|---5-5-5--7-7-7--4-4-4--2-2-2-------------------------------|
C|----7-7-7--9-9-9--5-5-5--3-3-3------------------------------|
G|------------------------------------------------------------|
C|------------------------------------------------------------|
D|---55555555-77777777-44444444-99999999----------------------|
A|------------------------------------------------------------|
F|------------------------------------------------------------|
C|------------------------------------------------------------|
G|------------------------------------------------------------|
C|------------------------------------------------------------|
D|------------------------------------------------------------|
A|------------------------------------------------------------|
F|------------------------------------------------------------|
C|-------55555555-44444444-77777777-99889988------------------|x2
G|-------55555555-44444444-77777777-99889988------------------|
C|-------55555555-44444444-77777777-99889988------------------|
D|------------------------------------------------------------|
A|------------------------------------------------------------|
F|------------------------------------------------------------|
C|------------------------------------------------------------|x2
G|-------55555555-44444444-77777777-1010101010101010----------|
C|-------55555555-44444444-77777777-1010101010101010----------|</t>
  </si>
  <si>
    <t>e|----------------------|--------------------------|
B|----------------------|--------------------------|
G|----------------------|--------------------------|
D|----------------------|------------------5-------|
A|------7-5-7-5---8-5---|------7-5-7-5---8---7-----|
E|--0-5---------6-----6-|--0-5---------6-------8-6-|
e|----------------------|--------------------------------|
B|----------------------|--------------------------------|
G|----------------------|--------------------------------|
D|----------------------|------------------5-------------|
A|------7-5-7-5---8-5---|------7-5-7-5---8---7-----3-2---|
E|--0-5---------6-----6-|--0-5---------6-------8-6-----1-|
e|----------------------|--------------------------|----------------------|
B|----------------------|--------------------------|----------------------|
G|----------------------|--------------------------|----------------------|
D|----------------------|------------------5-------|----------------------|
A|------7-5-7-5---8-5---|------7-5-7-5---8---7-----|------7-5-7-5---8-5---|
E|--0-5---------6-----6-|--0-5---------6-------8-6-|--0-5---------6-----6-|
e|------------------------------------|
B|------------------------------------|
G|------------------------------------|
D|------------------5-----------------|
A|------7-5-7-5---8---7-----3-5-2-----|
E|--0-5---------6-------8-6-------3-1-|
e|----------------------|--------------------------|
B|----------------------|--------------------------|
G|----------------------|--------------------------|
D|----------------------|--------------------------|
A|------2-0-2-0---3-2---|------2-0-2-0---3-5-2-----|
E|--0-1---------1-----1-|--0-1---------1-------3-1-|
e|----------------------|--------------------------------|
B|----------------------|--------------------------------|
G|----------------------|--------------------------------|
D|----------------------|--------------------------------|
A|------2-0-2-0---3-2---|------2-0-2-0---3-5-2-----2-----|
E|--0-1---------1-----1-|--0-1---------1-------3-1---3-1-|
e|----------------------|--------------------------|
B|----------------------|--------------------------|
G|----------------------|--------------------------|
D|----------------------|--------------------------|
A|------2-0-2-0---3-2---|------2-0-2-0---3-5-2-----|
E|--0-1---------1-----1-|--0-1---------1-------3-1-|
e|----------------------|----------------------------------|
B|----------------------|----------------------------------|
G|----------------------|----------------------------------|
D|----------------------|----------------------------------|
A|------2-0-2-0---3-2---|------2-0-2-0-----3-5-2-----2-----|
E|--0-1---------1-----1-|--0-1---------1-0-------3-1---3-1-|</t>
  </si>
  <si>
    <t>e|--9--9--7-7--10--9---7--7/9-----12-12---------9-----------|
B|-10-10--9-9--10--10--9--9/10-10-------------9----12-------|
G|--------------------------------------11--9---------------|
D|----------------------------------------------------------|
A|----------------------------------------------------------|
E|----------------------------------------------------------|
e|--------------9--------------------------------------------------|
B|--------10---------10--12--------10-------10/12-12-12-12---------|
G|--11-11----11---11--------11--11----11-11-11/13-13-13-13---------| 
D|-----------------------------------------------------------------| 
A|-----------------------------------------------------------------| 
E|-----------------------------------------------------------------|
e|-7/9---9--9-7-7-10-9--7-7/9-----12--12--12------------|
B|-9/10-10-10-9-9-10-10-9-9/10-10-----------------------|
G|-------------------------------------11---------------|
D|------------------------------------------------------|
A|------------------------------------------------------|
E|------------------------------------------------------|</t>
  </si>
  <si>
    <t>e|-------------------|--11-11-11-11-8-8-11-11-11-11-8-8-11-11-8-8-|
B|-------------------|--------------------------------------------|
G|-------------------|--------------------------------------------|
D|-------------------|--------------------------------------------|
A|-------------------|--------------------------------------------|
E|-------------------|--------------------------------------------|
e|--11-11-11-11-8-8-11-11-11-11-8-8-11-11-8-8-|
B|--------------------------------------------|
G|--------------------------------------------|
D|--------------------------------------------|
A|--------------------------------------------|
E|--------------------------------------------|
e|--15-15-15-15-11-11-15-15-15-15-11-11-15-15-11-11-|
B|--------------------------------------------------|
G|--------------------------------------------------|
D|--------------------------------------------------|
A|--------------------------------------------------|
E|--------------------------------------------------|
e|--15-15-15-15-11-11-15-15-15-15-11-11-15-15-11-11-|
B|--------------------------------------------------|
G|--------------------------------------------------|
D|--------------------------------------------------|
A|--------------------------------------------------|
E|--------------------------------------------------|
e|--13-13-13-13-8-8-13-13-13-13-8-8-13-13-8-8-|
B|--------------------------------------------|
G|--------------------------------------------|
D|--------------------------------------------|
A|--------------------------------------------|
E|--------------------------------------------|
e|--13-13-13-13-8-8-13-13-13-13-8-8-13-13-8-8-|
B|--------------------------------------------|
G|--------------------------------------------|
D|--------------------------------------------|
A|--------------------------------------------|
E|--------------------------------------------|
e|--11-11-11-11-8-8-11-11-11-11-8-8-11-11-8-8-|
B|--------------------------------------------|
G|--------------------------------------------|
D|--------------------------------------------|
A|--------------------------------------------|
E|--------------------------------------------|
e|--8-10-11-13-10-11-13-15-/11--/13--/15~----|
B|-------------------------------------------|
G|-------------------------------------------|
D|-------------------------------------------|
A|-------------------------------------------|
E|-------------------------------------------|</t>
  </si>
  <si>
    <t>E|---------------|---------------|----------------|----------------|
B|---------------|---------------|----------------|----------------|
G|---------------|---------------|----------------|----------------|
D|-4h7h12p0-[x8]-|-5h8h12p0-[x8]-|-8h11h12p0-[x8]-|-7h10h12p0-[x8]-|
A|---------------|---------------|----------------|----------------|
D|---------------|---------------|----------------|----------------|
E|---------------|---------------|------------------|
B|---------------|---------------|------------------|
G|-3h7h12p0-[x8]-|-5h8h12p0-[x8]-|-6h9h12p0-[x8]--/-|
D|---------------|---------------|------------------|
A|---------------|---------------|------------------|
D|---------------|---------------|------------------|
e|-------------------------|--------------------|
B|-------------------------|--------------------|
G|-------------------------|--------------------|
D|-------------------------|---------------5--6-|
A|---5-3-0-3p0---------5---|-5-3-0-3p0-----3--4-|
D|-0-----------5-3-0-0---0-|-----------3p0------|
e|-------------------------|--------------------|
B|-------------------------|--------------------|
G|-------------------------|--------------------|
D|-------------------------|---------------3--4-|
A|---5-3-0-3p0---------5---|-5-3-0-3p0-----3--4-|
D|-0-----------5-3-0-0---0-|-----------3p0-3--4-|</t>
  </si>
  <si>
    <t>e|----------------|-----------------|
B|----------------|-----------------|
G|----------------|-----------------|
D|----------------|-----7-----8--7--|
A|--8-----10------|--5-----6---6----|
E|----10------8---|-----------------|</t>
  </si>
  <si>
    <t>eb|-----4-4-x-0---------------5-5-----------|
Bb|-4h5-5-5-x-0-------0-------5-5-----------|
Gb|-4---4-4-x-5------5--5/-6--6-6--1------9-|
Db|-4h6-6-6-x-6-----6---6/-7--7-7--2------9-|
Ab|-4-------x-6--6------6/-7-------2-9h11---|
Eb|---------x-4----4----4/-5-------0--------|</t>
  </si>
  <si>
    <t>e|-----|-------------------------|-----------------|-------------------------|
B|-----|-------------------------|-----------------|-------------------------|
G|-----|-------------------------|-----------------|-------------------------|
D|-----|-------------------------|-----------------|-------------------------|
A|-5h6h|=7-----------------------|-2-------(2)-5h6h|=7-----------------------|
E|-----|---5h6h7-7p6p5-5p4p3-3-3-|-0-------(0)-----|---5h6h7-7p6p5-5p4p3-3-3-|
e|-----------------|-------------------------|
B|-----------------|-------------------------|
G|-----------------|-------------------------|
D|-----------------|---------------------2h3h|
A|-4-------(4)-5h6h|=7-----------------------|
E|-2-------(2)-----|---5h6h7-7p6p5-5p4p3-----|
e|-------------------------|---------------------------|
B|-------------------------|---------------------------|
G|-------------------------|---------------------------|
D|-4-----------------------|---------------------------|
A|---2h3h4-4p3p2-2p1p0-5h6h|=7-------------------------|
E|-------------------------|---5h6h7-7p6p5-5p4p3-3-3---|</t>
  </si>
  <si>
    <t>Battery</t>
  </si>
  <si>
    <t>Fuel</t>
  </si>
  <si>
    <t>Jailbreak</t>
  </si>
  <si>
    <t>Giving The Dog A Bone</t>
  </si>
  <si>
    <t>Dumb</t>
  </si>
  <si>
    <t>Lithium</t>
  </si>
  <si>
    <t>Wonderwall</t>
  </si>
  <si>
    <t>Supersonic</t>
  </si>
  <si>
    <t>Oasis</t>
  </si>
  <si>
    <t>Don't</t>
  </si>
  <si>
    <t>Ed Sheeran</t>
  </si>
  <si>
    <t>Toxicity</t>
  </si>
  <si>
    <t>Hangar 18</t>
  </si>
  <si>
    <t>Mastermind</t>
  </si>
  <si>
    <t>The Beautiful People</t>
  </si>
  <si>
    <t>Marilyn Manson</t>
  </si>
  <si>
    <t>Chasing Cars</t>
  </si>
  <si>
    <t>Snow Patrol</t>
  </si>
  <si>
    <t>Scream</t>
  </si>
  <si>
    <t>Gravity</t>
  </si>
  <si>
    <t>Neon</t>
  </si>
  <si>
    <t>John Mayer</t>
  </si>
  <si>
    <t>Once</t>
  </si>
  <si>
    <t>Go</t>
  </si>
  <si>
    <t>Daughter</t>
  </si>
  <si>
    <t>Rearviewmirror</t>
  </si>
  <si>
    <t>By Demons Be Driven</t>
  </si>
  <si>
    <t>Brown Eyed Girl</t>
  </si>
  <si>
    <t>Van Morrison</t>
  </si>
  <si>
    <t>Hammer To Fall</t>
  </si>
  <si>
    <t>Again</t>
  </si>
  <si>
    <t>It Aint Like That</t>
  </si>
  <si>
    <t>Put You Down</t>
  </si>
  <si>
    <t>Lab Monkey</t>
  </si>
  <si>
    <t>Sunshine</t>
  </si>
  <si>
    <t>Black Diamond</t>
  </si>
  <si>
    <t>Strutter</t>
  </si>
  <si>
    <t>Testify</t>
  </si>
  <si>
    <t>The Wanton Song</t>
  </si>
  <si>
    <t>The Immigrant Song</t>
  </si>
  <si>
    <t>Harvester Of Sorrow</t>
  </si>
  <si>
    <t>...And Justice For All</t>
  </si>
  <si>
    <t>The Four Horsemen</t>
  </si>
  <si>
    <t>That Was Just Your Life</t>
  </si>
  <si>
    <t>The Judas Kiss</t>
  </si>
  <si>
    <t>King Nothing</t>
  </si>
  <si>
    <t>For Whom The Bell Tolls</t>
  </si>
  <si>
    <t>Sad But True</t>
  </si>
  <si>
    <t>Have A Drink On Me</t>
  </si>
  <si>
    <t>Flick Of The Switch</t>
  </si>
  <si>
    <t>The Furor</t>
  </si>
  <si>
    <t>Stand Up</t>
  </si>
  <si>
    <t>The Razors Edge</t>
  </si>
  <si>
    <t>Let There Be Rock</t>
  </si>
  <si>
    <t>Gimme A Bullet</t>
  </si>
  <si>
    <t>Beating Around The Bush</t>
  </si>
  <si>
    <t>All Apologies</t>
  </si>
  <si>
    <t>Heart Shaped Box</t>
  </si>
  <si>
    <t>In Bloom</t>
  </si>
  <si>
    <t>Cigarettes and Alcohol</t>
  </si>
  <si>
    <t>Dont Look Back In Anger</t>
  </si>
  <si>
    <t>Shape Of You</t>
  </si>
  <si>
    <t>Thinking Out Loud</t>
  </si>
  <si>
    <t>Points of Authority</t>
  </si>
  <si>
    <t>Don't Stay</t>
  </si>
  <si>
    <t>Lying From You</t>
  </si>
  <si>
    <t>What I've Done</t>
  </si>
  <si>
    <t>New Divide</t>
  </si>
  <si>
    <t>BYOB</t>
  </si>
  <si>
    <t>Welcome To The Family</t>
  </si>
  <si>
    <t>Almost Easy</t>
  </si>
  <si>
    <t>City Love</t>
  </si>
  <si>
    <t>I Don't Need No Doctor</t>
  </si>
  <si>
    <t>Who Did You Think I Was</t>
  </si>
  <si>
    <t>Slow Dancing In A Burning Room</t>
  </si>
  <si>
    <t>Hello Operator</t>
  </si>
  <si>
    <t>Ball and Biscuit</t>
  </si>
  <si>
    <t>Blue Orchid</t>
  </si>
  <si>
    <t>Better Man</t>
  </si>
  <si>
    <t>When The Sun Goes Down</t>
  </si>
  <si>
    <t>Fake Tales Of San Francisco</t>
  </si>
  <si>
    <t>Knee Socks</t>
  </si>
  <si>
    <t>Lesson Learned</t>
  </si>
  <si>
    <t>Dirt</t>
  </si>
  <si>
    <t>Firehouse</t>
  </si>
  <si>
    <t>Pop</t>
  </si>
  <si>
    <t>Buddy Holly</t>
  </si>
  <si>
    <t>Words of Love</t>
  </si>
  <si>
    <t>Gimme Shelter</t>
  </si>
  <si>
    <t>Bohemian Rhapsody</t>
  </si>
  <si>
    <t>Jet</t>
  </si>
  <si>
    <t>Are You Gonna Be My Girl</t>
  </si>
  <si>
    <t>Reptilia</t>
  </si>
  <si>
    <t>The Strokes</t>
  </si>
  <si>
    <t>Franz Ferdinand</t>
  </si>
  <si>
    <t>Take Me Out</t>
  </si>
  <si>
    <t>Some Kind of Monster</t>
  </si>
  <si>
    <t>Rock N Roll Train</t>
  </si>
  <si>
    <t>T.N.T</t>
  </si>
  <si>
    <t>Dbm</t>
  </si>
  <si>
    <t>Bb</t>
  </si>
  <si>
    <t>We Will Rock You</t>
  </si>
  <si>
    <t>I Know Somethin (Bout You)</t>
  </si>
  <si>
    <t>The House Is Rockin'</t>
  </si>
  <si>
    <t>UfmkgQRmmeE</t>
  </si>
  <si>
    <t>4fQhin4vQAc</t>
  </si>
  <si>
    <t>ff7bExGGk5I</t>
  </si>
  <si>
    <t>1kLMU5xi-PU</t>
  </si>
  <si>
    <t>UPnicm3iYV8</t>
  </si>
  <si>
    <t>pxg-re3woo0</t>
  </si>
  <si>
    <t>cYpqoOMNU9Y</t>
  </si>
  <si>
    <t>tRJxnxVu3C8</t>
  </si>
  <si>
    <t>jruKMJn2WgQ</t>
  </si>
  <si>
    <t>lyodOpUxgHA</t>
  </si>
  <si>
    <t>qdlQyNe_9tE</t>
  </si>
  <si>
    <t>o-Z_7YXJRtU</t>
  </si>
  <si>
    <t>A8MO7fkZc5o</t>
  </si>
  <si>
    <t>RHpClGAAvpg</t>
  </si>
  <si>
    <t>D_IrXsEHZxM</t>
  </si>
  <si>
    <t>DWKcJwuZnzE</t>
  </si>
  <si>
    <t>_IwnzT4J_hM</t>
  </si>
  <si>
    <t>l_lEqxF771Y</t>
  </si>
  <si>
    <t>gn8BJvPaMFE</t>
  </si>
  <si>
    <t>44XYEeD1A1U</t>
  </si>
  <si>
    <t>3f2g4RMfhS0</t>
  </si>
  <si>
    <t>mybLzpJPnKY</t>
  </si>
  <si>
    <t>V3oQvkl0tg4</t>
  </si>
  <si>
    <t>WHtWs4wiFCs</t>
  </si>
  <si>
    <t>1hLWO_l5yCQ</t>
  </si>
  <si>
    <t>aWmkuH1k7uA</t>
  </si>
  <si>
    <t>n6P0SitRwy8</t>
  </si>
  <si>
    <t>peclQi67KS8</t>
  </si>
  <si>
    <t>pkcJEvMcnEg</t>
  </si>
  <si>
    <t>PbgKEjNBHqM</t>
  </si>
  <si>
    <t>UJDK8X5K9mw</t>
  </si>
  <si>
    <t>bx1Bh8ZvH84</t>
  </si>
  <si>
    <t>r8OipmKFDeM</t>
  </si>
  <si>
    <t>BJKpUH2kJQg</t>
  </si>
  <si>
    <t>JGwWNGJdvx8</t>
  </si>
  <si>
    <t>lp-EO5I60KA</t>
  </si>
  <si>
    <t>3TqGEbROFd4</t>
  </si>
  <si>
    <t>jZSPAp8kCl4</t>
  </si>
  <si>
    <t>oWfGOVWrueo</t>
  </si>
  <si>
    <t>NjdgcHdzvac</t>
  </si>
  <si>
    <t>8sgycukafqQ</t>
  </si>
  <si>
    <t>ysSxxIqKNN0</t>
  </si>
  <si>
    <t>iywaBOMvYLI</t>
  </si>
  <si>
    <t>zUzd9KyIDrM</t>
  </si>
  <si>
    <t>B-oU2xlViRQ</t>
  </si>
  <si>
    <t>YlWq6WXIv7M</t>
  </si>
  <si>
    <t>Peace Sells...But Who's Buying?</t>
  </si>
  <si>
    <t>c6Q7f8usl2I</t>
  </si>
  <si>
    <t>Ypkv0HeUvTc</t>
  </si>
  <si>
    <t>GemKqzILV4w</t>
  </si>
  <si>
    <t>IjOJyvNTWtg</t>
  </si>
  <si>
    <t>Fi_GN1pHCVc</t>
  </si>
  <si>
    <t>tj1sYEciOyQ</t>
  </si>
  <si>
    <t>uJorl7V3uNk</t>
  </si>
  <si>
    <t>owFFVQYW1p8</t>
  </si>
  <si>
    <t>p4R-RrSbQ-Y</t>
  </si>
  <si>
    <t>hc9VXLtgw5g</t>
  </si>
  <si>
    <t>YfLkO3uwBlQ</t>
  </si>
  <si>
    <t>p5XtkwlSIGI</t>
  </si>
  <si>
    <t>npVqImkgV84</t>
  </si>
  <si>
    <t>jW8UlrtcEac</t>
  </si>
  <si>
    <t>sTXuPydruvk</t>
  </si>
  <si>
    <t>JqYIwJDsinM</t>
  </si>
  <si>
    <t>URDNO-SovD4</t>
  </si>
  <si>
    <t>RiqgTPmkfek</t>
  </si>
  <si>
    <t>nLsnJAj5cms</t>
  </si>
  <si>
    <t>hbpUfWz-rlc</t>
  </si>
  <si>
    <t>EqkBRVukQmE</t>
  </si>
  <si>
    <t>b70Crpl2s2U</t>
  </si>
  <si>
    <t>R7A1mIdiheE</t>
  </si>
  <si>
    <t>XjND4wZ9KYk</t>
  </si>
  <si>
    <t>JU5LMG3WFBw</t>
  </si>
  <si>
    <t>fJ9rUzIMcZQ</t>
  </si>
  <si>
    <t>-tJYN-eG1zk</t>
  </si>
  <si>
    <t>9sH7D8UmMKI</t>
  </si>
  <si>
    <t>__biilMpnmw</t>
  </si>
  <si>
    <t>gdLwuTpXmHE</t>
  </si>
  <si>
    <t>_pIGZOq80Lo</t>
  </si>
  <si>
    <t>Ia2X5x5cPJs</t>
  </si>
  <si>
    <t>7PWkN9viNxA</t>
  </si>
  <si>
    <t>eymMR60AazU</t>
  </si>
  <si>
    <t>0I2xyajzxnU</t>
  </si>
  <si>
    <t>y0nNZ5wAWZE</t>
  </si>
  <si>
    <t>IbiFkS4XwG8</t>
  </si>
  <si>
    <t>JO3K3dqaQQs</t>
  </si>
  <si>
    <t>Wtij9_fLhKA</t>
  </si>
  <si>
    <t>-G84P5K-W1c</t>
  </si>
  <si>
    <t>-DnVYcVIqwk</t>
  </si>
  <si>
    <t>RlNhD0oS5pk</t>
  </si>
  <si>
    <t>ZcuojSU_hOY</t>
  </si>
  <si>
    <t>RbmS3tQJ7Os</t>
  </si>
  <si>
    <t>tuK6n2Lkza0</t>
  </si>
  <si>
    <t>b8-tXG8KrWs</t>
  </si>
  <si>
    <t>Ijk4j-r7qPA</t>
  </si>
  <si>
    <t>Welcome Home (Sanitarium)</t>
  </si>
  <si>
    <t>e|----------------|------------------|------------|
B|----------------|------------------|------------|
G|------0-------0-|------0-----------|------------|
D|----4-------5---|----7-------0-----|--0-----0---|
A|--2-------3-----|--5-------4-------|2-----------|
E|0-------0-------|0-------5-----5s3-|----3s5-----|</t>
  </si>
  <si>
    <t>https://tabs.ultimate-guitar.com/tab/metallica/welcome_home_sanitarium_tabs_75014</t>
  </si>
  <si>
    <t>e|----------------------|------------------------|
B|----------------------|------------------------|
G|----------------------|------------------------|
D|------------4-3-2-----|-2------------4-3-2-----|
A|------5-4-2-2-1-0-5-4-|-2------5-4-2-2-1-0-5-4-|
E|------3-2-0-------3-2-|-0------3-2-0-------3-2-|
e|-------------------------|---------------------------|
B|-------------------------|---------------------------|
G|o----------------0-------|---------------------------|
D|o-------3--2-------3--2--|--------3--0------0-----0--|
A|-----2---------2---------|-----2----------0----------|
E|--0----------------------|--0-----------3------1-----|</t>
  </si>
  <si>
    <t>https://tabs.ultimate-guitar.com/tab/metallica/harvester_of_sorrow_tabs_53538</t>
  </si>
  <si>
    <t>e|-------------------------------------------------------------------------|
B|-------------------------------------------------------------------------|
G|---------------------------------------------------------------------2---|
D|-6-7-9----7-6h7p6-4-5-5-4-7-4-2-3-5----3-2h3p2-0-2-2-0-2-0-0-2-2-0-2---3-|
A|-7-----7-(7)------5-----5---5-3-----3-(3)------2-----2---2-1-----1-------|
E|-0-----------------------------------------------------------------------|</t>
  </si>
  <si>
    <t>https://tabs.ultimate-guitar.com/tab/metallica/and_justice_for_all_tabs_202703</t>
  </si>
  <si>
    <t>e|-------------||-----------------|-----------------|-----------------|
B|-5-----------||-----------------|-----------------|-----------------|
G|-5-----7--5--||-----------------|-----------------|-----------------|
D|-5--5--7--5--||-----------------|-----------------|-----------------|
A|-3--5--5--3--||-7-5-7-5-7-5-7-5-|-7-5-7-5-7-5-5-5-|-7-5-7-5-7-5-7-5-|
E|----3--------||-0---0---0---0---|-0---0---0---7---|-0---0---0---0---|
e|------------------|-----------------|-----------------|-------------|
B|------------------|-----------------|-----------------|-------------|
G|------------------|-----------------|-----------------|-------------|
D|------------------|-----------------|-----------------|-5-----7--5--|
A|---5--7---7p5-----|-7-5-7-5-7-5-5-5-|-7-5-7-5-7-5-5-5-|-3--5--5--3--|
E|-7------------7p5-|-0---0---0---7---|-0---0---0---7---|-3--3--------|</t>
  </si>
  <si>
    <t>https://tabs.ultimate-guitar.com/tab/metallica/the_four_horsemen_tabs_161530</t>
  </si>
  <si>
    <t>e|-------------------------------------------------------------------------|
B|-------------------------------------------------------------------------|
G|-------------0-------------------------------------0---------------------|
D|----------2--------2------------3--------------2--------2------------3---|
A|-----1----------------------1------------1----------------------1--------|
E|--0----------------------0------------0----------------------0-----------| (x4)
e|---------------------------------------------------------------------|
B|---------------------------------------------------------------------|
G|---------------------------------------------------------------------|
D|--2------------------2---2---3--------2------------------2---2---3---|
A|--2----2-2--2--2-----2---1---3--------2----2-2--2--2-----2---1---3---|
E|--0----0-0--0--0-----0---0---1--------0----0-0--0--0-----0---0---1---|
e|---------------------------------------------------------------------|
B|---------------------------------------------------------------------|
G|---------------------------------------------------------------------|
D|--2------------------2---2---3--------2------------------2---2---3---|
A|--2----2-2--2--2-----2---1---3--------2----2-2--2--2-----2---1---3---|
E|--0----0-0--0--0-----0---0---1--------0----0-0--0--0-----0---0---1---|
e|------|------------------------------------------|
B|------|------------------------------------------|  
G|------|*----------------------------------------*|
D|--2~--|*-----------------------------------2~---*|
A|--2~--|------7~-------8-8-8-8--3--3--3---5-2~----|
E|--0~--|--/6~----6~~---6-6-6-6--1--1--1---3-0~----|
e|-------------------------------------------------------------------------|
B|-------------------------------------------------------------------------|
G|-------------------------------------------------------------------------|
D|-------------------------------------------------------------------------|
A|-----------7-----------------7-----------------7-------------------------|
E|--000--5-6---6-5-6--000--5-6---6-5-6--000--5-6---6-5-6---5-3-5-6-5-3-2-1-|</t>
  </si>
  <si>
    <t>https://tabs.ultimate-guitar.com/tab/metallica/that_was_just_your_life_tabs_742158</t>
  </si>
  <si>
    <t>E|--------------------------|--------------------------------|
B|--------------------------|--------------------------------|
G|--------------------------|--------------------------------|
D|-11------11---------------|-11------11---------------------|
A|-9---11--9---10-----------|-9---11--9---10--10--10--10--10-|
E|-----9-------8--8-888-888-|-----9-------8---8---8---8---8--|
E|----------------x--|
B|----------------x--|
G|----------------x--|
D|-11------11-----x--|
A|-9---11--9---10----|
E|-----9-------8-----|</t>
  </si>
  <si>
    <t>https://tabs.ultimate-guitar.com/tab/metallica/the_judas_kiss_tabs_728659</t>
  </si>
  <si>
    <t>e|----------------------|-----------------|
B|----------------------|-----------------|
G|----------------------|-------^0-(0)----|
D|-^3--2--(2)-^2-(2)----|-^2--0-^0-(0)----|
A|-^2-(2)-(2)-^0-(0)----|-^0----^5-(5)----|
E|-^0-(0)-(0)-^1-(1)----|-^2----^3-(3)----|
e|--------------------------------|---------------------------|
B|--------------------------------|---------------------------|
G|------------4-5---------4--5----|---------4-5----------5-4--|
D|----------x------7-----------7--|-(7)---x-----7--5-(5)------|
A|--------x-----------------------|-----x---------------------|
E|--------------------------------|---------------------------|</t>
  </si>
  <si>
    <t>https://tabs.ultimate-guitar.com/tab/metallica/battery_tabs_54418</t>
  </si>
  <si>
    <t>eb|-----------------|-----------------|-----------------|-----------------|
Bb|-----------------|-----------------|-----------------|-----------------|
Gb|-----------------|-----------------|-----------------|-----------------|
Db|-----------------|-----------------|-----------------|-5s7-7-7-7s5-5s7-|
Ab|-----------------|-----------------|-----------------|-----------------|
Eb|-3p0-0-3p0-0-3p0-|-3p0-0-3p0-0-3p0-|-3p0-0-3p0-0-3p0-|-3s5-5-5-5s3-3s5-|
eb|-----------------|-----------------|-----------------|-----------------|
Bb|-----------------|-----------------|-----------------|-----------------|
Gb|-----------------|-----------------|-----------------|-----------------|
Db|-----------------|-----------------|-----------------|-5s7-7-7-7s5-----|
Ab|-----------------|-----------------|-----------------|-------------5s7-|
Eb|-3p0-0-3p0-0-3p0-|-3p0-0-3p0-0-3p0-|-3p0-0-3p0-0-3p0-|-3s5-5-5-5s3-----|
eb|-----------------|-----------------|-----------------|-----------------|
Bb|-----------------|-----------------|-----------------|-----------------|
Gb|-----------------|-----------------|-----------------|-----------------|
Db|-7-7-7-5^--------|-7-7-7-5^--------|-7-7-7-5^--------|-7-7-7-5^--------|
Ab|-----------7-5h7-|-----------7-5h7-|-----------7-5h7-|------------7-5s-|
Eb|-----------------|-----------------|-----------------|-----------------|</t>
  </si>
  <si>
    <t>https://tabs.ultimate-guitar.com/tab/metallica/fuel_tabs_90844</t>
  </si>
  <si>
    <t>https://tabs.ultimate-guitar.com/tab/metallica/some_kind_of_monster_tabs_53434</t>
  </si>
  <si>
    <t xml:space="preserve">D|----------------|---------------|---------------| 
A|----------------|---------------|---------------| 
F|----------------|---------------|---------------|
C|----------------|---------------|---------------|
G|----------------|---------------|---------------|
C|-0-0-3-5-0------|-0-3-5-0-------|-0-3-5-0-3-5---| </t>
  </si>
  <si>
    <t>https://www.songsterr.com/a/wsa/metallica-king-nothing-tab-s12147t1</t>
  </si>
  <si>
    <t>d#|-----------------------------|---------------------------|
A#|-----------------------------|---------------------------|
F#|-----------------------------|---------------------------|
C#|-----------------5-----------|-------5-------8---7-------|
G#|--5--6--7-----7-----7--------|----7-----7----------------|
D#|--0--0--0--0-----------------|-0-----------6---5---------|</t>
  </si>
  <si>
    <t>https://tabs.ultimate-guitar.com/tab/metallica/for_whom_the_bell_tolls_tabs_390313</t>
  </si>
  <si>
    <t>https://tabs.ultimate-guitar.com/tab/metallica/sad_but_true_tabs_140973</t>
  </si>
  <si>
    <t>d|----------------------------||-------------------------|
A|----------------------------||-------------------------|
F|----------------------------||-------------------------|
C|----------------------------||-------------------------|
G|--2--(2)---2-2-5p0-1p0------||-2--(2)---2-2-5p0-5-5----|
D|--0--(0)---0-0---------3p0--||-0--(0)---0-0------------|</t>
  </si>
  <si>
    <t>e|----------------------------------------------|
B|---3----3----3--------3-3-3-3-3-3-3-3-3-------|
G|-2-2--2-2----2--------2-0-0-0-0-2-2-2-2-2-2-2-|
D|-2-0--2-0----0--------0-0-0-0-0-0-0-0-0-2-2-2-|
A|-0-0--0-0----0----------x-x-x-x---------0-0-0-|
E|------------------------3-3-3-3---------------|</t>
  </si>
  <si>
    <t>https://tabs.ultimate-guitar.com/tab/acdc/rock_n_roll_train_tabs_726341</t>
  </si>
  <si>
    <t>e|--------------------------------|---------------------|
B|o-----8-------------------------|---------7-(7)------o|
G|--7s9---9s7p5---7-5b6==(5)r-----|-5h6-----7-(7)-------|
D|--------------7-------------7---|---5-----7-(7)-------|
A|o-----------------------------0-|---0-0-0-0-(0)---0--o|
E|--------------------------------|---------------------|</t>
  </si>
  <si>
    <t>https://tabs.ultimate-guitar.com/tab/acdc/have_a_drink_on_me_tabs_168695</t>
  </si>
  <si>
    <t>|-----------2------------------|-----------2------------|------------------|
|-----------3------------------|-----------3--(Sustain--|------------------|
|--2--5-----2------------------|--2--5-----2---here-)---|------------------|
|--2--5-----0------------------|--2--5-----0------------|------------------|
|--0--3--0--------------2-3-2--|--0--3--0---------------|-----------2-3-2--|
|--------------1-2-3-4---------|------------------------|--1-2-3-4---------|</t>
  </si>
  <si>
    <t>https://www.songsterr.com/a/wsa/ac-dc-flick-of-the-switch-tab-s8697t1</t>
  </si>
  <si>
    <t>https://tabs.ultimate-guitar.com/tab/acdc/the_furor_tabs_757025</t>
  </si>
  <si>
    <t>E|-2-------3----------------------------------3------1----|
B|-3-------3----------------------------------3------1----|
G|-2-------0--------------5-------------------0------2----|
D|-0-------0------0-3-5s7-----7-6-5--0--3--0--0------3----|
A|---------x----------------------------------x------3----|
E|---------3----------------------------------3------1----|
E|-2-------3--|---------------------|--------|
B|-3-------3--|---------------------|-----3--|
G|-2-------0--|-----------5---------|-----2--|
D|-0-------0--|-0-3-5-5s7---7-6-5---|-0-3-0--|
A|---------x--|---------------------|--------|
E|---------3--|---------------------|--------|</t>
  </si>
  <si>
    <t>https://tabs.ultimate-guitar.com/tab/acdc/stand_up_tabs_277657</t>
  </si>
  <si>
    <t>https://tabs.ultimate-guitar.com/tab/acdc/the_razors_edge_tabs_59366</t>
  </si>
  <si>
    <t>https://tabs.ultimate-guitar.com/tab/acdc/tnt_tabs_136884</t>
  </si>
  <si>
    <t>d#|-----------------------------|
A#|-----------------------------|
F#|------0--2--------2----------|
C#|---2--0--2--------2----------|
G#|---2--x--0--------0----------|
D#|---0--3-----3--3-----3qb-----|</t>
  </si>
  <si>
    <t>https://tabs.ultimate-guitar.com/tab/acdc/let_there_be_rock_tabs_51696</t>
  </si>
  <si>
    <t>d#|-------------------------------------------------------------------|
A#|-------------------------------------------------------------------|
F#|----------------------------------------------2--------------------|
C#|-0--2-2-------------0--2-2--------------0-2-2-2-2-2-0-2-2----------|
G#|-0--2-2-------------0--2-2--------------0-2-2-0-2-2-0-2-2----------|
D#|-3--0-0--0-0-0-0-0--3--0-0-0-0-0-0-0----3-0-0---0-0-3-0-0-0-0-0-0-0|</t>
  </si>
  <si>
    <t>d#|-----------------------|-----------------------|-----------------------|
A#|-----------------------|-----------------------|-----------------------|
F#|---------------2----0--|---------------2----0--|---------------0----2--|
C#|--2----2-------2----0--|--2----2-------2----0--|--2----2-------0----2--|
G#|--0----0----3b---------|--0----0----3b---------|--0----0----3b---------|
D#|-----------------------|-----------------------|-----------------------|
d#|-----------------------|
A#|-----------------------|
F#|---------------2----2--|
C#|--2----2-------2----2--|
G#|--0----0----3b---------|
D#|-----------------------|
d#|---------------------|--------------------|
A#|-------------3----3--|------------3----3--|
F#|--2----------0----0--|------------0----0--|
C#|--2----------4----5--|------------4----5--|
G#|--0------------------|--------------------|
D#|---------------------|--------------------|
d#|--------------------|------------------|---------------------|
A#|------------3-------|------------------|-------------3----3--|
F#|------------0----2--|------------------|--2----------0----0--|
C#|------------4----2--|------------------|--2----------4----5--|
G#|-----------------0--|------------------|--0------------------|
D#|--------------------|------------------|---------------------|</t>
  </si>
  <si>
    <t>https://www.youtube.com/watch?v=mybLzpJPnKY</t>
  </si>
  <si>
    <t>https://tabs.ultimate-guitar.com/tab/acdc/beating_around_the_bush_tabs_1801766</t>
  </si>
  <si>
    <t>e|---------------------------------------------------------------------------|
B|---------------------------------------------------------------------------|
G|--------------------------1---------------------1--------------------------|
D|----------0---------------2-----------0---------2--------------------------|
A|-----0h1h2-2p1p0----------2------0h1h2-2p1p0----2--------------------------|
E|-0h3------------3p0-3p0-0-0---0h3-----------3p0-0--------------------------|</t>
  </si>
  <si>
    <t>e|-----0----------|
B|-----0-x-x-3----|
G|-------x-x-2--2-|
D|-0h2---x-x-0--2-|
A|-0h2----------0-|
E|-0--------------|</t>
  </si>
  <si>
    <t>https://tabs.ultimate-guitar.com/tab/acdc/jailbreak_tabs_199710</t>
  </si>
  <si>
    <t>e|---------------|-----------------|-----------------|
B|---------------|-----------------|-----------------|
G|-2-2-2-2-2-2-2-|-2-2-2-2-2-2-2-2-|-2-2-2-2-2-2-2-2-|
D|-x-2-2-x-2-2-x-|-2-x-2-2-x-2-2-2-|-x-2-2-x-2-2-x-2-|
A|-3-0-0-5-0-0-3-|-0-5-0-0-3-0-0-x-|-3-0-0-5-0-0-3-0-|
E|---------------|---------------3-|-----------------|</t>
  </si>
  <si>
    <t>https://tabs.ultimate-guitar.com/tab/acdc/given_the_dog_a_bone_tabs_161662</t>
  </si>
  <si>
    <t>eb|-------------------------------|----------------------------------|
Bb|-------------------------------|----------------------------------|
Gb|-------------------------------|----------------------------------|
Db|-------------------------------|--------------10/12--12--10--9----|
Ab|-9--9--10--9--10/12--12--10--9-|-9--9--10--9----------------------|
Db|-------------------------------|----------------------------------|
eb|-------------------------------|----------------------------------|
Bb|-------------------------------|----------------------------------|
Gb|-------------------------------|---------------11--11--9----------|
Db|-------------------------------|--------------------------12------|
Ab|-9--9--10--9--10/12--12--10--9-|-9--9--10--9----------------------|
Db|-------------------------------|----------------------------------|</t>
  </si>
  <si>
    <t>https://tabs.ultimate-guitar.com/tab/nirvana/all_apologies_tabs_112704</t>
  </si>
  <si>
    <t>https://tabs.ultimate-guitar.com/tab/nirvana/heart_shaped_box_tabs_49219</t>
  </si>
  <si>
    <t>D#|-------------------------------------------------------------------------|
A#|-------------------------------------------------------------------------|
F#|-----2----------------------------------2------------------------------0-|
C#|---2---2-----3----------0-----0-----2-2---2-----3------2/4-4---4----4--0-|
G#|-0---------3---3-----0-----0---0----0---------3--------------0---3--3----|
C#|---------3---------0------------------------3-----3--0-------------------|</t>
  </si>
  <si>
    <t>Eb|---------------------------------|
Bb|---------------------------------|
Gb|------------2-2-2--------5-5-----|
Db|-----2-2----2-2-2--5-5---5-5-----|
Ab|-----2-2--0--------5-5-3---------|
Eb|-0----------------3--------------|</t>
  </si>
  <si>
    <t>https://tabs.ultimate-guitar.com/tab/nirvana/dumb_tabs_49513</t>
  </si>
  <si>
    <t>d|-----------------------------------------------------------|
A|-----------------------------------------------------------|
F|-----------------------------------------------------------|
C|-----------------6--------7---55-777-77-0-44-777-77-0------|
G|----------6-----4--------7----33-555-55-0-22-555-55-0------|
D|--0-X-0-4---X-0----X-0-5----0------------------------------|</t>
  </si>
  <si>
    <t>e|----------------------------------------------------------------------------|
B|----------------------------------------------------------------------------|
G|--3--3-3/-------------------------------------------------------------------|
D|--3--3-3/---5----------------3--3--3/6--6-----------------------------------|
A|--1--1-1/---5----------------3--3--3/6--6-----------------0-----------------|
E|------------3----------------1--1--1/4--4--4----1--4------------------------|
e|----------------------------------------------------------------------------|
B|----------------------------------------------------------------------------|
G|--3--3-3/-------------------------------------------------------------------|
D|--3--3-3/----5------------3--3-3/6---6--------------------------------------|
A|--1--1-1/----5------------3--3-3/6---6--------------------------------------|
E|-------------3------------1--1-1/4---4--------------------------------------|
e|----------------------------------------------------------------------------|
B|----------------------------------------------------------------------------|
G|--3-3-3-3-3-x---------------0-/8-8-8-8-8-x-0-4-4-4-4-0-2-2-2----------------|
D|--3-3-3-3-3-x-0-4-4-4-4-4-x-0-/8-8-8-8-8-x-0-4-4-4-4-0-2-2-2----------------|
A|--1-1-1-1-1-x-0-4-4-4-4-4-x-0-/6-6-6-6-6-x-0-2-2-2-2-0-0-0-0----------------|
E|--------------0-2-2-2-2-2-x-------------------------------------------------|</t>
  </si>
  <si>
    <t>https://tabs.ultimate-guitar.com/tab/nirvana/in_bloom_tabs_93559</t>
  </si>
  <si>
    <t>https://tabs.ultimate-guitar.com/tab/nirvana/lithium_tabs_25788</t>
  </si>
  <si>
    <t>https://tabs.ultimate-guitar.com/tab/oasis/cigarettes_and_alcohol_tabs_159141</t>
  </si>
  <si>
    <t>https://tabs.ultimate-guitar.com/tab/oasis/wonderwall_tabs_165916</t>
  </si>
  <si>
    <t>E|---------------------------------------------------------------------------|
B|---------------------------------------------------------------------------|
G|---------------------------------------------------------------3-3-3-3-2-2-|
D|---------------2-2---------------------------------2-2-------4-4-4-4-4-2-2-|
A|-2-2-4-2-2-2-4-2-2-4-2-2-------------2-2-4-2-2-2-4-2-2-4-2-2-4-4-4-4-4-0-0-|
E|-0-0-0-0-0-0-0-----0-0-0-3-2-0-------0-0-0-0-0-0-0-----0-0-0-2-2-2-2-2-----|</t>
  </si>
  <si>
    <t>e|-----------------------------------------------------------------------------|
B|-1---1---1---1----1---1---1--------1-1---1---1---1---1--1---1----------------|
G|-0---0---0---0----2---2---2------0---0---0---0---0---2--0h2-0------0-------0-|
D|-2---2---2---2----3---3---3--2h3-----2---2---2---2---3---------0h2---0h2p0---|
A|---3---3---3---3----3---3--------------3---3---3---3-------------------------|
E|-----------------------------------------------------------------------------|</t>
  </si>
  <si>
    <t>https://tabs.ultimate-guitar.com/tab/oasis/dont_look_back_in_anger_tabs_142621</t>
  </si>
  <si>
    <t>e|---------0----------------------|
B|-----------0---------0------0---|
G|-------2-----2-------2------2---|     
D|-----4---------4-----2------1---|
A|---4-------------0---0---0--2---|
E|--------------------------------|</t>
  </si>
  <si>
    <t>https://tabs.ultimate-guitar.com/tab/oasis/supersonic_tabs_89069</t>
  </si>
  <si>
    <t>e|--------------------------------0--------------------|
B|------5-------2----5----2--2---------2--4----2-------|
G|-6---------6------------------------------------4----|
D|-----------------------------------------------------|
A|-4--4---4--4---------------0--0---0--0--2--2----2----|
E|--------------2--2---2--2----------------------------|</t>
  </si>
  <si>
    <t>https://tabs.ultimate-guitar.com/tab/ed_sheeran/shape_of_you_tabs_1928603</t>
  </si>
  <si>
    <t>e|--2----x-----2--x--------x-----------2----x-----2--x--------x--------------|
B|--3----x--3--3--x-----0--x--2--------3----x--2--3--x-----0--x--2-----------|
G|--0h2--x--2--2--x-----0--x--2---2h4--0h2--x--3--2--x-----0--x--2---2h4-----|
D|-------x--0--0--x-----0--x--2--2----------x--0--0--x-----0--x--2--2--------|
A|-------x-----0--x--------x--0-------------x-----0--x--------x--0-----------|
E|-------x--2--2--x--0--3--x----------------x--2--2--x--0--3--x--------------|</t>
  </si>
  <si>
    <t>https://tabs.ultimate-guitar.com/tab/ed_sheeran/thinking_out_loud_tabs_1517140</t>
  </si>
  <si>
    <t>https://tabs.ultimate-guitar.com/tab/ed_sheeran/dont_tabs_1670346</t>
  </si>
  <si>
    <t>https://tabs.ultimate-guitar.com/tab/linkin_park/points_of_authority_tabs_28068</t>
  </si>
  <si>
    <t>D#|-----7-------7-------7-------7-------7-------7-------7-------7------------|
A#|---8---8---8---8---8---8---8---8---8---8---8---8---8---8---8---8----------|
F#|-9-------9-------9-------9-------9-------9-------9-------9----------------|
C#|--------------------------------------------------------------------------|
G#|--------------------------------------------------------------------------|
C#|--------------------------------------------------------------------------|
D#|--------------------------------------------------------------------------|
A#|--------------------------------------------------------------------------|
F#|--------------------------------------------------------------------------|
C#|-2-2-0h3-3-0h2-2h3-0h2-2-0h3-3-2-2-0-0h3--2-2-0h3-3-0h2-2h3-0h2-2-0h3-----|
G#|-2-2-0h3-3-0h2-2h3-0h2-2-0h3-3-2-2-0-0h3--2-2-0h3-3-0h2-2h3-0h2-2-0h3-----|
C#|-2-2-0h3-3-0h2-2h3-0h2-2-0h3-3-2-2-0-0h3--2-2-0h3-3-0h2-2h3-0h2-2-0h3-----|</t>
  </si>
  <si>
    <t>C#|-----------------------------------------------------------------|
G#|-----------------------------------------------------------------|
E |-----------------------------------------------------------------|
B |-0-0-0-7-3-3-5-5-5-8-7-------------------------------------------|
F#|-0-0-0-7-3-3-5-5-5-8-7-------------------------------------------|
B |-0-0-0-7-3-3-5-5-5-8-7-------------------------------------------|</t>
  </si>
  <si>
    <t>https://www.songsterr.com/a/wsa/linkin-park-dont-stay-tab-s11964t0</t>
  </si>
  <si>
    <t>BF#BEG#C#</t>
  </si>
  <si>
    <t>C#|---------------------------|
G#|---------------------------|
E |---------------------------|
B |-xxxx-2-4-3-2-5-4-3-2-8----|
F#|-xxxx-2-4-3-2-5-4-3-2-8----|
B |-xxxx-2-4-3-2-5-4-3-2-8----|</t>
  </si>
  <si>
    <t>https://tabs.ultimate-guitar.com/tab/linkin_park/lying_from_you_tabs_110172</t>
  </si>
  <si>
    <t>https://tabs.ultimate-guitar.com/tab/linkin_park/what_ive_done_tabs_531286</t>
  </si>
  <si>
    <t>https://tabs.ultimate-guitar.com/tab/linkin_park/new_divide_tabs_828006</t>
  </si>
  <si>
    <t>e|-------------------------------------------------------------------------|
B|-------------------------------------------------------------------------|
G|-------------------------------------------------------------------------|
D|--6---------------10---------------13-----------------10-----------------|
A|-----8----------------8----------------13-----------------8--------------|
D|-------------------------------------------------------------------------|
e|-------------------------------------------------------------------------|
B|-------------------------------------------------------------------------|
G|-----10---play this----------8--then this----------12--then this---------|
D|------x---16 times-----------x---8 times------------x---8 times----------|
A|------8----------------------6---------------------10--------------------|
D|-------------------------------------------------------------------------|</t>
  </si>
  <si>
    <t>e|---10---10-11p10---10-|
B|-8----8----------8----|
G|----------------------|
D|----------------------|
A|----------------------|
D|----------------------|
e|-xx----------------------------------------------------------------------|
B|-xx----------------------------------------------------------------------|
G|-xx-3-3-3-3-3-3--2-2--3-3-3-3-3-3--5-5-2-2-2-2-2-2-2-2--0-0-0-0-0-0--2-2-|
D|-xx-5-5-5-5-5-5--5-5--5-5-5-5-5-5--5-5-3-3-3-3-3-3-3-3--1-1-1-1-1-1--3-3-|
A|-xx----------------------------------------------------------------------|
D|-xx----------------------------------------------------------------------|</t>
  </si>
  <si>
    <t>D|-----------------------------------------------|
A|-----------------------------------------------|
F|-----------------------------------------------|x2
C|------------------------8---8-----7-----7-7-7--|
G|---0------------0-------8---8-----7-----7-7-7--|
C|---0----3-2-0-2-0-------8---8-----7-----7-7-7--| 
D|-------------------------------------------------|
A|-------------------------------------------------|
F|-------------------------------------------------|
C|-------------------------------------------------|
G|-------------------------------------------------|
C|-3-2-0-2-0-0-3-2-0-2-0-0-3-2-0-2-0-0-3-2-0-2-0-0-|
D|-----------------------------------------------|
A|-----------------------------------------------|
F|-----------------------------------------------|
C|---8---8-8-8---7---7-7-7-----------------------|
G|---8---8-8-8---7---7-7-7-----------------------|
C|---8---8-8-8---7---7-7-7-----------------------|</t>
  </si>
  <si>
    <t>https://tabs.ultimate-guitar.com/tab/system_of_a_down/toxicity_tabs_2919</t>
  </si>
  <si>
    <t>Db|-------------------------|-----------------------|
Ab|-------------------------|-----------------------|
Db|-------------------------|-----------------------|
Gb|-------------------------|-----5--5--------3p2-0-|
Bb|-3-2-0--0--0-2-3-5-3-2-0-|-2-0-3--3--0-3-5-------|
Db|-3-2-0--0--0-2-3-5-3-2-0-|-2-0-------------------|
Db|-------------------------|-----------------------------------------------|
Ab|-------------------------|-----------------------------------------------|
Db|-------------------------|-----------------------------------------------|
Gb|-------------------------|-----------------------------------------------|
Bb|-3-2-0--0--0-5-7-8-7-5-3-|-5-3-2--3-(3)b4.5-(3)-(3)b4.5-(3)-(3)b4.5-(3)--|
Db|-3-2-0--0--0-5-7-8-7-5-3-|-5-3-2-----------------------------------------|
Db|----------------------|----------------------|
Ab|----------------------|----------------------|
Db|----------------------|----------------------|
Gb|----------------------|-5-5-5---5---5-5--5-5-|
Bb|-0-0-0---0---0-0--0-0-|-3-3-3---3---3-3--3-3-|
Db|-0-0-0---0---0-0--0-0-|----------------------|
Db|-----------------------------|-----------------------------------------------|
Ab|-----------------------------|-----------------------------------------------|
Db|-----------------------------|-----------------------------------------------|
Gb|-----------------------------|-----------------------------------------------|
Bb|-0-0-0---0-(0)-0-5-7-8-7-5-3-|-5-3-2--3-(3)b4.5-(3)-(3)b4.5-(3)-(3)b4.5-(3)--|
Db|-0-0-0---0-(0)-0-5-7-8-7-5-3-|-5-3-2-----------------------------------------|</t>
  </si>
  <si>
    <t>https://tabs.ultimate-guitar.com/tab/system_of_a_down/byob_tabs_181733</t>
  </si>
  <si>
    <t>e|-----1-----5------------------1-----6-------|
B|---3---------6--------------3---------6-----|
G|-2-----2/------7----------3-----3/------7---|
D|-----------------0------------------------0-|  
A|--------------------------------------------|     
E|--------------------------------------------|     
                                                x2
e|-----1-----7------------------5-----8-------|   
B|---3---------6--------------3---------8-----|  
G|-4-----4/------7----------5-----5/------9---|  
D|-----------------0------------------------0-|
A|--------------------------------------------|
E|--------------------------------------------|
e|-----------------|
B|-6-5-3-----------|
G|-------5-3-2-----|
D|-------------5-3-|
A|-----------------|
E|-----------------|
B|-----------------------------------|
G|-2-----/7~--------3-----/7~--------|
D|---0-0--------0-0---0-0--------0-0-|
A|-----------------------------------|
E|-----------------------------------|
e|-----------------------------------|
B|-----------------------------------|
G|-4-----/7~--------5-----/7~--------|
D|---0-0--------0-0---0-0--------0-0-|
A|-----------------------------------|
E|-----------------------------------|</t>
  </si>
  <si>
    <t>https://tabs.ultimate-guitar.com/tab/megadeth/hangar_18_tabs_328259</t>
  </si>
  <si>
    <t>Bass intro arranged for guitar:
e|----------------------------------------|
B|----------------------------------------|
G|----------------------------------------|
D|--------5--------7-8---------5----------|
A|-7--5-7------7-5------7--5-7------7-----|
E|-----------0--------------------0---5-6-|
Riff 1
e|-------------------------------------|
B|-------------------------------------|
G|-------------------------------------|
D|-------------------------------------|
A|----------------6-----------------5--|
E|-0-0-0-0-0-0-0--4--0-0-0-0-0-0-0--3--|
e|-------------------------------------|
B|-------------------------------------|
G|-------------------------------------|
D|-------------------------------------|
A|----------------6---------------8--7-|
E|-0-0-0-0-0-0-0--4--0-0-0-0-0-0--6--5-|
Riff 2
e|----------------------------------------|
B|----------------------------------------|
G|----------7--------------------7--------|
D|-9-9-7-9--5--7-9-9----9-9-7-9--5--------|
A|-7-7-5-7-----5-7-7----7-7-5-7-----4-5-5-|
E|----------------------------------2-3-3-|
e|-----------------------------|
B|-----------------------------|
G|-----------------------------|
D|----------7--------------5---|
A|-5-5-4-5--5--4-5---5-4-3-3---|
E|-3-3-2-3-----2-3---3-2-1-----|</t>
  </si>
  <si>
    <t>https://tabs.ultimate-guitar.com/tab/megadeth/peace_sells_tabs_521851</t>
  </si>
  <si>
    <t>e|----------------------------------|
B|----------------------------------|
G|----------------------------------|
D|--------------------------5-----7-|
A|---7-6---5-----5----7-6-----6-7---|
E|-0-----7---6-7----0-----7---------|
e|----------------------------------|
B|--------------------------8-8-8-8-|
G|--------------------------7-7-7-7-|
D|--------------------------5-5-5-5-|
A|---7-6---5-----5----7-6-----------|
E|-0-----7---6-7----0-----7---------|
e|----------------------------------|
B|----------------------------------|
G|----------------------------------|
D|--------------------------5-----7-|
A|---7-6---5-----5----7-6-----6-7---|
E|-0-----7---6-7----0-----7---------|
e|----------------------------------|
B|----------------------------------|
G|--------------------------9p7-9p7-|
D|--------------------------9p7-9p7-|
A|---7-6---5-----5----7-6---7---7---|
E|-0-----7---6-7----0-----7---------|</t>
  </si>
  <si>
    <t>https://tabs.ultimate-guitar.com/tab/megadeth/mastermind_tabs_163606</t>
  </si>
  <si>
    <t>E|-----------------------------------------------------------|
B|-----------------------------------------------------------|
G|-----------------------------------------------------------|
D|--0--6-0-6-0-----0--6-0-6-0-----0--3-0---------------------|
A|--0--6-0-6-0-----0--6-0-6-0-----0--3-0---------Repeat 4x---|
D|--0--6-0-6-0-----0--6-0-6-0-----0--3-0---------------------|</t>
  </si>
  <si>
    <t>e|------------------------------------------------------------------|
B|------------------------------------------------------------------|
G|--9-9-9-9-9-9-9-9-9-9-9-9-9-9-9-9-9-9-9-9-9-9-9-9-9-9-9-9-9-9-9-9-|
D|-7-7-7-7-7-7-7-7-7-7-7-7-7-7-7-7-6-6-6-6-6-6-6-6-0-0-0-0-0-0-0-0--|
A|------------------------------------------------------------------|
E|------------------------------------------------------------------|</t>
  </si>
  <si>
    <t>https://tabs.ultimate-guitar.com/tab/snow_patrol/chasing_cars_tabs_349718</t>
  </si>
  <si>
    <t>https://tabs.ultimate-guitar.com/tab/marilyn_manson/beautiful_people_tabs_35085</t>
  </si>
  <si>
    <t>E|---------------------------------------------------------------------------------|
B|---------------------------------------------------------------------------------|
G|---------------------------------------------------------------------------------|
D|---------------------------------------------------------------------------------|
A|-0----0--0--0-------------0--0--0--------------0---0---0-0---0-------------------|
D|-0----0--0--0--3/8--7~----0--0--0--3/7--7~-----0---0---0-0---0-3h5p3-2h3p2-2h3p2-|
E|-------------------------------------------------------------------------|
B|-------------------------------------------------------------------------|
G|-------------------------------------------------------------------------|
D|-------------------------------------------------------------------------|
A|-0----0--0--0-------------0--0--0--------------0---0---0-0-3----2---/7---|
D|-0----0--0--0--3/8--7~----0--0--0--3/7--7~-----0---0---0-0-3----2---/7---|</t>
  </si>
  <si>
    <t>https://tabs.ultimate-guitar.com/tab/avenged_sevenfold/welcome_to_the_family_tabs_1020097</t>
  </si>
  <si>
    <t>e|--------------------------------------------------------------------13-13-16-16--17--|
B|----------------------------------------------------13-13-15-15----------------------|
G|--------------------------------------------13-13------------------------------------|
D|--0-0---0-0---------------12-12-15-15------------------------------------------------|
A|--0-0---0-0--------12-12-------------------------------------------------------------|
E|--0-0---0-0--------------------------------------------------------------------------|
e|--------------------------------------------------------------------------------------------|
B|--------------------------------------------------------------------------------------------|
G|--------------------------------------------------------------------------------------------|
D|--0-0---0-0------------------------15-15-15-15-12-12-12-12----------------------------------|
A|--0-0---0-0-------12-12-12-12------------------------------12-12-12-12------------11-11-11--|
E|--0-0---0-0---------------------------------------------------------------------------------|
e|--------------------------------------------------------------------13-13-16-16--20b(21)--|
B|----------------------------------------------------13-13-15-15---------------------------|
G|--------------------------------------------13-13-----------------------------------------|
D|--0-0---0-0---------------12-12-15-15-----------------------------------------------------|
A|--0-0---0-0--------12-12------------------------------------------------------------------|
E|--0-0---0-0-------------------------------------------------------------------------------|
e|------------------------------------------------------------------------------------------|
B|---------------------(gradually bend the 14 up to 15 over the course of  picking 14)------|
G|--------------------14-14-14-14-14-14-14-14-14-14-14-14-14-14-14b(15)---------------------|
D|--0-0---0-0-------------------------------------------------------------------------------|
A|--0-0---0-0-------------------------------------------------------------------------------|
E|--0-0---0-0-------------------------------------------------------------------------------|</t>
  </si>
  <si>
    <t>https://tabs.ultimate-guitar.com/tab/avenged_sevenfold/scream_tabs_593207</t>
  </si>
  <si>
    <t>https://tabs.ultimate-guitar.com/tab/avenged_sevenfold/almost_easy_tabs_580086</t>
  </si>
  <si>
    <t>e|----------------------------------------------------------|
B|----------------------------------------------------------|
G|------4--7--4------------x--x--x-------x--x--x-------x----|
D|---7--5--7--5--7--4------4--4--x-------4--4--x-------4----|
A|---7-----------7--5------5--5--x-------5--5--x-------5----|
D|---------------------7---5--5--x---2/--5--5--x---2/--5----|
e|----------------------------------------------------------|
B|----------------------------------------------------------|
G|------4--7--4------------x--x--x-------x--x--x-------x----|
D|---7--5--7--5--7--4------4--4--x-------4--4--x-------4----|
A|---7-----------7--5------5--5--x-------5--5--x-------5----|
D|---------------------7---0--0--x---2/--0--0--x---2/--0----|</t>
  </si>
  <si>
    <t>https://tabs.ultimate-guitar.com/tab/john_mayer/city_love_tabs_42723</t>
  </si>
  <si>
    <t>e|------------------------------------------|
B|----8-8-10b-10b~-----8--------8-----------|
G|-/9--------------------7h9p7---9----------|
D|-----------------------7--------7---7s9---|
A|------------------------------------------|
E|------------------------------------------|
e|---------------------------------------------|
B|----8-8-10b-10b-10~--------------------------|
G|-/9------------------------------------------|
D|-----------------------------5-5-7-7/9-9-7~--|
A|------------------------5s7------------------|
E|---------------------------------------------|
e|-----------------------------------------|
B|----8-8-10b-10b~-----8--------8----------|
G|-/9--------------------7h9p7---9---------|
D|-----------------------7--------7---7s9--|
A|-----------------------------------------|
E|-----------------------------------------|
e|---------10------------------------------|
B|----8-8----10bd-8-8~------10-------------|
G|-/9----------------------9------9~-------|
D|-----------------------------------------|
A|-----------------------------------------|
E|-----------------------------------------|</t>
  </si>
  <si>
    <t>https://tabs.ultimate-guitar.com/tab/john_mayer/gravity_tabs_262224</t>
  </si>
  <si>
    <t>e|-----------0----------------------------------------|
B|--------------3p0---------3p0------2p0--------------|
G|-----0h1------------0-----4p0------2p0---0h1p0h1----|
D|----------------------------------------------------|
A|----------------------------------------------------|
E|--0---------------------3-------3-------------------|
e|----------0-----------------------------0-----------|
B|-------------3p0----------3----------------0--------|
G|-----0h1------------0-----4-------11b---------------|
D|----------------------------------12b---------------|
A|----------------------------------------------------|
E|--0--------------------3----------------------------|</t>
  </si>
  <si>
    <t>https://tabs.ultimate-guitar.com/tab/john_mayer/i_dont_need_no_doctor_tabs_714357</t>
  </si>
  <si>
    <t>e|--------------------------------------------------------|
B|---8-------------4--------------4-----------9-------8---|
G|-----10--------3--------------3---3--------8-------7----|
D|-------------3------5-6-----6-------------8------10-----|
A|--------------------------------------------------------|
C|-0---------3---------------5------------8------10-------|</t>
  </si>
  <si>
    <t>https://tabs.ultimate-guitar.com/tab/john_mayer/neon_tabs_48164</t>
  </si>
  <si>
    <t>Drop C</t>
  </si>
  <si>
    <t>Drop C (CADGBE)</t>
  </si>
  <si>
    <t>e|----------------------------------------------------|
B|----------------------------------------------------|
G|----5h6-xx-----xx------------5h6-xx-----xx----------|
D|----6h7-xx-5h7-xx------------6h7-xx-5h7-xx----------|
A|--------xx-----xx----5-----------xx-----xx-----5----|
E|--5-----xx-----xx-8b---8b--5-----xx-----xx-8--------|</t>
  </si>
  <si>
    <t>https://tabs.ultimate-guitar.com/tab/john_mayer/who_did_you_think_i_was_tabs_790844</t>
  </si>
  <si>
    <t>e|-------------x-------------------------------------x------------------------|
B|-------------x--------------5---5--5---------------x--------------5--5--5---|
G|-------9-----x--9--8--6--4--4h6-4--4----------9----x--9--8--6--4--4-----4---|
D|-------------x-11--9--6--4---------4h6---9/11------x-11--9--6--4-----7--4h6-|
A|--9/11-------x-------------------------------------x------------------------|
E|---------(9)-x-------------(5)-(5)(0)-----------(9)x-------------(5)(5)(0)--|
e|-----x-----------------------------------------------------------x----------|
B|-----x------------5---5--5---------------------------5--5--5-----x----------|
G|--9--x-------9/1--4h6-4--4-------------9--------9/1--4-----4-----x----------|
D|-11--x------11/2---------4h6--6/11----11-------11/2-----7--4h6---x----------|
A|-----x-9/11-------------------------------9/11-------------------x----------|
E|-(9)-x-----------(5)-(5)(0)--------(9)--------------(5)(5)(0)----x----------|</t>
  </si>
  <si>
    <t>https://tabs.ultimate-guitar.com/tab/john_mayer/slow_dancing_in_a_burning_room_tabs_449994</t>
  </si>
  <si>
    <t>e|-------------------------------------------------------------------------|
b|---------------5^-4--------------------5^------2---------------5^-4------|
G|-3------------------6-3^-------------------------3------------------6-3^-|
D|-3-----------------------3-----------------------1-----------------------|
A|-1-----------------------3-----------------------1-----------------------|
E|-------------------------1-----------------------------------------------|
e|---------------4----------|
b|-----------------4^-------|
G|--------------------------|
D|-3------------------------|
A|-3------------------------|
E|-1------------------------|</t>
  </si>
  <si>
    <t>https://tabs.ultimate-guitar.com/tab/the_white_stripes/hello_operator_tabs_281652</t>
  </si>
  <si>
    <t>https://tabs.ultimate-guitar.com/tab/the_white_stripes/ball_and_biscuit_tabs_403172</t>
  </si>
  <si>
    <t>e|------------------------------------------------------------------------------------|
B|------------------------------------------------------------------------------------|
G|------------3--------------------3---5---7---10--12--------------3-----------3------|
D|-5----3--5--3---3-----5----3--5--3---5---7---10--12-5(/)---3--5--3---3---3-5-3-5----|
A|-5----3--5--1---3-----5----3--5--1---3---5---8---10-5(/)---3--5--1---3---3-5-1-5----|
E|-3----1--3------1-----3----1--3---------------------3(/)---1--3------1---1-3---3----|
e|--------------------------------|
B|--------------------------------|
G|-------3---5--7---10---7-10-12--|
D|-3--5--3---5--7---10---7-10-12--|
A|-3--5--1---3--5---8----5-8--10--|
E|-1--3---------------------------|</t>
  </si>
  <si>
    <t>https://tabs.ultimate-guitar.com/tab/the_white_stripes/blue_orchid_tabs_178937</t>
  </si>
  <si>
    <t>e|---3-----3--3---3---1-----1--1---1---1--1--1--1--1--1--0-----0--0---1---1--|
B|---3-----3--3---3---3-----3--3---3---3--3--3--3--3--3--3-----3--3---3---3--|
G|---2-----2--2---2---2-----2--2---2---2--2--2--2--2--2--2-----2--2---2---2--|
D|---0-----0--0---0---0-----0--0---0---0--0--0--0--0--0--0-----0--0---0---0--|
A|---------------------------------------------------------------------------|
E|---------------------------------------------------------------------------|
e|---3---3---1--1--1--1--1--1-----1----1----1----1----------------------|
B|---3---3---3--3--3--3--3--3-----3----3----3----3----------------------|
G|---0---0---2--2--2--2--2--2-----2----2----2----2----------------------|
D|---0---0---0--0--0--0--0--0-----0----0----0----0----------------------|
A|-----------------------------------------------------5--3-/-5---------|
E|----------------------------------------------------------------------|
e|---------------------------------------------------------------------------|
B|---------------------------------------------------------------------------|
G|---0-h-2----2---2-h-3-p-2-h-3-/-7--3-h-2---3-p-2-------0-------------------|
D|----------------------------------------------------2----------------------|
A|---------------------------------------------------------------------------|
E|---------------------------------------------------------------------------| x3
e|-----------------------------------------------------------------------|
B|-----------------------------------------------------------------------|
G|---2---2------2------2---2------2---2---5---5---2---2------------------|
D|-----------------------------------------------------------------------|
A|-----------------------------------------------------------------------|
E|-----------------------------------------------------------------------|</t>
  </si>
  <si>
    <t>https://tabs.ultimate-guitar.com/tab/pearl_jam/once_tabs_166177</t>
  </si>
  <si>
    <t xml:space="preserve">
E|--------------------------------------------|
B|--------------------------------------------|
G|--7:-----7-----7--7--6-----7--7--7--6-------|
D|--8:-----7-----7--7--6-----7--7--7--6-------|
A|---------5-----5--5--4-----5--5--5--4-------|
D|--------------------------------------------|</t>
  </si>
  <si>
    <t>https://tabs.ultimate-guitar.com/tab/pearl_jam/go_tabs_79344</t>
  </si>
  <si>
    <t>D|-0-0--0--0------0---0---0-0-0--0----|-0--0----0--0-0-0-0--------------------|
B|-0-0--0--0------0---0---0-0-0--0----|-0--0----0--0-0-0-0--------------------|
G|-0-0--0--0---/--0---0---0-0-0--0----|-0--0--/-0--0-0-0-0--------------------|
D|-0-0--0--7------9---7---9-9-9--9----|-0--7----9--7-7-7-7--------------------|
G|-0-0--0--5------7---5---7-7-7--7----|-0--5----7--5-5-5-5--------------------|
G|-0-0--0--0------0---0---0-0-0--0----|-0--0----0--0-0-0-0--------------------|
D|-0-0----0--0-0-0-0-0-0-0-0-0-0-0----0-----------------------|
B|-0-0----0--0-0-0-0-0-0-0-0-0-0-0----0-----------------------|
G|-0-0-/--0--0-0-0-0-0-0-0-0-0-0-0--/-0-----------------------|
D|-0-7----9--7-7-7-7-7-7-7-7-7-7-7----9-----------------------|
G|-0-5----7--5-5-5-5-5-5-5-5-5-5-5----7-----------------------|
G|-0-0----0--0-0-0-0-0-0-0-0-0-0-0----0-----------------------|</t>
  </si>
  <si>
    <t>https://tabs.ultimate-guitar.com/tab/pearl_jam/daughter_tabs_129419</t>
  </si>
  <si>
    <t>GGDGBD</t>
  </si>
  <si>
    <t>e|----------------------------------------------------------------------------------------|
B|----------------------------------------------------------------------------------------|
G|----------------------------------------------------------------------------------------|
D|----------------------------------------------------------------------------------------|
A|---------5---5-7-----------5----5-7-----------5---5-7------------5---5-7----------------|
E|-----5-5---5-----0-0----5-5---5----0-0----5-5---5-----0-0----5-5---5-----0-0------------|</t>
  </si>
  <si>
    <t>https://tabs.ultimate-guitar.com/tab/pearl_jam/rearviewmirror_tabs_356614</t>
  </si>
  <si>
    <t>e|---------------------------------0---0-0------|
B|-----3-0-------3-0-------5-0-------0-------5--|
G|-----2--2------2--2/4----4--4---4--------4----|
D|----------------------------------------------|
A|----------------------------------------------|
E|---2-------0h2---------4------4---------------|</t>
  </si>
  <si>
    <t>https://tabs.ultimate-guitar.com/tab/pearl_jam/better_man_tabs_160724</t>
  </si>
  <si>
    <t>Let It Die</t>
  </si>
  <si>
    <t>High and Dry</t>
  </si>
  <si>
    <t>Just</t>
  </si>
  <si>
    <t>The Kids Aren't Alright</t>
  </si>
  <si>
    <t>Come Out And Play (Keep 'Em Separated)</t>
  </si>
  <si>
    <t>7iNbnineUCI</t>
  </si>
  <si>
    <t>1jOk8dk-qaU</t>
  </si>
  <si>
    <t>7qFfFVSerQo</t>
  </si>
  <si>
    <t>oIFLtNYI3Ls</t>
  </si>
  <si>
    <t>63NiS3uZaTA</t>
  </si>
  <si>
    <t>h2eKImKZviw</t>
  </si>
  <si>
    <t>Pressure</t>
  </si>
  <si>
    <t>Set 1</t>
  </si>
  <si>
    <t>Set 2</t>
  </si>
  <si>
    <t>e|--------------------------------------------------------------------|
B|--------3-------------------------------------------------------3---|
G|-4--3---4------------------------------------------------4--3---4---|
D|-5--4---4------------------------------------------------5--4---4---|
A|-5--4---2------------------------------------------------5--4---2---| (x4)
E|-3--2----------------------------------------------------3--2-------|
e|--------------------------------|
B|--------------------------------|
G|--------------------------------|
D|--------------------------0-2-4-|
A|----------------------2-2-------|
E|----------3-3--2-2--2-----------|
Chorus
e|--------------------------------------------------------------------|
B|-8--8----8---8/10-----10--10----------------------------------------|
G|-9--9----9---9/11-----11--11----------------------------------------|
D|-9--9----9---9/11-----11--11---9---9---9-----9-9-x------------------|
A|-7--7----7---7/9------9---9----9---9---9-----9-9-x------------------|
E|-------------------------------7---7---7-----7-7-x------------------|</t>
  </si>
  <si>
    <t>https://tabs.ultimate-guitar.com/tab/arctic_monkeys/when_the_sun_goes_down_tabs_329694</t>
  </si>
  <si>
    <t>e |---------------------------------------------------------------------|
B |---------------------------------------------------------------------|
G |---------------------------------------------------------------------|
D |----------------------------------------------------------7----------|
A |-----5-----5-7-5-----5-----5-7-5-----5-----5-7-5----5-7-9---9-7-5----|
E |--7-----7---------7-----7---------7-----7---------7---------------7--|</t>
  </si>
  <si>
    <t>https://tabs.ultimate-guitar.com/tab/arctic_monkeys/fake_tales_of_san_francisco_tabs_267552</t>
  </si>
  <si>
    <t>e|-------|---------------------------------|----7----------------------|
B|-----8-|-------12------8--------12-----8-|----------8--8/10--8-----8-|
G|--9----|-9/14-------9-----9/14------9----|-7-----9--------------9----|
D|-------|---------------------------------|---------------------------|
A|-------|---------------------------------|---------------------------|
E|-------|---------------------------------|---------------------------|
e|----7------------7-------|--------------------------|
B|----------8------------8-|---------7--7/8--7------8-|
G|-------9------------9----|---7--9--------------9----|
D|-10----------10----------|-9------------------------|
A|-------------------------|--------------------------|
E|-------------------------|--------------------------|
e|---------------------------------|----7----------------------|
B|-------12------8--------12-----8-|----------8--8/10--8-----8-|
G|-9/14-------9-----9/14------9----|-7-----9--------------9----|
D|---------------------------------|---------------------------|
A|---------------------------------|---------------------------|
E|---------------------------------|---------------------------|
e|-------------------------------|--------------------------|
B|-------8--10--10/12--10--8-----|---------7--7/8--7------7-|
G|----9-----------------------9--|---7--9--------------9----|
D|-10----------------------------|-9------------------------|
A|-------------------------------|--------------------------|
E|-------------------------------|--------------------------|</t>
  </si>
  <si>
    <t>https://tabs.ultimate-guitar.com/tab/arctic_monkeys/knee_socks_tabs_1473317</t>
  </si>
  <si>
    <t>https://tabs.ultimate-guitar.com/tab/pantera/by_demons_be_driven_tabs_78929</t>
  </si>
  <si>
    <t>e|7---8--10---8--7----12--13--15--13--12----7---8--10---8--7---5~--2--3-5|
B|8--10--12--10--8----13--15--17--15--13----8--10--12--10--8---3~--------|
G|-----------------------------------------------------------------------|x2
D|-----------------------------------------------------------------------|
A|-----------------------------------------------------------------------|
E|-----------------------------------------------------------------------|</t>
  </si>
  <si>
    <t>https://tabs.ultimate-guitar.com/tab/van_morrison/brown_eyed_girl_tabs_179799</t>
  </si>
  <si>
    <t>e|-----------------|-------------------|--------------------|
B|-----------------|-2----3------2-2-2-|-2----3------2-2-2--|
G|-----------2-2-2-|-2----2------2-2-2-|-2----2------2-2-2--|
D|---------x-2-2-2-|-2----4------2-2-2-|-2----4------2-2-2--|
A|---------x-0-0-0-|-0----0------0-0-0-|-0----0------0-0-0--|
E|-----------------|-------------------|--------------------|</t>
  </si>
  <si>
    <t>https://tabs.ultimate-guitar.com/tab/queen/hammer_to_fall_tabs_272168</t>
  </si>
  <si>
    <t>E|-------------------------------------|
B|-------------------------------------|
G|----------5~-----2-x-2--x-x-x-2-x-2--|
D|----------5~-----2-x-2—-x-x-x-2-x-2--|
A|--(7)-----3~-----0-x-0--x-x-x-0-x-0--|
E|-------------------3----x-x-x---3----|
E|----------------------------------------------------|
B|--14h15-15--15p14-----14-14h15-15-15-15p14-15p14----|
G|--14----14--14--------14-14----14-14-14----14-------|
D|--14h16-16--16p14-----14-14h16-16-16-16p14-16p14----|
A|----------------------------------------------------|
E|----------------------------------------------------|
E|-----17p15----14--------------------------------------|
B|--14--------------17---15p14----15~------15p14--------|
G|-----------14----------------14----------------16p14--|
D|------------------------------------------------------|
A|------------------------------------------------------|
E|------------------------------------------------------|
E|------------------------------------|
B|--17-17-14—17b19-17-14--------------|
G|-----------------------18r16-16-14--|
D|------------------------------------|
A|------------------------------------|
E|------------------------------------|
E|--------------------------------------------------------|
B|--14-15p14-15p14-14-14~~---14-15p14-15p14-14-14-----14--|
G|--14-14----14----14-14~~---14-14----14----14-14--14-14--| (x3)
D|--14-16p14-16p14-14-14~~---14-16p14-16p14-14-14--14-14--|
A|--0----------------------------------------------0------|
E|--------------------------------------------------------|</t>
  </si>
  <si>
    <t>https://tabs.ultimate-guitar.com/tab/queen/we_will_rock_you_tabs_136085</t>
  </si>
  <si>
    <t>e|---------------------------------------------------------------------------|
B|---------------------------------------------------------------------------|
G|---------------------------------------------------------------------------|
D|---------------------------------------------------------8-----------------|
A|--6-------3-5-6--6-------3----6-------3-5-6-8-------5----8-----------------|
E|----3-4-6----------3-4-6---6----3-4-6---------5-6-8---8--6-----------------|</t>
  </si>
  <si>
    <t>https://tabs.ultimate-guitar.com/tab/queen/bohemian_rhapsody_tabs_36759</t>
  </si>
  <si>
    <t>Eb|-----------------------------------------|
Bb|-----------------------------------------|
Gb|-7-7-9-9-b10=10=r9-9---9-9-9-b10===r9-9--|
Db|-----------------------------------------|
Ab|-----------------------------------------|
Eb|-----------------------------------------|
                                            |  4x
Eb|-----------------------------------------|
Bb|-----------------------------------------|
Gb|-----2-2-3---3---------------------------|
Db|-5-5-2-2-3---3-----2---2---2-2-----2--2--|
Ab|-5-5-0-0-1---1-----2---2---2-2-----2--2--|
Eb|-3-3------------0--0---0---0-0-----0--0--|</t>
  </si>
  <si>
    <t>https://tabs.ultimate-guitar.com/tab/alice_in_chains/lesson_learned_tabs_878788</t>
  </si>
  <si>
    <t>Eb|----------------------------------|
Bb|----------------------------------|
Gb|---6-----------7------------------|
Db|---6-----------7------------------|
Ab|-6---6-6-6-6-6---5-5-5-5-5-5-5-66-|
Eb|-4---4-4-4-4-4---3-3-3-3-3-3-3-44-|</t>
  </si>
  <si>
    <t>https://tabs.ultimate-guitar.com/tab/alice_in_chains/again_tabs_155297</t>
  </si>
  <si>
    <t>https://tabs.ultimate-guitar.com/tab/alice_in_chains/it_aint_like_that_tabs_159177</t>
  </si>
  <si>
    <t>Eb|-----------------------|-----------------------|
Bb|-----------------------|-----------------------|
Gb|-----------------------|-2---------------------|
Db|-4-4-----2-----2-------|-2-----------2---4-4---|
Ab|-4-4-3h4---3h4---------|-0-0-0-3h4-0---0---0---|
Eb|-2-2-------------5-2---|-----------------------|
Eb|-------------------------|---------------------|
Bb|-------------------------|-------4---2-----2---|
Gb|-4-----------------------|-4-4---4---2-----2---|
Db|-4---------2-----2-------|-4-4---4---2-3b4-2---|
Ab|-2-2-2-3h4---3h4-----2---|-2-2-2---2-----------|
Eb|-------------------5-----|---------------------|
Eb|-----------------------|-----------------------|
Bb|-----------------------|-----------------------|
Gb|-----------------------|-2---------------------|
Db|-4-4-----2-----2-------|-2-----------2---4-4---|
Ab|-4-4-3h4---3h4---------|-0-0-0-3h4-0---0---0---|
Eb|-2-2-------------5-2---|-----------------------|
Eb|-------------------------|---------------|
Bb|-------------------------|---------------|
Gb|-4-----------------------|-4-4--5--4-2---|
Db|-4---------2-----2-------|-4-4--5--4-2---|
Ab|-2-2-2-3h4---3h4-----2---|-2-2--3--2-0---|
Eb|-------------------5-----|---------------|]</t>
  </si>
  <si>
    <t>https://tabs.ultimate-guitar.com/tab/alice_in_chains/put_you_down_tabs_200296</t>
  </si>
  <si>
    <t>https://tabs.ultimate-guitar.com/tab/alice_in_chains/lab_monkey_tabs_1251352</t>
  </si>
  <si>
    <t>https://tabs.ultimate-guitar.com/tab/alice_in_chains/dirt_tabs_18721</t>
  </si>
  <si>
    <t>D#|---------------------------------------------------------|
A#|---------------------------------------------------------|
F#|---------2-------2--------------2------------------------|
C#|---5p2-----5p2------------5p2-----5p2--------------------|
G#|---0---0---0---0---5b-5b--0---0---0---0-3b-0-3b----------|
C#|---------------------------------------------------------|</t>
  </si>
  <si>
    <t>D#|-11/12-12-12--x-12--x-x-12--12--x-x-|
A#|-11/12-12-12--x-12--x-x-12--12--x-x-|
F#|-11/12-12-12--x-12--x-x-12--12--x-x-|
C#|------------------------------------|
G#|------------------------------------|
D#|------------------------------------|</t>
  </si>
  <si>
    <t>https://tabs.ultimate-guitar.com/tab/alice_in_chains/i_know_something_tabs_155299</t>
  </si>
  <si>
    <t>https://tabs.ultimate-guitar.com/tab/alice_in_chains/sunshine_tabs_18745</t>
  </si>
  <si>
    <t>D#|-------------------------------------------------------------|
A#|---------------------------------12-13-12-13-12-13-12-13-12--|
F#|---------------------------------12-12-12-12-12-12-12-12-12--|
C#|--7--7---------------------3-----12-14-12-14-12-14-12-14-12--|
G#|--7----7-----------3-2-0---3---------------------------------|
D#|--5------5---0-3-5-------3-1---------------------------------|</t>
  </si>
  <si>
    <t>https://tabs.ultimate-guitar.com/tab/kiss/black_diamond_tabs_10295</t>
  </si>
  <si>
    <t>https://tabs.ultimate-guitar.com/tab/kiss/strutter_tabs_276221</t>
  </si>
  <si>
    <t>https://tabs.ultimate-guitar.com/tab/kiss/firehouse_tabs_122923</t>
  </si>
  <si>
    <t>e|-----------------|-----------------|
B|-----------------|--------8---8----|
G|-----------------|--------7---7----|
D|-----------------|-------(6)--6----|
A|---------5-5-6-6-|-7-7----7---7----|
E|--6s7--7---------|-----0---------0-|</t>
  </si>
  <si>
    <t>https://tabs.ultimate-guitar.com/tab/stevie_ray_vaughan_double_trouble/testify_tabs_35400</t>
  </si>
  <si>
    <t>eb|---------------------------------------------------------------------------|
Bb|------------------------------------------------------------8--------------|
Gb|------------------------------------------------------------8--------------|
Db|------------------------------------------------------------8--------------|
Ab|/10--10--10--10--10--10--12--10--10--10--10--10--12--10--10----------------|
Eb|/-8---8--12---8--11---8---8---8--12---8--11---8---8---8--11----------------|(x2)</t>
  </si>
  <si>
    <t>https://tabs.ultimate-guitar.com/tab/stevie_ray_vaughan_double_trouble/the_house_is_rockin_tabs_464651</t>
  </si>
  <si>
    <t>e|------------------------|-----------------------------|
B|------------------------|-----------------------------|
G|------------------------|-------------------2-(2)-3---|
D|------5-5-----5-5-------|-----5-5-----5-5---1-(1)-2---|
A|------------------------|-------------------3-(3)-4---|
E|--3-3-----3-3-----------|-3-3-----3-3-------1-(1)-2---|</t>
  </si>
  <si>
    <t>https://tabs.ultimate-guitar.com/tab/led_zeppelin/the_wanton_song_tabs_689216</t>
  </si>
  <si>
    <t>e|---------------------------|-------------------------|------|
B|---------------------------|-------------------------|------|
G|---------------------------|-------------------2-----|------|
D|--------4-----------4------|-------4-----------2-0-0-|-2----|
A|---------------------------|---------------0-0-0-0-0-|-2----|
E|--2-2-2---2-0-2-2-2---2-0--|-2-2-2---2-0-2-------0-0-|-0----|</t>
  </si>
  <si>
    <t>https://tabs.ultimate-guitar.com/tab/led_zeppelin/immigrant_song_tabs_94985</t>
  </si>
  <si>
    <t>e|0---0---0---0--0|--2-----0-------|----0---0---0--0|--2-----0-------|
B|2---2---2---2---|----3-----2-0---|----2---2---2---|----3-----2-0---|
G|2---2---2---2---|2-----2-------1-|----2---2---2---|2-----2-------1-|
D|2---2---2---2---|----------------|2---2---2---2---|----------------|
A|0---------------|----------------|0---------------|----------------|
E|----------------|----------------|----------------|----------------|
e|----0---0---0--0|--2-----0-------|0---0---0---0---|--2-----0-------|
B|----2---2---2---|----3-----2-0---|10--5---2---5---|----3-----2-0---|
G|----2---2---2---|2-----2---------|----------------|2-----2-------1-|
D|2---2---2---2---|----------------|----------------|----------------|
A|0---------------|----------------|----------------|----------------|
E|----------------|----------------|----------------|----------------|</t>
  </si>
  <si>
    <t>https://tabs.ultimate-guitar.com/tab/buddy_holly/words_of_love_tabs_991362</t>
  </si>
  <si>
    <t>e|-----------------|-----------------|-----------------|-----------------|
B|-----7---7---6-7-|-----5---5---4-5-|-----4-2---4-2---|-4-2---4-2---4-2-|
G|---6---8-----6-8-|---4---6-----4-6-|---2-----2-----2-|-4-2---4-2---4-2-|
D|-6---------6-----|-4---------4-----|-2---------------|-----2-----2-----|
A|-----------------|-----------------|-----------------|-----------------|
E|-----------------|-----------------|-----------------|-----------------|</t>
  </si>
  <si>
    <t>https://tabs.ultimate-guitar.com/tab/the_rolling_stones/gimme_shelter_tabs_3973</t>
  </si>
  <si>
    <t>E|-------------------|
B|---5-7b-7b-5-------|
G|---5-7b-7b-5-------|
D|-7-----------7-7-5-|
A|-------------------|
E|-------------------|
E|--------------------|
B|------------------5-|
G|------------------5-|
D|-7-7-7-x-7-7-7-7-7--|
A|-7-7-7-x-7-7-7-7-7--|
E|-5-5-5-x-5-5-5-5-5--|
E|---------------------|
B|---------------------|
G|---------------------|
D|-7-7-7-x-7-7-7-7-7-5-|
A|-7-7-7-x-7-7-7-7-7-5-|
E|-5-5-5-x-5-5-5-5-5-5-|
E|--------------------|
B|------------------5-|
G|------------------5-|
D|-7-7-7-x-7-7-7-7-7--|
A|-7-7-7-x-7-7-7-7-7--|
E|-5-5-5-x-5-5-5-5-5--|
E|---------------------|
B|---5-7b-7b-5---------|
G|---5-7b-7b-5---------|
D|-7-----------7-7-5-7-|
A|-------------------7-|
E|-------------------5-|</t>
  </si>
  <si>
    <t>https://tabs.ultimate-guitar.com/tab/jet/are_you_gonna_be_my_girl_tabs_202618</t>
  </si>
  <si>
    <t>|-----------------|-----------------|-----------------|-----------------|
|-9-9-9-9-9-9-9-9-|-9-9-9-9-9-9-9-9-|-9-9-9-9-9-9-9-9-|-9-9-9-9-9-9-9-9-|
|-----------------|-----------------|-----------------|-----------------|
|-----------------|-----------------|-----------------|-----------------|
|-----------------|-----------------|-----------------|-----------------|
|-----------------|-----------------|-----------------|-----------------|
|-7-7---7---------|-7-7---7---------|-------------7---|-------------7---|
|---------9---7---|---------9---7---|-6-6---6-9-------|-6-6---6-9-------|
|-----------------|-----------------|-----------------|-----------------|
|-----------------|-----------------|-----------------|-----------------|</t>
  </si>
  <si>
    <t>https://tabs.ultimate-guitar.com/tab/the_strokes/reptilia_tabs_151364</t>
  </si>
  <si>
    <t>e|-----------------------------|----------------------------|
B|---8-------------------------|--8-------------------------|
G|-------9---9p7-----7---9-----|------9---9p7-----7---9-----|
D|---------------9-------------|--------------9-------------|
A|-----------------------------|----------------------------|
E|-----------------------------|----------------------------|
e|------------------------------|---------------------------------|
B|--8---------------------------|--7-7-7-7-7-7-7-7-7-7------------|
G|------9---9p7-----7---9-------|----------------------7-7-7-7----|
D|--------------9---------------|---------------------------------|
A|------------------------------|---------------------------------|
E|------------------------------|---------------------------------|</t>
  </si>
  <si>
    <t>https://tabs.ultimate-guitar.com/tab/franz_ferdinand/take_me_out_tabs_106082</t>
  </si>
  <si>
    <t>e|-----8-------------------5------|
B|-------6-------------------3----|
G|---------0---0---0---0-------0--|
D|--/8-----------7---5---5--------|
A|-----------8--------------------|
E|--------------------------------|</t>
  </si>
  <si>
    <t>https://tabs.ultimate-guitar.com/tab/radiohead/high_and_dry_chords_1067552</t>
  </si>
  <si>
    <t>https://tabs.ultimate-guitar.com/tab/foo_fighters/let_it_die_tabs_582463</t>
  </si>
  <si>
    <t>e|----------------------------|-------------------------------|
B|--5----5--5-5---8-8--8----7-|--7--7--7--7-7---10-10--10-----|
G|--5----5--5-5-x-8-8--8--x-7-|--7--7--7--7-7-x-10-10--10-----|
D|--5----5--5-5-x-8-8--8--x-7-|--7--7--7--7-7-x-10-10--10--0--|
A|--3----3--3-3-x-6-6--6--x-5-|--5--5--5--5-5-x-8--8---8---0--|
E|----------------------------|-------------------------------|
e|----------------------------|--------------------------7----|
B|----------------------------|--------------------------x----|
G|--5---------7---8-------10--|--11--------13---14-------4----|
D|--x---------x---x-------x---|--x---------x----x-------------|
A|--3---------5---6-------8---|--9---------11---12------------|
E|----------------------------|-------------------------------|</t>
  </si>
  <si>
    <t>https://tabs.ultimate-guitar.com/tab/radiohead/just_tabs_139010</t>
  </si>
  <si>
    <t>e|-----------------------------|
b|-----------------------------|
g|---4-----X---7---X-----------|
D|---4-----X---7---X---4---7---|
A|---2-----X---5---X---4---7---| (x4)
E|---------------------2---5---|
e|-----------------------------------|
b|-----------------------------------|
g|--11--11--11----14--14----9--9--9--|
D|--9---9---9-----12--12----7--7--7--|
A|-----------------------------------| (x4)
E|-----------------------------------|
e|------------------------------|
b|------------------------------|
g|------------------------------|
D|--------1--2--2/4/2--1--------|
A|--2--3------------------3--2--| (x4)
E|------------------------------|</t>
  </si>
  <si>
    <t>https://tabs.ultimate-guitar.com/tab/the_offspring/come_out_and_play_tabs_149379</t>
  </si>
  <si>
    <t>e|---------------------------------|-----------------------------------|
B|---------------------------------|-----------------------------------|
G|-----6---6-----5---5-5-5-5/6-----|-----6---6-----5---5-5-5-5/6-------|
D|-8-8-8-8-8-8-8-8-8-8-8-8-8---8-8-|-4-4-4-4-4-4-4-4-4-4-4-4-4---4-4---|
A|---------------------------------|-----------------------------------|
E|---------------------------------|-----------------------------------|
e|---------------------------------|-----------------------------------|
B|---------------------------------|-----------------------------------|
G|-----6---6-----5---5-5-5-5/6-----|-6/8-----6-----5---5-5-5-5/6-------|
D|-6-6-6-6-6-6-6-6-6-6-6-6-6---6-6-|-6---6-6-6-6-6-6-6-6-6-6-----6-6---| x2
A|---------------------------------|-----------------------------------|
E|---------------------------------|-----------------------------------|
e|-----------------------------------------------------------------|
B|-----------------------------------------------------------------|
G|-----------------------------------------------------------------|
D|-----------------------------------------------------------------|
A|-1--1--3--4--------3-4------3-4-6-4--3--4------------------------|
E|--------------2--2-----4--6--------------------------------------| x2</t>
  </si>
  <si>
    <t>https://tabs.ultimate-guitar.com/tab/the_offspring/the_kids_arent_alright_tabs_5908</t>
  </si>
  <si>
    <t>https://tabs.ultimate-guitar.com/tab/muse/pressure_tabs_2480106</t>
  </si>
  <si>
    <t>Note that most rhythm strums bass notes (A and D strings) then treble (G and B strings) 
a shuffle pattern.
E|-------------------------------|
B|-------3--3--3------3-3---3----|
G|-2-2-2-2--2--2--2-2-2-2---2----|
D|-3-0-0----------3-0-------0----|
A|------------------------3------|
E|-------------------------------|</t>
  </si>
  <si>
    <t>e|--3--3--3--3-3-3-3-3--3--3-3--3-3-3--3--3-3-3--3--3-3-3-3-3-3-3----|
B|--3--3--3--3-3-3-3-3--3--3-3--3-3-3--3--3-3-3--3--3-3-3-3-3-3-3----|
G|--0--0--0--0-0-0-0-0--0--0-0--0-2-2--2--2-0-0--0--0-0-0-0-0-0-0----|
D|--2--2--2--2-2-2-0-0--0--0-0--0-0-0--0--0-0-2--2--0-2-2-0-2-2-0----|
A|--2--2--2--2-2-2-2-2--2--2-2----------------0--0----0-0-0-0-0------|
E|--0--0--0--0-0-0-3-3--3--3-3---------------------------------------|</t>
  </si>
  <si>
    <t>E|--------X--------X--------X--------X-----------X--------X--------X--------X-----|
B|--------X--------X--------X--------X-----------X--------X--------X--------X-----|
G|--------X--------X--------X--------X-----------X--------X--------X--------X-----|
D|--------X--------X--------X--------X-----------X--------X--------X--------X-----|
A|--9--9--X--4--4--X--5--5--X--7--7--X--7--9--9--X--4--4--X--5--5--X--7--7--X--7--|
E|--------X--------X--------X--------X-----------X--------X--------X--------X-----|</t>
  </si>
  <si>
    <t>e|-0----------0------------------0------------------|
b|-0----------0------------------0------------------|
g|-4----------4-/-5-/-2----------2-/-4-/-5-/-5------|
D|--------------------------------------------------|
A|--------------------------------------------------|
E|--------------------------------------------------|</t>
  </si>
  <si>
    <t>D#|-----------------------------------------------------------------|
A#|-----------------------------------------------------------------|
F#|-----------------------------------------------------------------|
C#|-7/----------------7/6----6/3----6-7-----------------------------|
G#|-5/-00000000000000-5/4-00-4/1-00-4-5--00000--00-----00-----------|
C#|----00000000000000-----00-----00------00000--00-7bv-00-7b8d7v----|</t>
  </si>
  <si>
    <t>e|----0---0-----0---0------0---0-------0---0--------0---0-----0---0---------|
B|------3---------3----------3-----------3------------3---------3-----------|
G|---------------------------------------------0-------------------2b-4/2p0-|
D|---------------------x0---------xx----------x0----------------------------|
A|2--------------------x2---------xx----------xx-2---------2----------------|
E|0--------3-0---------x3-0-------xx-0--------x3-0-------3-0----------------|
e|----0---0--------0---0---------0---0-----0---0------------x-x---0---0-----|
B|------3---2b-0-----3-------------3---------3--------------x-x-----3-------|
G|-------------------------0h1-------------------2b-4/2p0---2-4-------------|
D|-----------------------x--------------------------------x-x-x---------x-x-|
A|-2---------------------x-----2---------2----------------x-----2-------x-x-|
E|-0-------------0-------x-----0-------3-0----------------x-----0-------x-x-|</t>
  </si>
  <si>
    <t>d#|---------------------------------------------------------------------------|
A#|------------------------------------------5--------------------------------|
F#|------------------------------------------7^-------------------------------|
C#|---------------------------------------------------------------------------|
G#|---------------2-----------------2-----------------------------------------|
D#|-0-0-0-0-0-0-0-0---0-0-0-0-0-0-0-0-----------------------------------------|
d#|---------------------------------------------------------------------------|
A#|---------------------------------------------------------------------------|
F#|---------------------------------------------------------------------------|
C#|---------------------------------------------------------------------------|
G#|---------------2-----------------2---3-/-5-/-3---5---3---------------------|
D#|-0-0-0-0-0-0-0-0---0-0-0-0-0-0-0-0---1-/-3-/-1---3---1---------------------|</t>
  </si>
  <si>
    <t>Eb|-0---------|
Bb|-0---------|
Gb|-1---------| x8
Db|-2---------|
Ab|-2---------|
Eb|-0---3/4/3-|
Eb|-----------------|
Bb|-----------------|
Gb|-----------------| x8
Db|-----------------|
Ab|-2-2-3-3-3-5-3-2-|
Eb|-0-0-1-1-1-3-1-0-|</t>
  </si>
  <si>
    <t>Eb|---------------------------------------------------------------------------------|
Bb|-----7----9-9br-----------------------------10-x-10--12/10-9----------7----------|
Gb|--/7----7--------------------------------------x---------------------------7-----|
Db|----------------10~-----9br-7-9p7------------7-x--7---9/-7-6------/7----7----6~--|
Ab|---------------------------------------------------------------------------------|
Eb|-----------------------------------10--------------------------------------------|</t>
  </si>
  <si>
    <t>D#|------------------------------------|---------------------------------------|
A#|------------2h3--2------------------|--------2h3----------------------------|
F#|-2h3p2-----------------2h3p2--------|2h3p2---------9-9/10-10/7-7------------|
C#|----------------------------------5-|---------------------------------------|
G#|-------0----------------------0-----|------0-------7-7/-8--8/5-5p0----------|
D#|------------------------------------|---------------------------------------|</t>
  </si>
  <si>
    <t>D#|---------------||---------------------|------------------------------|
A#|---------------||---------------------|------------------------------|
F#|---------------||---------------------|------------------------------|
C#|-----------4-4-||-4---6-4-6-4-x-12----|-(12)-12-14-12-12-12-12--7--7-|
G#|-----------2-2-||-2---2-2-2-2---10----|-(10)-10-10-10-10-10-10--5--5-|
D#|---------------||---------------------|------------------------------|
D#|----------------------|---------------------|----------------------|
A#|----------------------|---------------------|----------------------|
F#|----------------------|---------------------|----------------------|
C#|--7--7-9-7-9-7----2---|-(2)-2-4-2-4-4-x-4-4-|-4---6-4-6-4-x-12-----|
G#|--5--5-5-5-5-5-5/-0---|-(0)-0-0-0-0-0---2-2-|-2---2-2-2-2---10-----|
D#|----------------------|---------------------|----------------------|</t>
  </si>
  <si>
    <t>D#|--------------------------------------------------------------------------------------|
A#|----------------------------------7--8--7--8--7--8--7---------------------------------|
C#|-2----2----4----2----2----2--2----7--7--7--7--7--7--7----9----9--9--9--9--9-----------|
F#|-2----4----6----4----2----4--2----7--9--7--9--7--9--7----7----7--7--7--7--7-----------|
G#|-0----0----0----0----0----0--0---------------------------7----7--7--7--7--7--10--12/--|
D#|--------------------------------------------------------------------------------------|</t>
  </si>
  <si>
    <t>e|--4--4--4--4/2--2--2--2--2----4--4--4--4/0--0--0--0--0----0-|
B|--0--0--0--0/0--0--0--0--0----0--0--0--0/0--0--0--0--0----0-|
G|--6--6--6--6/4--4--4--4--4----6--6--6--6/2--2--2--2--2----1-|
D|--6--6--6--6/4--4--4--4--4----6--6--6--6/2--2--2--2--2----2-|
a|--x--x--x--x-x--X--X--X--X----x--x--x--x-0--0--0--0--0----2-|
E|--x--x--x--x-x--X--X--X--X----x--x--x--x-x--x--x--x--x----0-|
e|--4--4--4--4/2--2--2--2--2----4--4--4--4/0--0--0--0--0----0-|
B|--0--0--0--0/0--0--0--0--0----0--0--0--0/0--0--0--0--0----0-|
G|--6--6--6--6/4--4--4--4--4----6--6--6--6/2--2--2--2--2----1-|
D|--6--6--6--6/4--4--4--4--4----6--6--6--6/2--2--2--2--2----2-|
A|--x--x--x--x-x--X--X--X--X----x--x--x--x-0--0--0--0--0----2-|
E|--x--x--x--x-x--X--X--X--X----x--x--x--x-x--x--x--x--x----0-|</t>
  </si>
  <si>
    <t>e|-----------------------------|----------------------|
B|-----------------------------|----------------------|
G|--9---9/16--14-12-12--12/11--|--4/14-12-11-12--12/--|
D|-----------------------------|----------------------| (x2)
A|-----------------------------|----------------------|
E|-----------------------------|----------------------|</t>
  </si>
  <si>
    <t>Pack</t>
  </si>
  <si>
    <t xml:space="preserve">  This Is Really Bass Guitar But Here's How To Do It On Guitar
G|---------------------------------------------------------------------------------------------|
D|-------------/12-11-10-9-(9)/12------12-----------------/12-11-10-9-(9)/12------12-----------|
A|--------------------------------10-9---------------------------------------10-9--------------|
E|----------------------------------------10-9-(9)----------------------------------10-9-(9)---|
e|-----------------|-----------------|-----------------|-----------------|
B|-----------------|-----------------|-----------------|-----------------|
G|-----------------|-----------------|-----------------|-----------------| x2
D|-----------------|---------------2-|-----------------|---------------4-|
A|-2-5-4-3-2-5-4-3-|-2-5-4-3-2-4-5-0-|-2-5-4-3-2-5-4-3-|-2-5-4-3-2-4-5-2-|
E|-0-3-2-1-0-3-2-1-|-0-3-2-1-0-2-3---|-0-3-2-1-0-3-2-1-|-0-3-2-1-0-2-3---|</t>
  </si>
  <si>
    <t>Ultimate Guitar</t>
  </si>
  <si>
    <t>https://tabs.ultimate-guitar.com/tab/the-white-stripes/seven-nation-army-bass-50374</t>
  </si>
  <si>
    <t>[Verse]
G|------------------|
D|------5-----------|
A|-7--7---7--5------|
E|-------------8--7-|
[Chorus]
G|--------------------------------------------|
D|------5-----------------5-------------------|
A|-7--7---7--5-------7--7----7--5----5--------|
E|-------------8--7----------------8----8--7~-|
[Bridge]
G|-----------------------------------|
D|-----------------------------------|
A|-----------------------------------|
E|-3-3-3-3-3-3-3-3-3-5-5-5-5-5-5-5-5-|</t>
  </si>
  <si>
    <t>R&amp;B</t>
  </si>
  <si>
    <t>https://tabs.ultimate-guitar.com/tab/michael-jackson/billie-jean-bass-10579</t>
  </si>
  <si>
    <t xml:space="preserve"> [RIFF.1] (in F#)
G|--------------------|
D|---4---2-4-2--------|
A|-----4-------4-2-4--|
E|--------------------| 
 [RIFF.2] (in B)
G|---4---2-4----------|--4---2-4----------|
D|-----4-------4-2-4--|----4-------4-2----|
A|--------------------|----------------4--|
E|--------------------|-------------------| </t>
  </si>
  <si>
    <t>Chic</t>
  </si>
  <si>
    <t>Good Times</t>
  </si>
  <si>
    <t>Er9xGRolrT4</t>
  </si>
  <si>
    <t>https://tabs.ultimate-guitar.com/tab/chic/good-times-bass-1071800</t>
  </si>
  <si>
    <t>G|-------------------------------------------------------------------|
D|-----------------------------0h2-------------4-5p4-----------------|
A|--------------------0--2--4-------0--0--0x-00-0---0-0h2------------|
E|-0--0--0x--0-0h2-3---------------------------------------3---------|</t>
  </si>
  <si>
    <t>https://tabs.ultimate-guitar.com/tab/queen/another-one-bites-the-dust-bass-4729</t>
  </si>
  <si>
    <t>[Intro]
G|---------------------------|---------------------------|
D|---------------------------|---------------------------|
A|---------------------------|---------------------------|
E|-5-3---0-0-0---0-0-0-3-0-5-|-5-3---0-0-0---0-0-0-3-0-5-|
[Main Riff/Verse]
G|-----------------------|-----------------------|-----------------------|-----------------------|
D|-----------------------|-----------------------|-----------------------|-----------------------|
A|-----------------------|-----------------------|-----------------------|-----------------------|
E|--0-0-0---0-0-0-3-0-5--|--0-0-0---0-0-0-3-0-5--|--0-0-0---0-0-0-3-0-5--|--0-0-0---0-0-0-3-0-5--|
G|-----------------------|-----------------------|-----------------------|
D|-----------------------|-----------------------|-----------------------|
A|-----------------------|-----------------------|-----------------------|
E|--0-0-0---0-0-0-3-0-5--|--0-0-0---0-0-0-3-0-5--|--0-0-0---0-0-0-3-0-5--|
[Pre-Chorus]
G|---------------------|---------------------|---------------------|-------------------|
D|--------------5------|---------------------|--------------5------|-------------------|
A|-3-3--3--4-5---------|-3-3--3--4-5---------|-3-3--3--4-5---------|-------------------|
E|-----------------3---|-----------------3---|-----------------3---|-5-5---5-6-7--7--3-|
[Chorus]
G|-----------------------|-----------------------|-----------------|-----------------|
D|-----------------------|-----------------------|-----------------|-----------------|
A|-----------------------|-----------------------|-----------------|-----------------|
E|--0-0-0---0-0-0-3-0-5--|--0-0-0---0-0-0-3-0-5--|-2--7-6--5-5-5---|--2----------3---|</t>
  </si>
  <si>
    <t>https://tabs.ultimate-guitar.com/tab/red-hot-chili-peppers/cant-stop-bass-1049084</t>
  </si>
  <si>
    <t>G|----7--9-------7---9---9---|----7--9--------7---9---9---|
D|---------------------------|----------------------------|
A|-7-------7-7-X---X---X---7-|-5--------5-5-X---X---X-----|
E|---------------------------|--------------------------5-|
G|---------------------------|-------------------------------|
D|----9--9-------9---9---9---|----10--10---------------------|
A|---------------------------|-----------------10---9---7----|
E|-7-------7-7-X---X---X---7-|-8---------8-8-X----X---X---10-|</t>
  </si>
  <si>
    <t>Higher Ground</t>
  </si>
  <si>
    <t>HZySqMlEuSQ</t>
  </si>
  <si>
    <t>https://tabs.ultimate-guitar.com/tab/red-hot-chili-peppers/higher-ground-bass-325527</t>
  </si>
  <si>
    <t>[Intro]
G|------------------------[---------]--[---------]-|
D|-------------2-------------------5-----------7---|
A|-------------------------------------------------|
E|-0-----0-----------0-----3---3-------5---5-------|
G|------------------------[---------]--[---------]-|
D|-------------2-------------------5-------7-------|
A|-------------------------------------------------|
E|-0-----0-----------0-----3---3-------5-------5---|</t>
  </si>
  <si>
    <t>Daft Punk</t>
  </si>
  <si>
    <t>Around The World</t>
  </si>
  <si>
    <t>LKYPYj2XX80</t>
  </si>
  <si>
    <t>https://tabs.ultimate-guitar.com/tab/daft-punk/around-the-world-bass-144686</t>
  </si>
  <si>
    <t>G|---------------------------|
D|--2-4--2-------------------|
A|----------5--3--2----------|
E|-------------------5--3----|
G|-------------------------------------------------------------------|
D|------------------------------2--2--2--2--2-4--2-------------------|
A|--------------2-3--3--3--3--5---------------------5--3--2----------|
E|--5--5--5--5-----------------------------------------------5--3----|</t>
  </si>
  <si>
    <t>Le Freak</t>
  </si>
  <si>
    <t>aXgSHL7efKg</t>
  </si>
  <si>
    <t>https://tabs.ultimate-guitar.com/tab/chic/le-freak-bass-1185710</t>
  </si>
  <si>
    <t>G|-------------------------------------------|
D|-------------------------------------------|
A|--------3-3---------5---5--------3---3-----|
E|5---3-5-----5-3-5---------3-55----------3-3|</t>
  </si>
  <si>
    <t>os7vArsFTws</t>
  </si>
  <si>
    <t>https://tabs.ultimate-guitar.com/tab/jet/are-you-gonna-be-my-girl-bass-202612</t>
  </si>
  <si>
    <t>G|--------------------|---------------------|
D|--------------------|---------------------|
A|------------------3-|---------------------|
E|-5-5-5--5-5--0h3h5--|-5-5-5--5-5--0h3-0h3-|
G|--------------------|-------------------|
D|--------------------|-------------------|
A|------------------3-|---3-5b--5-3-------|
E|-5-5-5--5-5--0h3h5--|-5----------5--5-3-|</t>
  </si>
  <si>
    <t>Sly and The Family Stone</t>
  </si>
  <si>
    <t>If You Want Me to Stay</t>
  </si>
  <si>
    <t>Soul</t>
  </si>
  <si>
    <t>gZFabOuF4Ps</t>
  </si>
  <si>
    <t>https://tabs.ultimate-guitar.com/tab/sly-the-family-stone/if-you-want-me-to-stay-bass-1452776</t>
  </si>
  <si>
    <t>G|-------------------|-----------------|-----------------|
D|-8-8---------------|---------------3-|-4-4-4-4-4-4-4-4-|
A|-------------------|-------6-4-4-4---|-----------------|
E|-----6-6-6-6-6-6-5-|-4-4-4-----------|-----------------|
G|-----------------------|
D|-6-6-6-6-----10-10-9-9-|
A|---------8-8-----------|
E|-----------------------|</t>
  </si>
  <si>
    <t>I Want Your Love</t>
  </si>
  <si>
    <t>hjqPmqXy7nc</t>
  </si>
  <si>
    <t>https://tabs.ultimate-guitar.com/tab/chic/i-want-your-love-bass-1668109</t>
  </si>
  <si>
    <t>G|--------|--------|--------|--------|--------|--------|--------|--------|
D|--------|--------|--------|--------|--------|--------|--------|--------|
A|--------|--------|--------|--------|--------|-----076|5-5--056|7-7-----|
E|5-5--5-0|5------0|345-----|0------0|1-1--1-0|1-------|--------|-----034|</t>
  </si>
  <si>
    <t>The Commitments</t>
  </si>
  <si>
    <t>Treat Her Right</t>
  </si>
  <si>
    <t>KoLP3AArnEI</t>
  </si>
  <si>
    <t>https://tabs.ultimate-guitar.com/tab/george-thorogood-the-destroyers/treat-her-right-bass-993</t>
  </si>
  <si>
    <t>G|---+-----------------+----5---3-3-4-5--+----7---5-5-6-7--+-------|
D|4:-|*---5---3-3-4-5-*|*-----5---------*|*-----7---------*|-5-R-R-|
A|4:-|*-----5---------*|*-3-------------*|*-5-------------*|-------|
E|---+--3--------------+-----------------+-----------------+-------|</t>
  </si>
  <si>
    <t>https://tabs.ultimate-guitar.com/tab/red-hot-chili-peppers/give-it-away-bass-202825</t>
  </si>
  <si>
    <t>[Intro]
G|----------------------------------|
D|----------------------------------|
A|----------------------------------|
E|-------5/17----5/15---------------|
[Verse]
G|--------------12---------------12/----------------|
D|-----------/14--------------/14-------------------|
A|-----0-------------3-3-0----------------0h3-0-----|    x6
E|--------------------------------------------------|
[Chorus]
G|-----------------------------|
D|-----------------------------|
A|-----------------------------|
E|-----3/5-----3/5-----3/5-----|</t>
  </si>
  <si>
    <t>https://tabs.ultimate-guitar.com/tab/muse/hysteria-bass-96516</t>
  </si>
  <si>
    <t>[Intro]
G|------------------------------------------------------------------|
D|o-----5---5h7---5-------------------------------5-------5-5---5-7-|
A|o-0-0---0-----0---0-7-0-8-8-7-5-7-----5---5h7-------7-------7-----|
E|----------------------------------0-0---0-----0---0---0-----------|
G|-----5---5h7---5---5p4---4p3---3p2--------------------------------|
D|-0-0---0-----0---0-----0-----0-------5---5h7---5-----------------o|
A|-----------------------------------0---0-----0---0-7-0-8-8-7-5-7-o| x4
E|------------------------------------------------------------------|</t>
  </si>
  <si>
    <t>The Trammps</t>
  </si>
  <si>
    <t>Disco Inferno</t>
  </si>
  <si>
    <t>A_sY2rjxq6M</t>
  </si>
  <si>
    <t>https://tabs.ultimate-guitar.com/tab/the-trammps/disco-inferno-bass-856989</t>
  </si>
  <si>
    <t>[Intro]
G|88-66-44---------------------|
D|------------66-33------------|
A|--------------------66-44----|
E|--------------------------6--|
[Verse]
G|--------------------------------------|
D|------5------3-------------5--------3-|
A|-3--3--3--6-------3-----3----3---66---|
E|----------------6---------------------|
G|--------------------------------------|
D|-----5--------3----------5----2---3---|
A|3--3---3--6----------3------0----1---2|
E|-----------------6--------------------|
[Chorus]
G|----------------------------------------------------------------|
D|--3--3-2-0-0----------------------------------------------------|
A|3------------3--1--1-0----0---1---3------3-----3---------------3|
E|------------------------3------------0--0---1-3-----33---3---5--|
G|--------------------------------------------------------|
D|-3--3-2-0-0---------------------------------------------|
A|------------3-1---1--0----0---1--3-33--3-3---3--3-3--1-0|
E|------------------------3-------------------------------|</t>
  </si>
  <si>
    <t>Jamiroquai</t>
  </si>
  <si>
    <t>White Knuckle Ride</t>
  </si>
  <si>
    <t>Funk</t>
  </si>
  <si>
    <t>7yUq1-BRlPE</t>
  </si>
  <si>
    <t>https://tabs.ultimate-guitar.com/tab/jamiroquai/white-knuckle-ride-bass-1155334</t>
  </si>
  <si>
    <t>G|-15--14-\\\\-9--7----15--14-\\\\-9--10-|
D|-----------------------------------|
A|-----------------------------------|
E|-15--13-\\\\-8--6----15--13-\\\\-8--10-|
G|-------------------5----10---8---7-|------------------------------|
D|-----------------------------------|------------------------------|
A|-3-3--3---3----1/3----8----6----5--|-------------------x-3--1-3-1-| x6
E|-----------------------------------|-3-3--3---3-1h3-3-------------|</t>
  </si>
  <si>
    <t>Runaway</t>
  </si>
  <si>
    <t>uldpc4rWNXQ</t>
  </si>
  <si>
    <t>https://tabs.ultimate-guitar.com/tab/jamiroquai/runaway-bass-556089</t>
  </si>
  <si>
    <t>[Verse / Intro]
G|-----8-7--5----------------------------------------8---------------------|x8
D|------------8-------------------------3----------------------------------|
A|-----------------------3-------------------------6-----------------------|
E|-8---------------0-3-4---4-4--3-----1------------------------------------|
[Chorus]
G|-------------------------------------3-h5--------------------------------|
D|--------------------------------3-h5-----------------------66------------|
A|-3-3-33-3-3---33---3-3-33-3-3--------------3-----------------------------|
E|-----------------------------------------------4-4-44-4-4------4-4-44-4-4|
G|-------------------------------------------------------------------------|
D|---6----5----------------------------------------------------------------|
A|--------------------------------------------14/---6-6-66-6-6-6-66-6------|
E|-4----3------1-1-11-1-1--14/---0-0-00-0-0--------------------------------|
G|-------------(5-h7)----------------(4-h7)|
D|-------(5-h7)----------------(4-h6)------|
A|-5-5-------------------4-4---------------|
E|-----------------------------------------|</t>
  </si>
  <si>
    <t>Parliament</t>
  </si>
  <si>
    <t>Flashlight</t>
  </si>
  <si>
    <t>bWurqD68u70</t>
  </si>
  <si>
    <t>https://tabs.ultimate-guitar.com/tab/parliament/flashlight-bass-5100</t>
  </si>
  <si>
    <t xml:space="preserve"> Main Riff - varies throughout the whole song
G|------------------------------------------------------------------------------|
D|------------------------------------------------------------------------------|
A|------------------------------------------------------------------------------|
E|--7--7--5--5--2--2--1--1--0--------------0-4-5-6------------------------------|</t>
  </si>
  <si>
    <t>Stevie Wonder</t>
  </si>
  <si>
    <t>Master Blaster</t>
  </si>
  <si>
    <t>V4n27JuJhXc</t>
  </si>
  <si>
    <t>https://tabs.ultimate-guitar.com/tab/stevie-wonder/master-blaster-bass-47388</t>
  </si>
  <si>
    <t>[Riff A]
G|-----5-5-----5-5-----3-3----------------------------|
D|--------------------------------6-6-----6-6----5-5--|
A|-3-3-----3-3-----1-1--------------------------------|
E|----------------------------4-4-----4-4----3-3------|
G|--------------------------------5-5-----3-----------|
D|-----3-3-----3-3-----3-3----------------------------|
A|----------------------------3-3-----1-1-------------|
E|-1-1-----1-1-----1-1--------------------------------|
[Pre-chorus] x4
(Riff B)
G|-5-5------------------5---3-3---3-------------------|
D|-----5-5---5-----------5-------3----6-6-------------|
A|---------6---6--3-----------------------6-6-3-6-3---|
E|--------------------------------------------------4-|
G|----------------------------------------------------|
D|-6----5-5---5-----3-3---------3------3-1-3-1--------|
A|---6------5-----------3-3-0-3----------------3-1----|
E|----------------------------------------------------|
G|----------------------------------------------------|
D|-----5-5--------3-3---------------------------------|
A|-3-3-----3--1-1-----1-------------------------------|
E|----------------------------------------------------|
[Chorus] x2
(Riff C)
G|----------------------------------------------------|
D|------------------------------------------1-3-------|
A|-3-3-----3---5-5-5-5------------3-3-----3-----------|
E|-----3-3-------------3-3---1-1------1---------------|
G|----------------------------------------------------|
D|-55-33-11-------------------------------------------|
A|----------3-1---------------------------------------|
E|----------------------------------------------------|</t>
  </si>
  <si>
    <t>Gorillaz</t>
  </si>
  <si>
    <t>Feel Good Inc.</t>
  </si>
  <si>
    <t>HyHNuVaZJ-k</t>
  </si>
  <si>
    <t>https://tabs.ultimate-guitar.com/tab/gorillaz/feel-good-inc-bass-177834</t>
  </si>
  <si>
    <t>Gb|---------|--------------|----------|--------------|----------|
Db|---------|--------------|----------|--------------|----------|
Ab|---------|------------3-|-2--------|-0---0-3-2----|----------|
Eb|---------|-0---0-2-3----|----------|------------3-|--0-------|</t>
  </si>
  <si>
    <t>James Brown</t>
  </si>
  <si>
    <t>I Got You (I Feel Good)</t>
  </si>
  <si>
    <t>Jazz</t>
  </si>
  <si>
    <t>Lrv-Morm-c0</t>
  </si>
  <si>
    <t>https://tabs.ultimate-guitar.com/tab/james-brown/i-got-you-i-feel-good-bass-750182</t>
  </si>
  <si>
    <t>G|-------7-6-7-6-7-6-7------7--5----------]
D|---------------------------------7------] Repeat x2
A|---5------------------5-----------------]
E|----------------------------------------]
G|-------------------------------------]
D|-----5-4-5-4-5-4-5------5---3--------]
A|---------------------------------3---]
E|--3------------------3---------------]</t>
  </si>
  <si>
    <t>Los Lobos</t>
  </si>
  <si>
    <t>nLAWPrCUQQ0</t>
  </si>
  <si>
    <t>https://tabs.ultimate-guitar.com/tab/los-lobos/la-bamba-bass-1642128</t>
  </si>
  <si>
    <t>G|---------4---------------------------------------------|
D|---4-7-5---7-------5-5-4-------------------------------|
A|-5-------------4-7-------7-----------------------------|
E|-------------5-----------------------------------------|</t>
  </si>
  <si>
    <t>Kaoma</t>
  </si>
  <si>
    <t>Lambada</t>
  </si>
  <si>
    <t>Reggae</t>
  </si>
  <si>
    <t>iyLdoQGBchQ</t>
  </si>
  <si>
    <t>https://tabs.ultimate-guitar.com/tab/kaoma/lambada-bass-1071432</t>
  </si>
  <si>
    <t>G|---------------------------------------------------------------|
D|--7----5-3-2-0--0-3-2-0---0------------------------------------| x2
A|------------------------3---0---0------------------------------|
E|------------------------------3--------------------------------|
G|--------------------------|-------------------------------------|
D|--5-5-5-3------0-7--5-3---|-0-3-2--0-----0---0------------------|
A|----------1--1----------1-|----------3-3---3--------------------|
E|--------------------------|-------------------------------------|
G|--------------------------|------------------------------------|
D|--5-5-5-3------0-7--5-3---|-0-3-2-0------2-5-323---------------|
A|----------1--1----------1-|----------3-3-----------------------|
E|--------------------------|------------------------------------|</t>
  </si>
  <si>
    <t>cpbbuaIA3Ds</t>
  </si>
  <si>
    <t>https://tabs.ultimate-guitar.com/tab/pink-floyd/money-bass-5206</t>
  </si>
  <si>
    <t xml:space="preserve">G|------4---------------------------4------------------------|
D|o-------4-----------------0---------4-----------------0---o|
A|o-2-------2-r-----0---2-r-----2-------2-r-----0---2-r-----o|x4
E|--------------2---------------------------2----------------| </t>
  </si>
  <si>
    <t>45cYwDMibGo</t>
  </si>
  <si>
    <t>https://tabs.ultimate-guitar.com/tab/the-beatles/come-together-bass-27919</t>
  </si>
  <si>
    <t>G|--------------10^-------|
D|------------------12\\5--|
A|--------10h12-----------|
E|--10-10-----------------|
G|-------------------------|
D|-------------------------|
A|--12--12|12-12|12-12|12--|
E|-------------------------|</t>
  </si>
  <si>
    <t>We've Gotta Get Out Of This Place</t>
  </si>
  <si>
    <t>Q3mgapAcVdU</t>
  </si>
  <si>
    <t>https://tabs.ultimate-guitar.com/tab/the-animals/weve-gotta-get-out-of-this-place-bass-1494980</t>
  </si>
  <si>
    <t>Intro
G|--------3-2-0---|--------3-2-0---|--------3-2-0---|--------3-2-0---|
D|----5---------3-|----5---------3-|----5---------3-|----5---------3-|
A|-3----3---------|-3----3---------|-3----3---------|-3----3---------|
E|----------------|----------------|----------------|----------------|</t>
  </si>
  <si>
    <t>Crazy Little Thing Called Love</t>
  </si>
  <si>
    <t>zO6D_BAuYCI</t>
  </si>
  <si>
    <t>https://tabs.ultimate-guitar.com/tab/queen/crazy-little-thing-called-love-bass-966137</t>
  </si>
  <si>
    <t>G|----------4-|----------4-|----4--7--9-|-5--5--4----|
D|----4--7----|----4--7----|-5----------|----------5-|
A|-5----------|-5----------|------------|------------|
E|------------|------------|------------|------------|
G|----------4-|----------4-|----4--7--9-|-5--5--4----|
D|----4--7----|----4--7----|-5----------|----------5-|
A|-5----------|-5----------|------------|------------|
E|------------|------------|------------|------------|
G|----------4-|------------|----------4-|-7----------|
D|----4--7----|------------|----4--7----|------------|
A|-5----------|------------|-5----------|------------|
E|------------|-6--6--8--8-|------------|------------|</t>
  </si>
  <si>
    <t>The Jackson 5</t>
  </si>
  <si>
    <t>I Want You Back</t>
  </si>
  <si>
    <t>s3Q80mk7bxE</t>
  </si>
  <si>
    <t>https://tabs.ultimate-guitar.com/tab/the-jackson-5/i-want-you-back-bass-10844</t>
  </si>
  <si>
    <t>[Verse]
G|---------------------------------------------------------------|
D|---------1-3------------0-1-2-3--------------------------------|
A|-----2/3-----4----1-3-4---------3--4-------6-------------------|
E|-4-----------------------------------4--6-----4----------------|
G|---------------------------------------------------------------|
D|---------1-3------------0-1-2-3----------------------6--6------|
A|-----2/3-----4----1-3-4---------3--4-------6------6-8-8--------|
E|-4-----------------------------------4--6-----4----------------|</t>
  </si>
  <si>
    <t>Cheryl Lynn</t>
  </si>
  <si>
    <t>Got to be Real</t>
  </si>
  <si>
    <t>tlCC1XojRzM</t>
  </si>
  <si>
    <t>https://tabs.ultimate-guitar.com/tab/cheryl-lynn/got-to-be-real-bass-353764</t>
  </si>
  <si>
    <t>G|--------------------------------|
D|-----------3h5------------------|
A|-6---6-5------------------3--5--|
E|----------------3--3--3---------|</t>
  </si>
  <si>
    <t>Rain</t>
  </si>
  <si>
    <t>cK5G8fPmWeA</t>
  </si>
  <si>
    <t>https://tabs.ultimate-guitar.com/tab/the-beatles/rain-bass-496239</t>
  </si>
  <si>
    <t>G|-------- -------- -------- --------|-------- -------- -------- --------|
D|-----------------------------------|-----------------------------------|
A|-----------------------------------|---------------------------------8/|
E|-----------------------------------|-----------------------------------|
G|-------- 12----12 ----1012 12------|-------- 12----12 ----1012R10------|
D|------------------1012--H----------|------------------1012--H----------|
A|10------------------H--------------|10------------------H--------------|
E|-----------------------------------|-----------------------------------|
G|-------- 12----12 ----1012 12------|-------- -------- -------- --------|
D|------------------1012--H----------|-----------------------------------|
A|10------------------H--------------|10---------------------------------|
E|-----------------------------------|-----------------------------------|</t>
  </si>
  <si>
    <t>War</t>
  </si>
  <si>
    <t>Low Rider</t>
  </si>
  <si>
    <t>qMkwuz0iXQg</t>
  </si>
  <si>
    <t>https://tabs.ultimate-guitar.com/tab/war/low-rider-bass-119557</t>
  </si>
  <si>
    <t>G|---------------------|
D|-------------3--5353-|
A|------1-3--5---------|
E|-1-3-----------------|
G|-------------------35-|
D|-------------3--535---|
A|------1-3--5----------|
E|-1-3------------------|
G|----------------------|
D|-------------3--53575-|
A|------1-3--5----------|
E|-1-3------------------|</t>
  </si>
  <si>
    <t>MC Hammer</t>
  </si>
  <si>
    <t>U Can't Touch This</t>
  </si>
  <si>
    <t>otCpCn0l4Wo</t>
  </si>
  <si>
    <t>https://tabs.ultimate-guitar.com/tab/mc-hammer/u-cant-touch-this-bass-6790</t>
  </si>
  <si>
    <t>G|-----------------------------------------------|
D|-----------------------------------------------|
A|--5----3--2--0---------------2--0--------------|
E|--------------------0--3-----------------------|</t>
  </si>
  <si>
    <t>Aeroplane</t>
  </si>
  <si>
    <t>vV8IAOojoAA</t>
  </si>
  <si>
    <t>https://tabs.ultimate-guitar.com/tab/red-hot-chili-peppers/aeroplane-bass-99909</t>
  </si>
  <si>
    <t>[Intro]
G-|----17------17/19-|-\\17----------------|------------------|-------------|
D-|------------------|----17--------------|-17---------------|-------------|
A-|-/15--------------|------15------15h17-|--------15--------|-------------|
E-|------------------|--------------------|-------------15\\--|-8------8/15-|
G-|---------------------|-17-------21--19---17-|-17----------|-------------|
D-|---------------17/19-|-------17---17---17---|----------17-|-------------|
A-|-15h17p15------------|----------------------|-------------|-15h17p15----|
E-|---------------------|----------------------|-------------|-------------|
[Chorus]
G-|-------------|--------------|-------------|-----------------------------|
D-|-------------|--------------|-------------|-----------------------------|
A-|-------------|--------------|-------------|-----------------------------|
E-|-15\\---5-6---|-8~~---0h1/10-|-15\\---5-6---|-8--8-8-8/10--10-10/11-11/13-|
G-|-------------|----------------|----------------|-----------------|
D-|-------------|----------------|----------------|-----------2--3--|
A-|-------------|----------------|-----0---1--/5--|-3---3-3-3-------|
E-|-15\\---5-6---|-8~~---0-1--1h2-|-3--------------|-----------------|
G-|-----------------|----------------------|---------------------|
D-|-----------------|----------3/5---3-----|-------------------5-|
A-|----0--1--3--3/5-|-3--5--6----------5-3-|-3--5-6--6h8p6-6-8---|
E-|-3---------------|----------------------|---------------------|</t>
  </si>
  <si>
    <t>The Commodores</t>
  </si>
  <si>
    <t>Brick House</t>
  </si>
  <si>
    <t>s3bksUSPB4c</t>
  </si>
  <si>
    <t>https://tabs.ultimate-guitar.com/tab/commodores/brick-house-bass-15625</t>
  </si>
  <si>
    <t>[Verse]
G|---------------------------------------|
D|-------------------3h5-0-----------5h7-|
A|-0--3-5------------------5-5h7--3------|
E|--------3-4-5--------------------------|</t>
  </si>
  <si>
    <t>https://tabs.ultimate-guitar.com/tab/red-hot-chili-peppers/californication-bass-202764</t>
  </si>
  <si>
    <t>G|-----9--7-h-9-p-7------------7-7--------------9--7-h-9-p-7-----------10-10-7-----------|
D|-7-7----------------10--------------10---7-7-----------------10------------------------|
A|------------------------8-8--------------------------------------8-8-------------------|
E|---------------------------------------------------------------------------------------|</t>
  </si>
  <si>
    <t>https://tabs.ultimate-guitar.com/tab/the-police/message-in-a-bottle-bass-521184</t>
  </si>
  <si>
    <t>G|--|--------|--------|--------|--------|
D|--|--------|--------|--------|--------|
A|--|--------|---99---|--------|---99---|
E|-9|9\\-55--7|7------9|9\\-55--7|7-------|</t>
  </si>
  <si>
    <t>The Knack</t>
  </si>
  <si>
    <t>My Sharona</t>
  </si>
  <si>
    <t>bbr60I0u2Ng</t>
  </si>
  <si>
    <t>https://tabs.ultimate-guitar.com/tab/the-knack/my-sharona-bass-10045</t>
  </si>
  <si>
    <t>[Intro/Verse] 
G|------|--------------|-------------|-------------|------------|
D|------|*-----5-5---5-|---5---5-5---|-----5-5---5-|-----------*|
A|-10\\X-|*-------------|-------------|-------------|-3-1-3-1---*| x4
E|------|--3-3-----3---|-3---3-----1/|-3-3-----3---|---------1/-|
[Chorus]
G|-----------------|-----------------|-----------------|-----------------|
D|---5-5-5---5-5-5-|---5-5-5---5-5-5-|---8-8-8---8-8-8-|---8-8-8---8-8-8-|
A|-----------------|-----------------|-----------------|-----------------|
E|-3-------3-------|-3-------3-------|-6-------6-------|-6-------6-------|
G|-------|---------|
D|-------|---------|
A|-----6-|-6-6-6-8-|
E|-8-8---|---------|</t>
  </si>
  <si>
    <t>zt51rITH3EA</t>
  </si>
  <si>
    <t>Big Bass Tabs</t>
  </si>
  <si>
    <t>https://www.bigbasstabs.com/cream_bass_tabs/sunshine_of_your_love_bass_tab.html</t>
  </si>
  <si>
    <t>G|---------------------------------|
D|-----------7---6---5-----3-------|
A|-5-5-3-5---------------5-----5---|
E|---------------------------------|</t>
  </si>
  <si>
    <t>Ray Parker Jr</t>
  </si>
  <si>
    <t>Ghostbusters</t>
  </si>
  <si>
    <t>Fe93CLbHjxQ</t>
  </si>
  <si>
    <t>https://tabs.ultimate-guitar.com/tab/ray-parker-jr-/ghostbusters-bass-1747084</t>
  </si>
  <si>
    <t>G|----------------------------------------------------------------------------|
D|----------4-7-7-7-6-6----------4-7-7-7-6-6-----------4-7-7-6-6--------------|
A|------5-6------------------5-6--------------2-2--5-6------------------------|
E|--7-7------------------7-7--------------------------------------------------|</t>
  </si>
  <si>
    <t>Emergency on Planet Earth</t>
  </si>
  <si>
    <t>zuR5TYI5Qkg</t>
  </si>
  <si>
    <t>https://tabs.ultimate-guitar.com/tab/jamiroquai/emergency-on-planet-earth-bass-1180430</t>
  </si>
  <si>
    <t>G|---------------8----------5----7----8-----------------------------------|
D|----5----3--------------------------------------------------------------|
A|-------------6----5-5---3----5----6-------------------------------------|
E|--3----1-------------------------------4-4------------------------------|</t>
  </si>
  <si>
    <t>I Wish</t>
  </si>
  <si>
    <t>hYKYka-PNt0</t>
  </si>
  <si>
    <t>https://tabs.ultimate-guitar.com/tab/stevie-wonder/i-wish-bass-58416</t>
  </si>
  <si>
    <t>[Intro] (x4)
G|-----------------|-------3---------|
D|*----------------|---4-6---6------*|
A|*6---------3-4-5-|-6---------3-4-5*|
E|---2-4-6-4-------|-----------------|
[Verse] (x4)
G|-----------------|-----------------|-----------------|
D|*----------------|-------5-6-5-6-8*|---5-6-7-8-------|
A|*----5-----5-6-7-|-8-7-8----------*|-8---------------|
E|-6-8---6-8-------|-----------------|-----------6-6-6-|</t>
  </si>
  <si>
    <t>Around the World</t>
  </si>
  <si>
    <t>a9eNQZbjpJk</t>
  </si>
  <si>
    <t>https://tabs.ultimate-guitar.com/tab/red-hot-chili-peppers/around-the-world-bass-38992</t>
  </si>
  <si>
    <t xml:space="preserve"> [Intro]
G|------------------------------------------------------------|
D|------------------------------------------------------------|
A|------------------------------------------------------------|
E|---O-------------------------------0-----0-----0-----0------|
G|--------------------------------------------------------------------------|
D|----12h14-14--12h14-14--12h14-14--12h14-14--12----------------------------|
A|-------------------------------------------------14---13----12----10------|
E|--------------------------------------------------------------------------|
G|--------------------------------------------------------------------------|
D|----12h14-14--12h14-14--12h14-14----12------------------------------------|
A|----------------------------------------14---13---12---10-----------------|
E|------------------------------------------------------------12----1O------|</t>
  </si>
  <si>
    <t>Yes</t>
  </si>
  <si>
    <t>Roundabout</t>
  </si>
  <si>
    <t>cPCLFtxpadE</t>
  </si>
  <si>
    <t>https://tabs.ultimate-guitar.com/tab/yes/roundabout-bass-93</t>
  </si>
  <si>
    <t>G|-------------------|---------------------------------------||------------------|
D|-------------------|----------------------------------0h2--||*-----------------|
A|-------------------|--------------------------0h2--x-------||*-----------------|
E|-------------------|--0-----0--2--x--x--3--x---------------||---0--x--x--2-----|
G|--------------------------||-----------------------------|-----------------|----|
D|--------------------0h2--*||-----------------------------|-----4--7--------|----|
A|------------0h2--x-------*||--------------------2--3--5--|--7--------------|----|
E|x--x--3--x----------------||--0--x--x--3--5--5-----------|-----------------|----|
G|------------|--------------|---------------------------------------|------------|
D|------------|--------------|----------------------------------0h2--|------------|
A|2-----------|--------------|--------------------------0h2--x-------|------------|
E|------5-----|--3-----3-----|--0-----0--2--x--x--3--x---------------|--0--x------|</t>
  </si>
  <si>
    <t>Orion</t>
  </si>
  <si>
    <t>c8qrwON1-zE</t>
  </si>
  <si>
    <t>https://tabs.ultimate-guitar.com/tab/metallica/orion-bass-432791</t>
  </si>
  <si>
    <t>[Main Rhythm]
G|--------------------------|--------------------------|
D|--------------------------|--------------------------|
A|--7--------7--------7-----|--7--------7--------7-----|
E|-----0--0-----0--0-----0--|-----0--0-----0--0-----0--|
G|--------------------------|--------------------------|
D|--------------------------|--------------------------|
A|--5--------5--------5-----|--------------------------|
E|-----7--7-----7--7-----7--|--7--7--7--7--7--2--2--2--|
[Bass Fill]
G|--------------14--------------16--------------|
D|--14-14-14-14-----14-14-14-14-----14-14-14-14-|
A|----------------------------------------------|
E|----------------------------------------------|
G|--17------------------------------------|
D|------14-14-14-14-14--14-14-15--15-15---|
A|----------------------------------------|
E|----------------------------------------|
G|--------------17--------------16--------------|
D|--14-14-14-14-----14-14-14-14-----14-14-14-14-|
A|----------------------------------------------|
E|----------------------------------------------|
G|--14------------------------------------|
D|------14-14-14-14-14--14-14-15--15-15---|
A|----------------------------------------|
E|----------------------------------------|</t>
  </si>
  <si>
    <t>Blues Brothers</t>
  </si>
  <si>
    <t>Sweet Home Chicago</t>
  </si>
  <si>
    <t>-_KkgPRo4wA</t>
  </si>
  <si>
    <t>https://tabs.ultimate-guitar.com/tab/the-blues-brothers/sweet-home-chicago-bass-417349</t>
  </si>
  <si>
    <t>G|--------------------------------|--------------------------------|
D|--------------------------------|--------------------------------|
A|--------4---4---2---2-----------|--------4---4---2---2-------2---|
E|0-----------------------4-------|0-----------------------4-------|
G|--------------------------------|--------------------------------|
D|--------4---4---2---2-----------|--------4-------2---------------|
A|0-----------------------4---4---|0-----------------------4-------|
E|--------------------------------|--------------------------------|</t>
  </si>
  <si>
    <t>Cosmic Girl</t>
  </si>
  <si>
    <t>D-NvQ6VJYtE</t>
  </si>
  <si>
    <t>https://tabs.ultimate-guitar.com/tab/jamiroquai/cosmic-girl-bass-10912</t>
  </si>
  <si>
    <t>G|----------|--------------| |----------| |--------|
D|--------2-|2-3-4---------| |----------| |-x/--9\\-|
A|------2---|------3-(0)-2-| |----------| |--------|
E|0--x3-----|--------------| |-0--x-3-2-| |--------|
G|--------------|---------------|--x4-----6-|--------| 
D|--6-----4-4---|---------------|-----------|--------| 
A|--------------|---------------|2----2/4---|4--4--4-|
E|-4--2-2-----2-|-2--2--2-2-0-2-|-----------|--------|</t>
  </si>
  <si>
    <t>Kool &amp; the Gang</t>
  </si>
  <si>
    <t>Hollywood Swinging</t>
  </si>
  <si>
    <t>YK-cvcw3ngM</t>
  </si>
  <si>
    <t>https://tabs.ultimate-guitar.com/tab/kool-the-gang/hollywood-swinging-bass-578102</t>
  </si>
  <si>
    <t>G|----------------------------------------|
D|----------------------4-5-6-------------|
A|----------------------------------------|
E|--0~~~~-----0~~~~----------------000----|
G|--------------------------------------------|
D|----------6-4----------4-5-6----6-4---------|
A|--------------7---------------------7-------|
E|-0-0-0-----------0-0-------------------000--|</t>
  </si>
  <si>
    <t>https://tabs.ultimate-guitar.com/tab/michael-jackson/beat-it-bass-35180</t>
  </si>
  <si>
    <t>G|-------------11--8--10--8--6--6-|-------11--8---10--8--6--|
D|---------8----------------------|------8------------------|
A|--6--9--------------------------|-6--9--------------------|
E|--------------------------------|-------------------------|
[Riff 2]
G|----------------------------|
D|----------------------------|
A|----------------------------|
E|---11--11---11---9--9---9---|</t>
  </si>
  <si>
    <t>https://tabs.ultimate-guitar.com/tab/metallica/enter-sandman-bass-121103</t>
  </si>
  <si>
    <t>G|-----------------|
D|-----------------| x7
A|-----------------|
E|-0-0-0-0-0-0-0-1-|
G|------------|
D|------------|
A|------------|
E|-0-0-0-5--5-|
G|------------------|
D|------------------|
A|------------------|
E|-0--0-0-0-0-0-0-1-|
G|-----------------|
D|-----------------| x5
A|-----------------|
E|-0-0-0-0-0-0-0-1-|
G|-------------------------------|
D|-------------------------------|
A|---------7-7-7-7-7-7-7-7-7-7-7-|
E|-0-0-0-0-0-0-0-0-0-0-0-0-0-0-0-|
G|----------------|-----------------|-----------------|---------------|
D|----------------|-----------------|-----------------|---------------| x2
A|----------------|-----------------|-----------------|---------------|
E|-0--0-0-6-5-5-5-|-0-0-0-0-6-5-5-5-|-0-0-0-0-6-5-5-5-|-3-0-2-0-2-3-2-|</t>
  </si>
  <si>
    <t>Know Your Enemy</t>
  </si>
  <si>
    <t>4smim2MNvF8</t>
  </si>
  <si>
    <t>https://www.bigbasstabs.com/rage_against_the_machine_bass_tabs/know_your_enemy.html</t>
  </si>
  <si>
    <t>G|----------------------------------------------------|
D|----------------------------------------------------|
A|---------0--------------3-2-0--------0--------4-2-0-| x2
E|--0-222-0-2-0-2-0-222-0-------0-222-0-2-0-2-0-------|</t>
  </si>
  <si>
    <t>Living On A Prayer</t>
  </si>
  <si>
    <t>lDK9QqIzhwk</t>
  </si>
  <si>
    <t>https://tabs.ultimate-guitar.com/tab/bon-jovi/livin-on-a-prayer-bass-17533</t>
  </si>
  <si>
    <t>G|-------------------|
D|-------------------|
A|----7---5-------5--|
E|--0---7---0-0-7----|</t>
  </si>
  <si>
    <t>Guerilla Radio</t>
  </si>
  <si>
    <t>RZul_mSFczs</t>
  </si>
  <si>
    <t>https://www.bigbasstabs.com/rage_against_the_machine_bass_tabs/guerilla_radio_bass_tab.html</t>
  </si>
  <si>
    <t>Intro
G|---------------------|   |-2-------1--------|
D|---------------------|x7 |------------------|
A|-----------------0-2-|   |------------------|
E|-0---2-2-0-2-0-2-----|   |---2-2-----2--0-2-|
Verse
G|----------2-2-x-4-4-x-5-5-2---|   |---R------------|
D|------------------------------|x7 |------E---------|
A|------------------------------|   |---------S------|
E|----------------------------2-|   |------------T---|
Chorus
G|---------------------|   |-2-------1--------|
D|---------------------|x7 |------------------|
A|-----------------0-2-|   |------------------|
E|-0---2-2-0-2-0-2-----|   |---2-2-----2--0-2-|</t>
  </si>
  <si>
    <t>Village People</t>
  </si>
  <si>
    <t>YMCA</t>
  </si>
  <si>
    <t>CS9OO0S5w2k</t>
  </si>
  <si>
    <t>https://tabs.ultimate-guitar.com/tab/village-people/ymca-bass-507</t>
  </si>
  <si>
    <t>[Intro]
G|--------------------|-------------------|-----------------------|
D|*-------------------|------------------*|*----------------------|
A|*--4----------------|------------------*|*----------------------| (x7)
E|--------------------|-------------------|---2----2----2----2----|
G|----------------------|----------------------|------------------------|
D|----------------------|----------------------|---------------7-----8--|
A|----------------------|--6----6----6----6----|--6----6----------------|
E|--2----2----2----2----|----------------------|------------5-----6-----|
G|----------------------|----------------------|---------------------|
D|----------------------|----------------------|---------------------|
A|--2----2----2----2----|--2----2----2----2----|--8------6------4----|
E|----------------------|----------------------|---------------------|</t>
  </si>
  <si>
    <t>Iron Butterfly</t>
  </si>
  <si>
    <t>In a Gadda Da Vida</t>
  </si>
  <si>
    <t>UIVe-rZBcm4</t>
  </si>
  <si>
    <t>https://tabs.ultimate-guitar.com/tab/iron-butterfly/in-a-gadda-da-vida-bass-11199</t>
  </si>
  <si>
    <t>G|------------------------|
D|--0-0-3-2---0--7-6-5-3--|
A|----------3-------------|
E|------------------------|</t>
  </si>
  <si>
    <t>https://tabs.ultimate-guitar.com/tab/guns-n-roses/sweet-child-o-mine-bass-129094</t>
  </si>
  <si>
    <t>F#|------11----11-12--14-16-14/12-11-------|----12-----10-9----10-9-----|
C#|----12----12----------------------12-0--|-10-----10------10-----10-0-|
G#|--12------------------------------------|----------------------------|
D#|----------------------------------------|----------------------------|
F#|-----------12-----11h12-11----12-11----|-------|
C#|-------/12----12-----------12-------12-|-------|
G#|--10-----------------------------------|---12\\-|
D#|---------------------------------------|-------|
F#|----------------|----------------|-----------------------|----------------|
C#|----------------|----------7-----|---------------3-2-----|----------------|
G#|-5--0-5--5--0-5-|5--0-5--9---9-0-|-3--0-3--3--0-3----5-3-|----------------|
D#|----------------|----------------|-----------------------|-3--0-3--3--0-3-|</t>
  </si>
  <si>
    <t>Jaco Pastorius</t>
  </si>
  <si>
    <t>The Chicken</t>
  </si>
  <si>
    <t>TgntkGc5iBo</t>
  </si>
  <si>
    <t>https://tabs.ultimate-guitar.com/tab/jaco-pastorius/the-chicken-bass-207386</t>
  </si>
  <si>
    <t>G|------------------------0---3---|------------------------0---3---|
D|--------0-0---1---1-3-----------|--------0-0---1---1-3-0---------|
A|1-----1-------------------------|1-----1-------------------------|
E|--------------------------------|--------------------------------|</t>
  </si>
  <si>
    <t>Otis Redding</t>
  </si>
  <si>
    <t>(Sittin' On) the Dock of the Bay</t>
  </si>
  <si>
    <t>rTVjnBo96Ug</t>
  </si>
  <si>
    <t>https://tabs.ultimate-guitar.com/tab/otis-redding/sittin-on-the-dock-of-the-bay-bass-1752847</t>
  </si>
  <si>
    <t>Intro:
G|------------------------------------------------------------|
D|------------------------------------------------------------|
A|-------3h5-3h5--------3h5-3h5--------3h5-3h5--------3h5-3h5-|
E|--3---3----------3---3----------3---3----------3---3--------|
Verse:
G|-----------------------------------------------------|
D|-----------------------------------------------------|
A|----5----------9----9-------10-----------------------|
E|-3----3-5-6-7----7----7---8----8-7-6-5---0---5-0-3-5-|
Chorus:
G|---------------------------------------------------------------------------|
D|---------------------------------------------------------------------------|
A|------2-5-7---------2-5-7---------3h5-3h5--------5h7-5h7-------3h5-3h5---7-|
E|-3---3---------3---3---------3---3----------5---5---------3---3------------|</t>
  </si>
  <si>
    <t>Charlie</t>
  </si>
  <si>
    <t>wNvOUkRTkz8</t>
  </si>
  <si>
    <t>https://tabs.ultimate-guitar.com/tab/red-hot-chili-peppers/charlie-bass-364062</t>
  </si>
  <si>
    <t>Intro
G|----------3-|
D|----3---2---|
A|--2---1-----|
E|1-----------|
Verse 1
G|----------------|----------------|
D|----------------|----------------|
A|-----------x1-0-|--------1--x310-|
E|3--01---3-------|--1-3-----------|
G|----------------|----------------|
D|----------------|----------------|
A|-----------x1-0-|-------x103-445-|
E|3--01---3-------|--1-3-----------|</t>
  </si>
  <si>
    <t>Grease</t>
  </si>
  <si>
    <t>You Are The One That I Want</t>
  </si>
  <si>
    <t>7oKPYe53h78</t>
  </si>
  <si>
    <t>https://tabs.ultimate-guitar.com/tab/misc-soundtrack/grease-youre-the-one-that-i-want-bass-6234</t>
  </si>
  <si>
    <t>G|-------------------------------------------------------------|
D|---------77------5-------------------------------------------|
A|------77-----5-7---------------------------------------------|
E|--55---------------------------------------------------------|</t>
  </si>
  <si>
    <t>Sir Duke</t>
  </si>
  <si>
    <t>s6fPN5aQVDI</t>
  </si>
  <si>
    <t>https://tabs.ultimate-guitar.com/tab/stevie-wonder/sir-duke-bass-1008476</t>
  </si>
  <si>
    <t>G|-11--11---------|
D|---11-----------|
A|---------9------|
E|----------12119-|
|--------------------------|---------------------------|
|---9-----6-----5-----421--|---9-----6-----5-----4---3-|
|--9-9---6-6---5-5---4---4-|--9-9---6-6---5-5---4---3--|
|-7---7-4---4-3---3-2------|-7---7-4---4-3---3-2---1---|</t>
  </si>
  <si>
    <t>KISS</t>
  </si>
  <si>
    <t>https://tabs.ultimate-guitar.com/tab/kiss/strutter-bass-119852</t>
  </si>
  <si>
    <t>G|----------------------------------------|
D|-----------------------------------1----|
A|1-1-1---------1-2-4-4-4-2-1------3---3/1|
E|------0-1-2-2---------------4--4--------|
G|----------------------------------------|
D|----------------------------------------| x2
A|1-1-1---------1-2-4-4-4-2-1----4-4-2-1--|
E|------0-1-2-2---------------4----------4|
G|----------------------------------------|
D|-----------------------------------1----|
A|1-1-1---------1-2-4-4-4-2-1------3---3\\1|
E|------0-1-2-2---------------4--4--------|
G|--------------------------1-------------|
D|------------------------3---3-------1---|
A|1-1-1---------1-2-4-4-4-----------3---3\\|
E|------0-1-2-2-----------------4-4-------|
G|--------------------------1----------1--|
D|------------------------3---3------3---3|
A|1-1-1---------1-2-4-4-4-------4--4------|
E|------0-1-2-2---------------------------|
G|--------------------------1-------------|
D|------------------------3---3-----------|
A|1-1-1---------1-2-4-4-4-----------------|
E|------0-1-2-2-----------------4--4-2-1-0|
G|----------------------|
D|----------------------|
A|1--1--------1--1------|
E|------2--2--------2--2|</t>
  </si>
  <si>
    <t>https://tabs.ultimate-guitar.com/tab/rush/yyz-bass-3543</t>
  </si>
  <si>
    <t>G+-------+------+-5---5---5---5-----5-5-5-5-----+-5---5---5---5-----5-5-5-5-----+
D|5:-R---|------|---4---R---R---R-4---------4-4-|---4---R---R---R-4---------4-4-|
A|4:-----|------|-------------------------------|-------------------------------|
E+-------+------+-------------------------------+-------------------------------+
G+-5---5---5---5-----5-5-5-5-----+-5---5---5---5-----5-5-5-5-----+
D|---4---R---R---R-4---------4-4-|---4---R---R---R-4---------4-4-|
A|-------------------------------|-------------------------------|
E+-------------------------------+-------------------------------+
G+-5---5---5---5-----5-5-5-5-----+-5---5---5---5-----5-5-5-5-----+
D|---4---R---R---R-4---------4-4-|---4---R---R---R-4---------4-4-|
A|-------------------------------|-------------------------------|
E+-------------------------------+-------------------------------+
G+-5---5---5---5-----5-5-5-5-----+-5---5---5---5-----5-5-5-5-----+
D|---4---R---R---R-4---------4-4-|---4---R---R---R-4---------4-4-|
A|-------------------------------|-------------------------------|
E+-------------------------------+-------------------------------+</t>
  </si>
  <si>
    <t>OWGFdL4tNW0</t>
  </si>
  <si>
    <t>https://tabs.ultimate-guitar.com/tab/eagles/hotel-california-bass-14330</t>
  </si>
  <si>
    <t>G|--------------------------------|--------------------------------|
D|------9---------9g9--------g4---|------4---------4---------------|
A|----9---------9-----9---------0-|----4---------4--g4-------------|
E|7-7-----------------------------|2-2-----------------2-----------|
G|--------------------------------|--------------------------------|
D|------7---------7g7-------------|------2---------2---------------|
A|----7---------7-----7------g5-0-|----2---------2--g2-------------|
E|5-5-----------------------------|0-0-----------------0-----------|
G|--------------------------------|------7---------7---------------|
D|------5---------5g5-------------|----7---------7--g7-0-----------|
A|----5---------5-----5------g5-0-|5-5------------------------g2-0-|
E|3-3-----------------------------|--------------------------------|
G|--------------------------------|--------------------------------|
D|------2---------2g2-------------|------4---------4-------4-------|
A|----2---------2-----2------g2-0-|2-2-4---------4-------4---------|
E|0-0-----------------------------|--------------------------------|</t>
  </si>
  <si>
    <t>aiQpRQeIiHY</t>
  </si>
  <si>
    <t>https://tabs.ultimate-guitar.com/tab/megadeth/peace-sells-bass-44110</t>
  </si>
  <si>
    <t>G|-----------------|----------------|-----------------|----------------|
D|------5-------7h9|------5---------|------5-------7h9|------5---------|
A|7--57-----7-5----|7--57-----7-----|7--57-----7-5----|7--57-----7-----|
E|--------0--------|--------0---5-6-|--------0--------|--------0---5-6-|
G|-----------------|----------------|-----------------|----------------|
D|------5-------7h9|------5---------|------5-------7h9|------5---------|
A|7--57-----7-5----|7--57-----7-----|7--57-----7-5----|7--57-----7-----|
E|-------0---------|--------0---5-6-|--------0--------|--------0---6-5-|</t>
  </si>
  <si>
    <t>3KFvoDDs0XM</t>
  </si>
  <si>
    <t>https://tabs.ultimate-guitar.com/tab/roy-orbison/oh-pretty-woman-bass-615695</t>
  </si>
  <si>
    <t xml:space="preserve">G|----------------|----------------|----------------|----------------|
D|--------0-4-2-0-|--------0-4-2-0-|--------0-4-2-0-|--------0-4-2-0-|
A|------2---------|------2---------|------2---------|------2---------|
E|0-0-4-----------|0-0-4-----------|0-0-4-----------|0-0-4-----------| 
G|----------------|----------------|----------------|----------------|
D|---------2--2---|----------------|------------2-2-|-----------4--2-|
A|0---0-4---------|------4---2--4--|0---0--4--------|-------4--------|
E|----------------|2---2-----------|----------------|2---2-----------| </t>
  </si>
  <si>
    <t>For Whom the Bell Tolls</t>
  </si>
  <si>
    <t>KO3l6qNA2Q4</t>
  </si>
  <si>
    <t>https://tabs.ultimate-guitar.com/tab/metallica/for-whom-the-bell-tolls-bass-697660</t>
  </si>
  <si>
    <t>[Intro] (Play x8, use distortion and wah for this)
G|---------------|-19-18-17-16~--h19h16---------19--------------|
D|---------------|-----------------------17-16------------------|
A|---------------|---------------------------------17-16~--/----|
E|-2-2--2-2--0~--|-------------------------------------------0--|
Transition Riff (Play x4, clean bass)
G|----------------------------------|
D|----------------------------------|
A|----------------------------------|
E|-0-3-2-1-0-3-2-1-0-3-2-1-0-2-3-5--|
G|----------------------------------|
D|----------------------------------|
A|-------------------------------2--|
E|-0-3-2-1-0-3-2-1-0-3-2-1-0-2-3----|</t>
  </si>
  <si>
    <t>xnKhsTXoKCI</t>
  </si>
  <si>
    <t>https://tabs.ultimate-guitar.com/tab/metallica/master-of-puppets-bass-8702</t>
  </si>
  <si>
    <t>[Intro A]
G|--------------|
D|--------------|
A|-----5-4-3~---|
E|-0------------|
           Play x3, end with
G|--------|---------------|-----------------------------------|
D|-Guitar-|---------------|-----------------------------------|
A|--------|-------5-4-3/--|-3--3-3-3-3-3-3-3-3-3-3-3-3-3-3----|
E|--------|-0-0-----------|--------------------------------0--|
[Intro B] (Play x2)
G|-----------------------|
D|-----------------------|
A|-----------------------|
E|-3-2-0--3-2-0--3-2-0---|
[Heavy Riff 1]
G|------------------------------------|
D|------------------------------------|
A|-----2-----------------------2-2----|
E|-0-1---0-1-1-0-1-1-0-1-1-0-1--------|
G|------------------------------------|
D|------------------------------------|
A|-----2-----------------------2------|
E|-0-1---0-1-1-0-1-1-0-1-1-0-1--------|
G|------------------------------------|
D|------------------------------------|
A|-----2-----------------------2-2----|
E|-0-1---0-1-1-0-1-1-0-1-1-0-1--------|
G|------------------------------------|
D|------------------------------------|
A|-----2------------------------------|
E|-0-1---0-1-1-0-3-2-0--3-2-0--3-2-0--|
G|------------------------------------|
D|------------------------------------|
A|-----2-----------------------2-2----|
E|-0-1---0-1-1-0-1-1-0-1-1-0-1--------|
G|------------------------------------|
D|------------------------------------|
A|-----2-----------------------2------|
E|-0-1---0-1-1-0-1-1-0-1-1-0-1--------|
G|------------------------------------|
D|------------------------------------|
A|-----2-----------------------2-2----|
E|-0-1---0-1-1-0-1-1-0-1-1-0-1--------|
G|-------------------------------------------------------|
D|-------------------------------------------------------|
A|-----2-------------------------------------------------|
E|-0-1---0-1-1-0-3-2-0--3-2-0--3-2-3-2-0--3-2-0--3-2-0---|</t>
  </si>
  <si>
    <t>Take The Power Back</t>
  </si>
  <si>
    <t>rqkMsXcHQYg</t>
  </si>
  <si>
    <t>https://tabs.ultimate-guitar.com/tab/rage-against-the-machine/take-the-power-back-bass-104956</t>
  </si>
  <si>
    <t>G|-------------------------------------------------------------------------|
D|-------------3p0-------3-------------------------------------------------|
A|--------3h5-------3h5----------------------------------------------------|
D|--0--0----------------------0--0-----------------------------------------|
G|-------------------------------------------------------------------------|
D|-------------3(p0)-------3-----------------------------------------------|
A|--------3h5---------3h5--------------------------------------------------|
D|--0--0-------------------------------------------------------------------|</t>
  </si>
  <si>
    <t>By The Way</t>
  </si>
  <si>
    <t>JnfyjwChuNU</t>
  </si>
  <si>
    <t>https://tabs.ultimate-guitar.com/tab/red-hot-chili-peppers/by-the-way-bass-429614</t>
  </si>
  <si>
    <t>G[------------------------------------------------------------------------]
D[-15-15-15-15-15-15-15-15-14-14-14-14-14-14-14-14------------------------]
A[-------------------------------------------------12-12-12-12-12-12-12-12]
E[------------------------------------------------------------------------]
G[-------------------------17-17-17-17-17-17-17-17------------------------]
D[-15-15-15-15-15-15-15-15-------------------------12-12-12-12-12-12-12-12]
A[------------------------------------------------------------------------]
E[------------------------------------------------------------------------]
G[-----------------------------------------------------------------]
D[-3-3-3-3-3-3-3-3-2-2-2-2-2-2-2-2---------------------------------]
A[---------------------------------0-0-0-0-0-0-0-0-0-0-0-0-0-0-0-0-]
E[-----------------------------------------------------------------]
G[-12/17-17-17-17-17-17-17-17-17-17-17-17-17-17-17-14-14-14-14-14-14-14-14-]
D[-------------------------------------------------------------------------]
A[-------------------------------------------------------------------------]
E[-------------------------------------------------------------------------]</t>
  </si>
  <si>
    <t>Killing In The Name</t>
  </si>
  <si>
    <t>https://tabs.ultimate-guitar.com/tab/rage-against-the-machine/rage-against-the-machine-bass-333378</t>
  </si>
  <si>
    <t>G|----------------------------0------------------------|
D|---2-0--0---------2-0---0-2--------------------------|
A|-------2--2-0---------2------------------------------|
D|-0------------3-0------------------------------------|
G|----------------------------------------------------|
D|---2-0--0---------2-0---0---------------------------|
A|-------2--2-0---------2---2-------------------------|
D|-0------------3-0------------3-2--------------------|</t>
  </si>
  <si>
    <t>Freedom</t>
  </si>
  <si>
    <t>H_vQt_v8Jmw</t>
  </si>
  <si>
    <t>https://tabs.ultimate-guitar.com/tab/rage-against-the-machine/freedom-bass-4512</t>
  </si>
  <si>
    <t>G|----------------------------------------------------------------------------|
D|----------------------------------------------------------------------------|
A|-----5-------3-------5-5-----5-------3-------5------------------------------|
D|-------0-3-5---5-3-5-----0-3---0-3-5---5-3-5--------------------------------|</t>
  </si>
  <si>
    <t>Wild Cherry</t>
  </si>
  <si>
    <t>Play That Funky Music</t>
  </si>
  <si>
    <t>_pHT9yYFdZg</t>
  </si>
  <si>
    <t>https://tabs.ultimate-guitar.com/tab/wild-cherry/play-that-funky-music-bass-811590</t>
  </si>
  <si>
    <t>G|----------------------------------------|
D|--------14-12-14-------12h14------------|
A|-----------------12h14------------------|
E|--12-12---------------------------------|
G|----------------------|
D|----------------------|
A|-----7-5-7-----5h7----|
E|--00-------5h7--------|
G|-----------------------------|  G|--------------------------------|
D|---02----0h2----02----0h2----|  D|--------------------------------|
A|------0h2----------0h2-------|  A|----5-7-----5h7---5-7-----5h7---|
E|--0---------0-------------0--|  E|--0-----5h7-----0-----5h7-----0-|
G|-----------------------------------------3-3S----|
D|------55-03------55-03---------55-03-------------|
A|-----------03---------03------------03-1---------|
E|-0123--------3----------3------------------------|
G|--9-7---7-----------------------------|
D|-----9----9-7-9---7-9-7-5-------------|
A|--------------------------7-5---------|
E|------------------------------0-------|</t>
  </si>
  <si>
    <t>https://www.bigbasstabs.com/blur_bass_tabs/song_2_woohoo_bass_tab.html</t>
  </si>
  <si>
    <t>Gb|----------------|----------------|
Db|----------------|----------------|
Ab|----------------|----------------|
Eb|2-2-2---0-0-0---|5-5-7/9---9-9-9-|</t>
  </si>
  <si>
    <t>ikGyZh0VbPQ</t>
  </si>
  <si>
    <t>https://tabs.ultimate-guitar.com/tab/deep-purple/smoke-on-the-water-bass-15212</t>
  </si>
  <si>
    <t>G|-------------|---------------|---------------|-----------------|
D|-----5-----5-|-----5---------|-----5-3-------|---------5-------|
A|---5-----5---|---5---1-1-3-5-|---5-----3-----|---1-3-5---5-3-1-|
E|-3-----3-----|-3-------------|-3---------1-3-|-3---------------|
G|-------------|---------------|-------------|-----------------|
D|-----5-----5-|-----5---5---5-|-----5-3-----|-----------------|
A|---5-----5---|---5---5---5---|---5-----3---|---5-4-3-1-------|
E|-3-----3-----|-3-------------|-3---------1-|-3---------3-1-2-|
G|-------------|-----------------|---------------|---------------|
D|-----5-----5-|---5-3-----------|-----5-3-------|---5-3---------|
A|---5-----5---|-------5-3-1-----|---5-----3-----|-------5-3---3-|
E|-3-----3-----|-3-----------3-1-|-3---------1-1-|-3---------3---|
G|-------------|-----------------|-------------|-----------------|
D|-----5-----5-|---5-----3-------|-----5-3-----|-----5-3---------|
A|---5-----5---|-----3-5---5-3-5-|---5-----3---|---------5-3-----|
E|-3-----3-----|-3---------------|-3---------1-|-3-3---------3-1-|</t>
  </si>
  <si>
    <t>The Black Eyed Peas</t>
  </si>
  <si>
    <t>Let's Get It Started</t>
  </si>
  <si>
    <t>IKqV7DB8Iwg</t>
  </si>
  <si>
    <t>https://tabs.ultimate-guitar.com/tab/the-black-eyed-peas/lets-get-it-started-bass-132071</t>
  </si>
  <si>
    <t>[Intro/Verse]
G|--------------------------------------------|
D|-------------------------------5-------4----|
A|--2---2---4---5-----5--------5---5----4---4-|
E|----2------------5-----5---3--------2-------|
G|------4--6-7--------------------------------|
D|----4--------7-------------5---------4------|    Intro 2x
A|--2------------5---------5----5-----4---4---|
E|------------------5----3---------2----------|
G|--------------------------------------------|
D|-------------------------------5-------4----|    Verse 2x
A|--2---2---4---5-----5--------5---5----4---4-|
E|----2------------5-----5---3--------2-------|
G|-------------------------|
D|-------------------------|
A|--2---2---4---5-----5----|
E|----2------------5-----5-|</t>
  </si>
  <si>
    <t>The Blues Brothers</t>
  </si>
  <si>
    <t>She Caught The Katy</t>
  </si>
  <si>
    <t>o5xexv-dMrM</t>
  </si>
  <si>
    <t>https://tabs.ultimate-guitar.com/tab/the-blues-brothers/she-caught-the-katy-bass-1410755</t>
  </si>
  <si>
    <t>G|------------------------/7-5-----------------------------------------------|
D|-----/5-3-----------3-3------3-3-------------------------------------------|
A|-1-1------1-1--------------------5-3-5-1-1-----1-1-------1-1-----1-1-------|
E|--------------3-1-3------------------------3-1-----3-1-3-----3-1-----3-1-3-|</t>
  </si>
  <si>
    <t>Marcus Miller</t>
  </si>
  <si>
    <t>Power</t>
  </si>
  <si>
    <t>XqTCAZK9rzY</t>
  </si>
  <si>
    <t>https://tabs.ultimate-guitar.com/tab/marcus-miller/power-bass-344815</t>
  </si>
  <si>
    <t>G|--7-------------------------x--------------|
D|--9-7h9-9p7------9---x--x7h9-9p7x9-----777-|
A|-----------97----------7-----------7h9-----|
E|-------------97x---xx----------------------|
G|--7-------------------------x------------|
D|--9-7h9-9p7------9---x--x7h9-9p7x9-------|
A|-----------97----------7-----------------|
E|-------------97x---xx--------------23-34-|</t>
  </si>
  <si>
    <t>Tool</t>
  </si>
  <si>
    <t>Schism</t>
  </si>
  <si>
    <t>80RtBeB61LE</t>
  </si>
  <si>
    <t>https://tabs.ultimate-guitar.com/tab/tool/schism-bass-438520</t>
  </si>
  <si>
    <t>G|-3-2-5-7-|-3-2-5-7---|---------|
D|-0-3-5-8-|-3-3/5-8-0-|-0h10h12-|
A|---------|-----------|---------|
D|---------|-----------|---------|
G|-10---9-----------|-10---9---12-----------|
D|----0---0-0h10h12-|----0---0----0-0h10h12-|
A|------------------|-----------------------| x8
D|------------------|-----------------------|</t>
  </si>
  <si>
    <t>Graham Central Station</t>
  </si>
  <si>
    <t>Pow</t>
  </si>
  <si>
    <t>7wyOnPJra4o</t>
  </si>
  <si>
    <t>https://tabs.ultimate-guitar.com/tab/graham-central-station/pow-bass-969519</t>
  </si>
  <si>
    <t>G|-------------------7h9---x-------------------------------|
D|-------------------------------------------------7-----5-|
A|-5h7---------5h7-x-----x---5h7-5h7-----------------------|
E|-----0-0--0------------------------0-0--0--0-0/5---x-3---|</t>
  </si>
  <si>
    <t>T.N.T.</t>
  </si>
  <si>
    <t>fGDQ9IukMOc</t>
  </si>
  <si>
    <t>https://www.bigbasstabs.com/ac_dc_bass_tabs/tnt.html</t>
  </si>
  <si>
    <t>G|----------------|
D|----------------|
A|----------------|
E|-0--3-5-3-5-3-0-|
G|-------------------|
D|-------------------|
A|-------------------|
E|--5-3-000000000000-|
G|--7--8--9--10--11--12--13--14--15--16--|
D|-0--0--0--0---0---0---0---0---0---0----|
A|---------------------------------------|
E|---------------------------------------|</t>
  </si>
  <si>
    <t>Songsterr</t>
  </si>
  <si>
    <t>https://www.songsterr.com/a/wsa/ac-dc-back-in-black-bass-tab-s1024t4</t>
  </si>
  <si>
    <t>G|-------------------------------------------------|
D|-------------------------------------------------|
A|-------5-5-5-------------------------------------|
E|-0---------------5-5-5---------------------------|
G|-------------------------------------------------|
D|-------------------------------------------------|
A|-------5-5-5-------------------------------------|
E|-0---------------5-5-5-----7-4--7-5--7-6--7-7----|
G|-------------------------------------------------|
D|-------------------------------------------------|
A|-------------------------5-0-7-5-7---5-0-7-5-7---|
E|-5-0-7-5-7---5-0-7-5-7---------------------------|
G|-------------------------------------------------|
D|------------------------5---5-5------------------|
A|----------------------------------5-5-5----------|
E|-5-0-7-5-7---5-0-7-5-7---------------------------|</t>
  </si>
  <si>
    <t>Ben E. King</t>
  </si>
  <si>
    <t>Stand By Me</t>
  </si>
  <si>
    <t>hwZNL7QVJjE</t>
  </si>
  <si>
    <t>https://tabs.ultimate-guitar.com/tab/ben-e-king/stand-by-me-bass-31070</t>
  </si>
  <si>
    <t>G|------------------|-----------------|-----------------|-----------------|
D|--7-----7-------6-|-7-----7-----7-6-|-4-----4---------|-4-----4-----4---|
A|--------------7---|-----------------|-------------7---|---------------7-|
E|------------------|-----------------|-----------------|-----------------|
G|-----------------|-----------------|-----------------|------------------|
D|---------------4-|---------------6-|-7-----7-------6-|-7-----7-------6--|
A|-5-----5-----5---|-7-----7-----7---|-------------7---|-------------7----|
E|-----------------|-----------------|-----------------|------------------|</t>
  </si>
  <si>
    <t>https://tabs.ultimate-guitar.com/tab/black-sabbath/iron-man-bass-160739</t>
  </si>
  <si>
    <t>G|----------------------------------|
D|---------------5-4-5-4-54---------| 
A|--2---5--5-7-7------------5-5-7-7-|
E|----------------------------------|</t>
  </si>
  <si>
    <t>Come as you Are</t>
  </si>
  <si>
    <t>https://tabs.ultimate-guitar.com/tab/nirvana/come-as-you-are-bass-28131</t>
  </si>
  <si>
    <t>Verse/Intro:
G |---------|0-0-------2--2--------|
D |-0-0-1-2-|-2-2-2-1-0-00--0-1-2--|
A |---------|----------------------|
E |---------|----------------------|
Chorus:
G |---------0-0-0-0---|
D |-2-2-2-2-----------|
A |-------------------|
E |-------------------|</t>
  </si>
  <si>
    <t>The Adventures of Rain Dance Maggie</t>
  </si>
  <si>
    <t>RtBbinpK5XI</t>
  </si>
  <si>
    <t>https://tabs.ultimate-guitar.com/tab/red-hot-chili-peppers/the-adventures-of-rain-dance-maggie-bass-1076683</t>
  </si>
  <si>
    <t>[Verse]
G|--------------------------|---------------------------|
D|-------------5-5----------|---------------------------|
A|7-----7----7-----7--5--4--|--------------5-5----5--6--|
E|--------------------------|-8-----8----8-----8--------|
G|--------------------------|---------------------------|
D|-------------5-5-------5--|---------------------------|
A|7-----7----7-----7--5-----|--------------5-5----------|
E|--------------------------|-8-----8----8-----8--7--5--|</t>
  </si>
  <si>
    <t>Get on the Floor</t>
  </si>
  <si>
    <t>UdYwglFL6iM</t>
  </si>
  <si>
    <t>https://tabs.ultimate-guitar.com/tab/michael-jackson/get-on-the-floor-bass-570702</t>
  </si>
  <si>
    <t>[Verse]
G|----------------------------------------|
D|----------3-3-3-3--3h5--------------x---|
A|------3h5--------------3-3-3-2-1--------|
E|--3s1-----------------------------x---1-|     
                                            (x4)
G|-------------------------------------3--|
D|----------3-3-3-3--3h5-----------3h5----|
A|------3h5--------------3-3-3-2-1--------|
E|--3s1-----------------------------------|
[Chorus]
G|--3p0-----------------3---3---5---5----|
D|----------5----------------------------|
A|------5-------------1---1---3---3------| (x8)
E|--------3---1-3-1-1--------------------|</t>
  </si>
  <si>
    <t>Original Prankster</t>
  </si>
  <si>
    <t>Qp6Qn8IwPf8</t>
  </si>
  <si>
    <t>https://tabs.ultimate-guitar.com/tab/the-offspring/original-prankster-bass-57494</t>
  </si>
  <si>
    <t>G|-------------------------------|-------------|
D|-------------------------------|-------------|
A|-------------------------------|-------------|
E|-------------------------------|--------0-3--|
G|-----------------|-------------|-----------------|---------------|
D|-----------------|-------------|---------7-------|---------------|
A|-0-0-3-0-0-----5-|-------------|-0-0-3-0---0-0-5-|-0-5-0-3-5--3--|
E|-----------------|--------0-3--|-----------------|---------------|
G|----------------|---------------|---------------|--------------|
D|o---------------|---------------|---------------|--------------|
A|o-0--3--0-3---5-|---5---0-5--3--|-0--3--0-3---5-|---5---0-5--3-|
E|----------------|---------------|---------------|--------------|</t>
  </si>
  <si>
    <t>Black Night</t>
  </si>
  <si>
    <t>QuAKMlfxX7I</t>
  </si>
  <si>
    <t>https://www.bigbasstabs.com/deep_purple_bass_tabs/black_night.html</t>
  </si>
  <si>
    <t>G|-------------------------------------------------------------|
D|-----5---------------5------7---5-----------------------5----|
A|--7----7--5----5--7------7---------7---5---7---------------7-|
E|-------------7-----------------------------------------------|
G|-------------------------------------------------------------|
D|-----5---------------5------7---5-----------------------5----|
A|--7----7--5----5--7------7---------7---5---7---------------7-|
E|-------------7-----------------------------------------------|</t>
  </si>
  <si>
    <t>Scam</t>
  </si>
  <si>
    <t>dAvwV_hXrcM</t>
  </si>
  <si>
    <t>https://tabs.ultimate-guitar.com/tab/jamiroquai/scam-bass-598195</t>
  </si>
  <si>
    <t>Main riff
G|-------------|-----------|              |-----------------|
D|---3---4---5-|-------0---|              |---8---8---8---8-|
A|-------------|---0-1---3-| repeat lots  |-----------------|
E|-1---2---3---|-3---------|              |-x---x---x---x---|
Chorus
G|--------------10---11---12--12//15--|
D|------5\\\\3--------------------------|
A|------------8----9----10------------|
E|-3--x-------------------------------|</t>
  </si>
  <si>
    <t>The Brothers Johnson</t>
  </si>
  <si>
    <t>Ain't We Funkin' Now</t>
  </si>
  <si>
    <t>IDWtCusiqmc</t>
  </si>
  <si>
    <t>https://tabs.ultimate-guitar.com/tab/the-brothers-johnson/aint-we-funkin-now-bass-2700663</t>
  </si>
  <si>
    <t>G|------------------------------------|
D|o-----------------------------------|
A|o-------------3-------------3--5p3--|
E|-5-5--2-3------5--5---2-3---------5-|
G|------------------------------------|
D|-----------------------2-0--------o-|
A|---------------------------3h5-3--o-|
E|-5----2-3---3--5--5--2--------------| 4x</t>
  </si>
  <si>
    <t>Primus</t>
  </si>
  <si>
    <t>Power Mad</t>
  </si>
  <si>
    <t>Fgf8L2cdbLg</t>
  </si>
  <si>
    <t>https://tabs.ultimate-guitar.com/tab/primus/power-mad-bass-4966</t>
  </si>
  <si>
    <t xml:space="preserve">G|-----------------|--------------------|------------------|
D|---------1-------|---------1----3-1---|-1----------------|
A|-1h3-1h3---3-1-3-|-1h3-1h3---3------3-|---3-1-3------1-3-|
E|-----------------|--------------------|----------1-3-----|
G|----------------3h5p3------|
D|-----------------------5-3-|
A|-(3)-----------------------|
E|---------------------------|
G|-----5---x-----3h5-5-----5----------------|
D|---------------3h5-5--------------2h4-2h4-|
A|-3-x---x---x-3-------3-x---x--3-x---------|
E|------------------------------------------|
G|-----5---x-----3h5-5-----5----------------|
D|---------------3h5-5----------------------|
A|-3-x---x---x-3-------3-x---x--3-x---------|
E|------------------------------------x-2---| (x4) </t>
  </si>
  <si>
    <t>Three Days Grace</t>
  </si>
  <si>
    <t>Animal I Have Become</t>
  </si>
  <si>
    <t>xqds0B_meys</t>
  </si>
  <si>
    <t>https://tabs.ultimate-guitar.com/tab/three-days-grace/animal-i-have-become-bass-352090</t>
  </si>
  <si>
    <t>[Intro]
F|------------------|           |------------------|
C|------------------|           |------------------|
G|-----------7------|x11        |-----------7------|
C|-0-0---7-8---8-7--|           |-0-0---7-8---8----|
[Verse]
F|-----------------|---------------|------------------|-----------------|
C|-----------------|---------------|------------------|-----------------|
G|-----------------|---------------|-----------7------|-----------7-----|x3
C|-3-3---3-3-3---3-|3-3---3-3-3--5-|-0-0---7-8---8-7--|-0-0---7-8---8---|
F|-----------------|---------------|-----------------|-----------------|
C|-----------------|---------------|-----------------|-----------------|
G|-----------------|---------------|-----------------|-----------------|
C|-3-3---3-3-3---3-|3-3---3-3-3--3-|-5-5---5-5-5---5-|-8---------------|
[Chorus]
F|-----------|----------------|-------------|--------------|
C|-----------|----------------|-------------|--------------|
G|-------3---|--------0--0-1--|--------3----|--------------|
C|---0-------|---3------------|---0---------|---3----5-5-3-|
F|-----------|----------------|-------------|--------------|
C|-----------|----------------|-------------|--------------|
G|-------3---|--------0--0-1--|--------3----|--------------|
C|---0-------|---3------------|---0---------|---3----5-4-3-|
F|------------------|------------------|
C|------------------|------------------|
G|-----------7------|-----------7------|
C|-0-0---7-8---8-7--|-0-0---7-8---8----|</t>
  </si>
  <si>
    <t>Steve Wonder</t>
  </si>
  <si>
    <t>Superstition</t>
  </si>
  <si>
    <t>0CFuCYNx-1g</t>
  </si>
  <si>
    <t>https://tabs.ultimate-guitar.com/tab/stevie-wonder/superstition-bass-23746</t>
  </si>
  <si>
    <t>[Intro]
Gb|----------------------------------------|
Db|----------5------------------5----------|  x4
Ab|----7-5-7---5---5h7------5-7---5---5h7--|
Eb|-0------------7------5-7---------7------|</t>
  </si>
  <si>
    <t>Dr Funkenstein</t>
  </si>
  <si>
    <t>noqMfTRKNlo</t>
  </si>
  <si>
    <t>https://tabs.ultimate-guitar.com/tab/parliament/dr-funkenstein-bass-5099</t>
  </si>
  <si>
    <t>G|------6-------6---------------------------|
D|------------------------------------------|
A|-2/4-----2/4------2-1-2-1-2-1-2-1-x-x-----|
E|------------------------------------------|
G|------6-------------------6----------------|
D|-------------------------------------------|
A|-2/4------x-x-1-2---2/4-------2-1-2---2----|
E|------------------------------------4---4--|</t>
  </si>
  <si>
    <t>Space Cowboy</t>
  </si>
  <si>
    <t>OPkjnRIdQXQ</t>
  </si>
  <si>
    <t>https://tabs.ultimate-guitar.com/tab/jamiroquai/space-cowboy-bass-10906</t>
  </si>
  <si>
    <t>G-|--8----10----13--|
D-|-----------------|
A-|--6----8-----11--|
E-|-----------------|
G|------(6)-------(5)--------4----------------------------|
D|------------------------------------------------6--6h8--|
A|--4---------3---------2---------------------------------|
E|--------------------------------2--2--2-2--2/4----------|
G|-------8-------------5-5-------------6---------------------------------|
D|--------8-----6-----------------------6-----4------------------6--6h8--|
A|-4---6---6--4--4--3-------3-3--2---4---4--2--2-------------------------|
E|------------------------------------------------2--2--2-2-2/4----------|
G|----6-6------------4-4-----------------|-----------------------------|
D|----------------------------------6-6--|--------4-6-4-6/8--6---------|
A|-4-------4-4----2-------2-2------------|-----6----------------8--6~--|
E|-------------------------------4-------|--4--------------------------|</t>
  </si>
  <si>
    <t>Fire</t>
  </si>
  <si>
    <t>0XCbfAzOq9c</t>
  </si>
  <si>
    <t>https://tabs.ultimate-guitar.com/tab/jimi-hendrix/fire-bass-11773</t>
  </si>
  <si>
    <t>G|--------------|
D|-6-5\\--35----*|
A|---------55--*|
E|--------------|
G|----------|
D|*--------*|
A|*--355---*|
E|--5-------|
G|------------------|
D|*----------------*|
A|*5-5-------223344*|
E|-----2345-5-------|</t>
  </si>
  <si>
    <t>Larry Graham</t>
  </si>
  <si>
    <t>Ain't No Fun To Me</t>
  </si>
  <si>
    <t>pkS8UNRK4q8</t>
  </si>
  <si>
    <t>https://tabs.ultimate-guitar.com/tab/graham-central-station/it-aint-no-fun-to-me-bass-1099823</t>
  </si>
  <si>
    <t>G|--9--------9-7--9-7----------------------|
D|--9--------------------------------------|
A|--7~----------------5-5-5-7~-------------|
E|-----------------------------------------|
G|---------------------------12/13--------------|
D|---------------------------11/12--------------| x3
A|---------5------------------------------------|
E|-0-0-1/5--------------------------------------|
G|--------------------|
D|-------4---5---6----|
A|--------------------|
E|-0-0-2---3---4------|</t>
  </si>
  <si>
    <t>Anouk</t>
  </si>
  <si>
    <t>The Dark</t>
  </si>
  <si>
    <t>483d50h5HH0</t>
  </si>
  <si>
    <t>https://tabs.ultimate-guitar.com/tab/anouk/the-dark-bass-49201</t>
  </si>
  <si>
    <t>INTRO:
G|------------------------------------| |-----------------------|
D|*----------------------------------*| |-----------------------|
A|---------5h7-7-7-7-5-5-5-5-3-3-3-3--|x3 |---------5-5-5-5--3====|
E|*-0-0-0-0--------------------------*| |-0-0-0==---------------|
B|------------------------------------| |--------------------1==|
VERSE: (or 10/12)
G|-----------------------10h12----|-----------------------10h12----|
D|-------0h2-------x-----------11-|-------0h2-------x-----------11-|
A|--------------------------------|--------------------------------|
E|-0-x-x-----0/3-x----------------|-0-x-x-----0/3-x----------------|
B|--------------------------------|--------------------------------|
G|-----------------------10h12----|--------------------------------|
D|-------0h2-------x-----------11-|-------0h2-------x------x-------|
A|--------------------------------|--------------------------------|
E|-0-x-x-----0/3-x----------------|-0-x-x-----0/3-x----5h6---6p5p3-|
B|--------------------------------|--------------------------------|
G|-----------------------10h12----|-----------(or 0)----------------|
D|-------0h2-------x-----------11-|-------0h2-----5----/10h11p10h11-|
A|--------------------------------|---------------------------------|
E|-0-x-x-----0/3-x----------------|-0-x-x-----0h3-------------------|
B|--------------------------------|---------------------------------|
G|-----------------------10h12----|--------------------------|
D|-------0h2-------x-----------11-|-------0h2----------------|
A|--------------------------------|--------------------------|
E|-0-x-x-----0/3-x----------------|-0-x-x-----0--------------|
B|--------------------------------|--------------------------|</t>
  </si>
  <si>
    <t>Longview</t>
  </si>
  <si>
    <t>42BBdzzgPNM</t>
  </si>
  <si>
    <t>https://tabs.ultimate-guitar.com/tab/green-day/longview-bass-91929</t>
  </si>
  <si>
    <t>G|----------------------------------8-6-5-6-|
D|--------8-6-5-----6-5-------8-6-5-0-0-0-0-|    x4
A|----6-6-------4-4-----4-8-6---------------|
E|------------------------------------------|</t>
  </si>
  <si>
    <t>Ace Of Spades</t>
  </si>
  <si>
    <t>https://tabs.ultimate-guitar.com/tab/818320</t>
  </si>
  <si>
    <t>[Intro]
G|--------------------------------------------------------------| (x3)
D|--------------------------4-----------------------------------|
A|----4---6--(x3)---4---6---------------------------------------|
E|--------------------------------------------------------------|
[Verse]
G|---------------6----10----6--------------------8-----6--------|
D|----------8-------------------------------8-------------------|
A|-6---9-------------------------6----9-------------------------|
E|--------------------------------------------------------------|
[Chorus]
G|--------------------------------------------------------------|
D|------------------------13-----------------13----16-----------|
A|--11-----11-----14-----------14----14-------------------------|
E|--------------------------------------------------------------|
G|--------------------------------------------------------------|
D|------------------3-------------------------------------------|
A|--1----1----4-------------------------------------------------|
E|------------------------4-----2----4----0-----2---3----4------|
G|--------------------------------------------------------------|
D|------------------------13-----------------13----16-----------|
A|--11-----11-----14-----------14----14-------------------------|
E|--------------------------------------------------------------|
G|--------------------------------------------------------------|
D|------------------3------4----3-------------------------------|
A|--1----1----4---------------------6----6----4-----------------|
E|--------------------------------------------------------------|</t>
  </si>
  <si>
    <t>Wrathchild</t>
  </si>
  <si>
    <t>u-3Ka8x4zvE</t>
  </si>
  <si>
    <t>https://tabs.ultimate-guitar.com/tab/iron-maiden/wrathchild-bass-114769</t>
  </si>
  <si>
    <t>G|---------------------------------------------------------------|
D|---------------------------------------------5-5-4-5-7-5-4-0-.-|
A|-5h7-7-7-------5h7-7-7--------5h7-7-7------------------------.-|
E|--------0-0-0-0-------0-0-0-0---------0-0-0-0------------------|</t>
  </si>
  <si>
    <t>George Benson</t>
  </si>
  <si>
    <t>Give Me The Night</t>
  </si>
  <si>
    <t>imYJpr09IgQ</t>
  </si>
  <si>
    <t>https://www.bigbasstabs.com/george_benson_bass_tabs/give_me_the_night.html</t>
  </si>
  <si>
    <t>G|--------------------------------|--------------------------------|
D|3-----1-3-----------------------|----------------------------1h2-|
A|------------1---------------1h2-|3-----1-3---4-4-----------------|
E|--------------------------------|--------------------------------|
B|--------------------------------|--------------------------------|
G|--------------------------------|--------------------------------|
D|3-----1-3-----------------------|--------------------------------|
A|------------1---------------1h2-|3-----1-3---4-------1-----------|
E|--------------------------------|----------------4---------------|
B|--------------------------------|------------------------4-------|</t>
  </si>
  <si>
    <t>Fat Larry's Band</t>
  </si>
  <si>
    <t>Act Like You Know</t>
  </si>
  <si>
    <t>DG9_pVQaJKY</t>
  </si>
  <si>
    <t>https://tabs.ultimate-guitar.com/tab/fat-larrys-band/act-like-you-know-bass-1835569</t>
  </si>
  <si>
    <t>G|----------------------------------------------------------1--3--5--3--1------|
D|--3----1--3--1---------------------3----------------3-------------------3--1 |
A|------------------3--1----1--1--3-------4--4----4----------------------------|
E|-----------------------------------------------------------------------------|x5
G|----------------------------------------------------------1--3--5--3--1------|
D|--3----1--3--1---------------------3----------------3-------------------3--1 |
A|------------------3--1----1--1--3-------4--4----4----------------------------|
E|-----------------------------------------------------------------------------|x4</t>
  </si>
  <si>
    <t>Herbie Hancock</t>
  </si>
  <si>
    <t>Chameleon</t>
  </si>
  <si>
    <t>UbkqE4fpvdI</t>
  </si>
  <si>
    <t>https://tabs.ultimate-guitar.com/tab/herbie-hancock/chameleon-bass-143743</t>
  </si>
  <si>
    <t>G|------------3----------3-6--|
D|----------6-----------------|
A|---------------3-4-5-6------|
E|--3-4-5-6-------------------|</t>
  </si>
  <si>
    <t>Kool &amp; The Gang</t>
  </si>
  <si>
    <t>Ladies Night</t>
  </si>
  <si>
    <t>LjG7-5kbevo</t>
  </si>
  <si>
    <t>https://tabs.ultimate-guitar.com/tab/kool-the-gang/ladies-night-bass-10044</t>
  </si>
  <si>
    <t>G|-----------0-----------------|
D|----1--3----------------1-3--|
A|-3----------1---3-3----------|
E|-----------------------------|</t>
  </si>
  <si>
    <t>Level 42</t>
  </si>
  <si>
    <t>Lessons In Love</t>
  </si>
  <si>
    <t>9x1RcVrGjGM</t>
  </si>
  <si>
    <t>https://tabs.ultimate-guitar.com/tab/level-42/lessons-in-love-bass-37672</t>
  </si>
  <si>
    <t>G|------------------|-------------444-|-----------------|---------000-555--|
D|---------000-555--|-----111-444-----|-------------222-|-----222----------|
A|-----222----------|-222-------------|---------222-----|-333--------------|
E|--333-------------|-----------------|-000-333---------|------------------|</t>
  </si>
  <si>
    <t>Les Claypool</t>
  </si>
  <si>
    <t>The Awakening</t>
  </si>
  <si>
    <t>N9HA1CUltjQ</t>
  </si>
  <si>
    <t>https://tabs.ultimate-guitar.com/tab/les-claypool-and-the-holy-mackerel/the-awakening-bass-73608</t>
  </si>
  <si>
    <t>G|---------------------5----------5--------------6-----9--|
D|-----------------------5----------5---------------------|
A|--------------------------------------------*4----*7----|
E|-33--33--3/15\\0--0---------*0-------5--15\\--------------|
G|--------5-------5----------------------------|
D|------5-----------5--------------------------|
A|----------------------------*55-55-*55-------|
E|-*0---------0-------5--15\\0-------------15\\--|
G|----------7------------7-9-7-----------7--7----------7-7/9\\--|
D|------7h9----------7h9-------------7h9----5------7h9---5/7\\--|
A|-------------------------------------------------------------|
E|-0-0----------0-0-------------0-0------------0-0-------------|</t>
  </si>
  <si>
    <t>Travelling Without Moving</t>
  </si>
  <si>
    <t>3WA6Y5uJB7g</t>
  </si>
  <si>
    <t>https://tabs.ultimate-guitar.com/tab/jamiroquai/travelling-without-moving-bass-10894</t>
  </si>
  <si>
    <t>G|--------------------------------------------------------------------|
D|--------------------------------------------------------------------|
A|----------------------------------------------5h7--7-7-7--5h7-7-7-7-|
E|--3p0-0-0--0--3p0-0-0--0--3p0-0-0--3/5-6-7--------------------------|
G|-------------------------------------------------------------|
D|-------------------------------------------------------------|
A|--5h7--7-7-7--5h7-7-7-7--5h7--7-7-7--5--7-7-7--5h7--7-7-7----|
E|-------------------------------------------------------------|</t>
  </si>
  <si>
    <t>Run For Cover</t>
  </si>
  <si>
    <t>xXYjo5-UaTY</t>
  </si>
  <si>
    <t>https://tabs.ultimate-guitar.com/tab/marcus-miller/run-for-bass-324367</t>
  </si>
  <si>
    <t>G|-------14p12h14~-|
D|---x-------------|
A|-----------------|
E|-x---------------|
G|---6-7----------------------------------------|
D|----------------5-----------5-5-----2---------|
A|-------x-5h7-x------5-5h7-x-----2h4-----x-5h7-|
E|-0------------------------------------3-------|
G|---6-7------------------------------5/-12-12-11-11-9-9-7-7-|
D|----------------5-----x---x----5-5-------------------------|
A|-------x-5h7-x---------------------------------------------|
E|-0------------------x---x---x------------------------------|</t>
  </si>
  <si>
    <t>Earth, Wind &amp; Fire</t>
  </si>
  <si>
    <t>September</t>
  </si>
  <si>
    <t>Gs069dndIYk</t>
  </si>
  <si>
    <t>https://tabs.ultimate-guitar.com/tab/earth-wind-fire/september-bass-93429</t>
  </si>
  <si>
    <t>[Intro]
G|----------------|   |-----|
D|--------17-19---|   |-----|
A|----0-0---------|2x |--0--|
E|----------------|   |-----|
[Verse]
G|-----------------------|
D|-----------------------|
A|-5-5-4-2-2-4-2---------| 2x
E|---------------0-2-5---|
G|----------------------------------------------------|-----|-----|
D|-------------2-3-4-----------5-7------5-7------5-7--|-----|-----|
A|-5-5-4-2-2-4-------4-2---0-0------0-0------0-0------|-0-0-|-0-1-|
E|----------------------------------------------------|-----|-----|
[Chorus]
G|-------------------------|
D|---4-2-------------------|
A|-2-----0-2-4-4-2-----0---| 2x
E|-----------------0-2-----|
G|---------------------------------------------------------|
D|---4-2---------2-3-4-----------5-7------5-7------5-7-----|
A|-2-----0-2-4-4-------4-2---0-0------0-0------0-0-----0-0-|
E|---------------------------------------------------------|</t>
  </si>
  <si>
    <t>sOnqjkJTMaA</t>
  </si>
  <si>
    <t>https://tabs.ultimate-guitar.com/tab/michael-jackson/thriller-bass-10581</t>
  </si>
  <si>
    <t>[Intro] 
G|----------------|
D|---2-----2-4----|
A|-4-----------4--|
E|----------------|
[Main Riff]
G|-----------------------------------|
D|------------2---4------------------|
A|--4-2---4-----------4-------r------|
E|-----------------------------------|</t>
  </si>
  <si>
    <t>Smooth Criminal</t>
  </si>
  <si>
    <t>h_D3VFfhvs4</t>
  </si>
  <si>
    <t>https://tabs.ultimate-guitar.com/tab/michael-jackson/smooth-criminal-bass-860038</t>
  </si>
  <si>
    <t>G|------------------------------------------|
D|------------------------------------------|
A|------------------------------------------|
E|--5---5-5-5-3-5-7-7---7-7-8-8---8-8-7-3---|  X4
[Verse 1]
G|------------------------------------------|
D|------------------------------------------|
A|------------------------------------------|
E|--5---5-5-5-3-5-7-7---7-7-8-8---8-8-7-3---|  X3
G|--------------------------------|
D|--------------------------------|
A|--0000-02-2---023-3---232-------|
E|------0-------------------3---1-|</t>
  </si>
  <si>
    <t>Patrice Rushen</t>
  </si>
  <si>
    <t>Forget Me Nots</t>
  </si>
  <si>
    <t>jtMHsNhQBvI</t>
  </si>
  <si>
    <t>https://tabs.ultimate-guitar.com/tab/patrice-rushen/forget-me-nots-bass-1742367</t>
  </si>
  <si>
    <t>[Intro]
G|-------------7------------------------|-----------7--------------------------|
D|-----4----------------------------2h4-|---4------------4-6-4-6-4-6-------2-4-|
A|-------2-5-----5---57--7\\--24-4-4-----|-----2-5-----5---------------24-4-----|
E|-0h2----------------------------------|-2------------------------------------|
G|-----------7------------------------|-----------7-------------------------------|
D|---4----------------------------2h4-|---4------------4-6-4-6-4-6------2---4-2---|
A|-----2-5-----5---57--7\\--24-4-4-----|-----2-5-----5---------------24----4-----4-|
E|-2----------------------------------|-2-----------------------------------------|
[Verse]
G|-----------7------------------------|-----------7-------------------------------|
D|---4----------------------------2h4-|---4------------4-6-4-6-4-6------2---4-2---|
A|-----2-5-----5---57--7\\--24-4-4-----|-----2-5-----5---------------24----4-----4-|
E|-2----------------------------------|-2-----------------------------------------|
G|-----------7------------------------|-----------7--------------------------|
D|---4----------------------------2h4-|---4------------4-6-4-6-4-6-------2-4-|
A|-----2-5-----5---57--7\\--24-4-4-----|-----2-5-----5---------------24-4-----|
E|-2----------------------------------|-2------------------------------------|
G|-----------7------------------------|-----------7-------------------------|
D|---4----------------------------2h4-|---4------------4-6-4-6-4-6----------|
A|-----2-5-----5---57--7\\--24-4-4-----|-----2-5-----5---------------24-4-4--|
E|-2----------------------------------|-2-----------------------------------|
[Chorus]
G|---7----------------------------|----------------------------------|
D|----------------------------2h4-|---4---------2h4-4----------------|
A|-5---5-5-----57--7\\--24-4-4-----|----------------------------------| x3
E|--------------------------------|-2---2-2--------2-2-4-5---04-2----|
G|---7----------------------------|----------------------------------|
D|----------------------------2h4-|---4---------2h4------------------|
A|-5---5-5-----57--7\\--24-4-4-----|----------------------------------|
E|--------------------------------|-2---2-2--------2-2-2-2---2/(16)\\-|</t>
  </si>
  <si>
    <t>Bruno Mars</t>
  </si>
  <si>
    <t>Treasure</t>
  </si>
  <si>
    <t>nPvuNsRccVw</t>
  </si>
  <si>
    <t>https://tabs.ultimate-guitar.com/tab/bruno-mars/treasure-bass-1202771</t>
  </si>
  <si>
    <t>G|---------------------------------55------------------------|
D|--6--------33----------5-----------------------------------|
A|------------------------------3--------3h6p3---------------|
E|-4----4-3-1---1-1----3----3-6--------6-------6-------------|</t>
  </si>
  <si>
    <t>Sly &amp; The Family Stone</t>
  </si>
  <si>
    <t>Thank You</t>
  </si>
  <si>
    <t>N5BP2KlPD4U</t>
  </si>
  <si>
    <t>https://tabs.ultimate-guitar.com/tab/sly-the-family-stone/thank-you-bass-173929</t>
  </si>
  <si>
    <t>G|-------------9---7---9---------------9---7----|
D|----------------------------------------------|
A|----5---7------------------5---7--------------|
E|-7--------------------------------------------|</t>
  </si>
  <si>
    <t>https://tabs.ultimate-guitar.com/tab/iron-maiden/the-trooper-bass-819772</t>
  </si>
  <si>
    <t>G|-9-9-97--7-7-75--5-5-54--------|---9-97--7-7-75--5-5-54----------|
D|-------9-------7-------5---5---|-------9-------7-------5---5-----| x3
A|-------------------------5---5-|-7-----------------------5---5---|
E|-------------------------------|---------------------------------|
G|-------------------------------|---------------------------------|
D|---------------------------5---|x2---------------------------5---|
A|-7-777-777-777-777-777-0-5---5-|---3-333-333-333-333-333-0-5---5-|
E|-------------------------------|---------------------------------| x2
G|-------------------------------|
D|---------------------------5---|
A|-7-777-777-777-777-777-0-5---5-|
E|-------------------------------|</t>
  </si>
  <si>
    <t>Phantom Of The Opera</t>
  </si>
  <si>
    <t>h8IuFl3sMhk</t>
  </si>
  <si>
    <t>https://tabs.ultimate-guitar.com/tab/iron-maiden/phantom-of-the-opera-bass-703694</t>
  </si>
  <si>
    <t>[Intro]
G|-----4-4-4--4------7-4---5-4------------|
D|-4-5----------5-4------5-----5--4-5-7---|
A|---------------------------------------2|
E|----------------------------------------|  x3
G|-----4-4-4--4------7-4---5-4------------|
D|-4-5----------5-4------5-----5--4-5-7---|
A|----------------------------------------|
E|----------------------------------------|
G|------------------------------------------------7-7-7--9-9-9--9-9-9-|
D|---------------------2-2-2--5-5-5--7-7-7--9-9-9---------------------|
A|-2-2-2--3-3-3--5-5-5------------------------------------------------|
E|--------------------------------------------------------------------|
G|-7-9-9--9-9-9--7-9-9--9-9-9--9-9-9--9/-|
D|---------------------------------------|
A|---------------------------------------|
E|---------------------------------------|</t>
  </si>
  <si>
    <t>Hallowed Be Thy Name</t>
  </si>
  <si>
    <t>J51LPlP-s9o</t>
  </si>
  <si>
    <t>https://tabs.ultimate-guitar.com/tab/iron-maiden/hallowed-be-thy-name-bass-711630</t>
  </si>
  <si>
    <t>G|-----------|----------|----------|-------||
D|o----------|----------|----------|------o||
A|o----------|----------|----------|------o||
E|--0--------|-0--------|-0--------|-0-----||
G|-----------|----------------|----------|-------||
D|o----------|----------------|----------|------o||
A|o-3--------|-5----(5)--5h7--|----------|------o||
E|-----------|----------------|-0--------|-0-----||</t>
  </si>
  <si>
    <t>The Pot</t>
  </si>
  <si>
    <t>civuoU_NE38</t>
  </si>
  <si>
    <t>https://tabs.ultimate-guitar.com/tab/tool/the-pot-bass-367611</t>
  </si>
  <si>
    <t>[Intro]
G[-----------------------------------------------------------------]
D[--0-10-0-0-12-0-0-10-0-0-0--0--0-10-0-0-13--0-10-0-0-13-0-10-----]x8
A[-----------------------------------------------------------------]
D[-----------------------------------------------------------------] 
G[-----------------------------------------]
D[-----------------------------------------]x4
A[-------5----------5------------5-------3-]
D[-0--0-----0-0--0-----0-0--0-0----0-0-3---]</t>
  </si>
  <si>
    <t>N.I.B</t>
  </si>
  <si>
    <t>jB84LL-Z8TU</t>
  </si>
  <si>
    <t>https://tabs.ultimate-guitar.com/tab/black-sabbath/nib-bass-16927</t>
  </si>
  <si>
    <t>G|----------------------------------------------------------|-----------|
D|-----------5-4-----------7b(9)-7-5-----------5-4----------|---------5-|
A|--7-7-5-7-------7-7-5-7-------------7-7-5-7-------7-7-5-7-|-----5h7---|
E|----------------------------------------------------------|-5h7-------|</t>
  </si>
  <si>
    <t>Roadhouse Blues</t>
  </si>
  <si>
    <t>n2_X4VTCoEo</t>
  </si>
  <si>
    <t>https://tabs.ultimate-guitar.com/tab/the-doors/roadhouse-blues-bass-1165288</t>
  </si>
  <si>
    <t>G|-------------------------|
D|----------------7--8--9--|
A|-7--7-7--7-7--7----------|
E|-------------------------| 
[Chorus]
G|-----------------------------|
D|--------------------4--------|
A|--------3--4---7-7-----7-----|
E|--5-5------------------------|   x5</t>
  </si>
  <si>
    <t>https://tabs.ultimate-guitar.com/tab/muse/psycho-bass-1719901</t>
  </si>
  <si>
    <t>G|----------------|----------------|----------------|----------------|
D|----------------|----------------|----------------|----------------|
A|----------------|--------b---b---|----------------|----------------|
D|0---3--05--03-0-|--0-3-0-5---5---|0---3--05--03-0-|----------------|
G|----------------|----------------|----------------|----------------|
D|----------------|----------------|----------------|----------------|
A|----------------|--------b---b---|----------------|----------------|
D|0---3--05--03-0-|--0-3-0-5---5---|0---3--05--03-0-|--0-4-0-5---6---|
G|----------------|----------------|----------------|----------------|
D|----------------|----------------|----------------|----------------|
A|0---1--04--01-0-|--0-1--04--01-0-|----------------|----3-------4---|
D|----------------|----------------|5---7-5-8-7-5--3|---3---2---2---0|
G|7--06---3---2---|----------------|----------------|----------------|
D|----------------|5--03---2---1---|----------------|----------------|
A|----------------|----------------|5--04---1---0---|----------------|
D|----------------|----------------|----------------|5--03---2---1---|</t>
  </si>
  <si>
    <t>OgvLej8ln2w</t>
  </si>
  <si>
    <t>https://tabs.ultimate-guitar.com/tab/muse/supermassive-black-hole-bass-362984</t>
  </si>
  <si>
    <t>G|----------------|----------------|----------------|-----------------|
D|----------------|----------------|----------------|-----------------|
A|----------------|----------------|----------------|-----------------|
E|-0-0-3-0-0-3-3-3|-0-0-3-0-0-5-5-3|-0-0-3-0-0-3-3-3|-0-0-3-0-0-5-5-7-|
G|----------------|----------------|----------------|----------------|
D|----------------|----------------|----------------|----------------|
A|----------------|----------------|----------------|----------------|
E|-0-0-3-0-0-3-3-3|-0-0-3-0-0-5-5-3|-0-0-3-0-0-3-3-3|-0-0-3-0--------|
[Chorus]
G|----------------|----------------|----------------|-----------------|
D|-----7-----7-7-6|-----5----------|-----9-----8-7-5|-----------------|
A|----------------|----------------|----------------|-----------------|
E|-5-5---5-5------|-3-3---3-3-5-5-6|-7-7---7-7------|-0-0-0-2-2-3-3-4-|
G|----------------|----------------|----------------|-----------------|
D|-----7-----7-7-6|-----5----------|-----9-----8-7-5|-----------------|
A|----------------|----------------|----------------|-----------------|
E|-5-5---5-5------|-3-3---3-3-5-5-6|-7-7---7-7------|---0---2---3---4-|</t>
  </si>
  <si>
    <t>https://tabs.ultimate-guitar.com/tab/lenny-kravitz/are-you-gonna-go-my-way-bass-814235</t>
  </si>
  <si>
    <t>G|------------|-----------------|------------------------------|
D|------------|---------14------|------------14-14-14-14-(14)--|
A|------------|------12---------|------12h14-------------------|
E|------------|-----------------|------------------------------|
G|----------------|-----------------|----------------|
D|----------------|-----------------|----------------|
A|-7--7----5-7--5-|-7--7----5-7-5---|-7--7----5-7--5-|
E|-------7--------|-------7-------7-|-------7--------|
G|---------------------|-----------------|------------------|
D|---------------------|-----------------|------------------|
A|-7----7------5-7p5---|-7--7----5-7-5---|-7--7----5-7-5----|
E|----7----7---------7-|-------7-------7-|-------7-------7--|</t>
  </si>
  <si>
    <t>Stealers Wheel</t>
  </si>
  <si>
    <t>Stuck In The Middle With You</t>
  </si>
  <si>
    <t>ln7Vn_WKkWU</t>
  </si>
  <si>
    <t>https://tabs.ultimate-guitar.com/tab/stealers-wheel/stuck-in-the-middle-with-you-bass-1238317</t>
  </si>
  <si>
    <t>[Intro Riff]
G|-------------|-------------------------|
D|-------------|-------------------------|
A|-5-------2-0-|-5-5---0-2-0-5-5---0-2-0-|
E|---2--3-5----|-----2----------2--------|
G|----------------------------|
D|----------------------------|
A|-5-5---0-2-0-5-5-3-x--0-2-0-|
E|-----2--------------2-------|</t>
  </si>
  <si>
    <t>Celebration</t>
  </si>
  <si>
    <t>3GwjfUFyY6M</t>
  </si>
  <si>
    <t>https://tabs.ultimate-guitar.com/tab/kool-the-gang/celebration-bass-969927</t>
  </si>
  <si>
    <t>G|-----------------------------------------------|
D|-----------------------------------------------|
A|-----------------------------------------------|
E|-1--1--2--2----1---2---1--4--4--4--4-4---------|x7
G|---------------------------------|
D|---------------------------------|
A|---------------------------------|
E|-1--1--2--2----1---2---1--4------|</t>
  </si>
  <si>
    <t>Rick James</t>
  </si>
  <si>
    <t>Give It To Me Baby</t>
  </si>
  <si>
    <t>1dNIQVYGXbM</t>
  </si>
  <si>
    <t>https://tabs.ultimate-guitar.com/tab/rick-james/give-it-to-me-baby-bass-398126</t>
  </si>
  <si>
    <t>G|----------------------------------|
D|----------------------------------|
A|-4-6-7-9-7-----4-6-7-6-9--9-79----|
E|4-------------4-------------------|</t>
  </si>
  <si>
    <t>A Little Less Conversation</t>
  </si>
  <si>
    <t>FAx-Fqi_zrw</t>
  </si>
  <si>
    <t>https://tabs.ultimate-guitar.com/tab/elvis-presley/a-little-less-conversation-bass-1744477</t>
  </si>
  <si>
    <t>Intro:
G|-----9--------------9--------------9--------------9----------|
D|------7-7-7-8-9------7-7-7-8-9------7-7-7-8-9------7-7-7-8-9-|
A|-7-7------------7-7------------7-7------------7-7------------| (x3)
E|-------------------------------------------------------------|
Verse 1:
G|-----9--------------9--------------9--------------9----------|
D|------7-7-7-8-9------7-7-7-8-9------7-7-7-8-9------7-7-7-8-9-|
A|-7-7------------7-7------------7-7------------7-7------------|
E|-------------------------------------------------------------|
Chorus:
G|-----------------------------------------------------|
D|---------5-5-5-5---7-7-7-7---------------------------|
A|-7-7-7-7-------------------5-5-5-5---7-7-7-7---------|
E|---------------------------------------------7-7-7-7-|</t>
  </si>
  <si>
    <t>The Clash</t>
  </si>
  <si>
    <t>The Magnificent Seven</t>
  </si>
  <si>
    <t>GcHL8efKKPE</t>
  </si>
  <si>
    <t>https://tabs.ultimate-guitar.com/tab/the-clash/the-magnificent-seven-bass-15748</t>
  </si>
  <si>
    <t>[Intro]
G|-2-0----------------------------------------------------------------|
D|-----2-0------------------------------------------------------------|
A|---------3-0---0----------------------------------------------------|
E|-------------3------------------------------------------------------|
[Everything else]
G|----------------5--------------------------------------------------|
D|--------7-7-5-7----------------------------------------------------|
A|--0--0-------------\\5-5--5-5-3--5-5-3------------------------------|
E|-------------------------------------------------------------------|</t>
  </si>
  <si>
    <t>Get Lucky</t>
  </si>
  <si>
    <t>5NV6Rdv1a3I</t>
  </si>
  <si>
    <t>https://tabs.ultimate-guitar.com/tab/daft-punk/get-lucky-bass-1243165</t>
  </si>
  <si>
    <t>G|--------------4-------|-----------7--------------|------------11------------|
D|-----------x---x------|--------------x-----------|---------------x----------|
A|2---2---2--------2--4-|---5---5-x-------5---5--7-|--9---9--x-------9---11---|
E|----------------------|--------------------------|--------------------------|
G|-------9--------------|-----------4--------------|-----------7--------------|
D|---------x--------7h9-|--------------x-----------|-------------x------------|
A|7--7-x-----7--7h9-----|------2--x--------2--2--4-|--5---5-x------5---5-5-7-7|
E|----------------------|-7------------------------|--------------------------|
G|----------11----------|-----------9--------------|---------4----------------|
D|------------x---------|-------------x-------7h9--|-----------x--------------|
A|--9--9-x------9--11--9|--7---7-x------7--7h9-----|----2-x-------2--2-2-4-4--|
E|----------------------|--------------------------|--7-----------------------|
G|--------7--7----------|--------------------------|--------------------------|
D|----------------------|-----------4--------------|-----------------x--------|
A|-5---5-------5-5-5h7-5|--------------x-----------|------7--7--x-7----0-0-1-1|
E|----------------------|--2---2--x-------2--2--4--|-0--0---------------------|</t>
  </si>
  <si>
    <t>Charles Wright</t>
  </si>
  <si>
    <t>Express Yourself</t>
  </si>
  <si>
    <t>jW4VZ5J0fNQ</t>
  </si>
  <si>
    <t>https://tabs.ultimate-guitar.com/tab/charles-wright/express-yourself-bass-360672</t>
  </si>
  <si>
    <t xml:space="preserve">G|-8---8--------------------------|--------------|
D|--------5-6-8-5----6--6-5---8---|---5-8-5------|
A|---6-------------6---6----8-----|---------8----|
E|--------------------------------|--------------|
</t>
  </si>
  <si>
    <t>George Baker</t>
  </si>
  <si>
    <t>Little Green Bag</t>
  </si>
  <si>
    <t>4b1wt3-zpzQ</t>
  </si>
  <si>
    <t>https://tabs.ultimate-guitar.com/tab/george-baker/little-green-bag-bass-136169</t>
  </si>
  <si>
    <t>[Opening riff]
G|---------3----------------------------------------3---------------|
D|--5--3-5---5-3-5---5-3---------------3-------3-5----5-------------|
A|-----------------------3-5----5--3-5---5-3-5----------------------|
E|------------------------------------------------------------------|
Standard riff
G|--------------h3---------------------------------------------------|
D|-0h3-5--3h5--5--5--0h3h5----------5h7----------h3-----------3-4-5--|
A|-------------------------3-4-5--------5--3h5--5--5--0h3h5----------|
E|-------------------------------------------------------------------|</t>
  </si>
  <si>
    <t>Panic Station</t>
  </si>
  <si>
    <t>6uBK5kvakD8</t>
  </si>
  <si>
    <t>https://tabs.ultimate-guitar.com/tab/muse/panic-station-bass-1184490</t>
  </si>
  <si>
    <t>G|-----------7/9-------------19191919---|
D|-----------7/9-------------19191919---| x2
A|--------------------------------------|
E|--0--0--0--------0-0-0-0--------------|
G|-----------13/12-----------19191919---|
D|-----------13/12-----------19191919---|
A|--0--0--0-----------------------------|
E|-------------------3-3-3-3------------|
G|-----------7/9-------------19191919---|
D|-----------7/9-------------19191919---|
A|--------------------------------------|
E|--0--0--0--------0-0-0-0--------------|
[Chorus]
G|------------------------------------------|
D|---2-2-2-4-5-5-5-6-7-7-7-9-10-10--12--13--|
A|------------------------------------------|
E|--0-0-0-2-3-3-3-4-5-5-5-7-8--8--10--11----|
G|----------------------------------|
D|---2-2-2-4-5-5-5-6-7-7-7-9--------|
A|----------------------------------|
E|--0-0-0-2-3-3-3-4-5-5-5-7-8~------|</t>
  </si>
  <si>
    <t>AwIPiw4_Ba8</t>
  </si>
  <si>
    <t>https://tabs.ultimate-guitar.com/tab/led-zeppelin/moby-dick-bass-709086</t>
  </si>
  <si>
    <t>First Riff: x4
G|-----7---7p5---------------------------------------------------------|
D|-------------7-3---5-3--5--3-----------------------------------------|
A|--5------------------------------------------------------------------|
E|---------------------------------------------------------------------|
Second Riff: x2
G|------------------------------------------------------|
D|-----5--5p3-------------------------------------------|
A|-------------5-1--3-1--3-1----------------------------|
E|--3---------------------------------------------------|</t>
  </si>
  <si>
    <t>Look Around</t>
  </si>
  <si>
    <t>WnisBb2rVOg</t>
  </si>
  <si>
    <t>https://tabs.ultimate-guitar.com/tab/red-hot-chili-peppers/look-around-bass-1086731</t>
  </si>
  <si>
    <t>[Intro]
G|------|-----.---------------------------|---------------------------------|
D|------|-----5---5---5-3-.---------------|-.-------.-------.---------------|
A|------|-----------------5---5---5---3-5-|-6---6---6---6-5-3---3-3-1(1)1-1-|
E|------|-3-------------------------------|---------------------------------|
G|-----.---------------------------|---------------------------------|
D|-----5---5---5-3-.---------------|-.-------------------3-----------|
A|-----------------5---5---5---3-5-|-6---6---6-6-6-5-3-5---0-5-3-1---|
E|-3-------------------------------|---------------------------------|</t>
  </si>
  <si>
    <t>Easily</t>
  </si>
  <si>
    <t>p6hWHWqguPw</t>
  </si>
  <si>
    <t>https://tabs.ultimate-guitar.com/tab/red-hot-chili-peppers/easily-bass-182705</t>
  </si>
  <si>
    <t>G|----------------5---------------------------------|
D|--------5-----7---7--3-3--5-7--7-7-------5-7p5----|
A|------7---5------------------------5h7---------7--|
E|--5-----------------------------------------------|
1st Verse:
G|-------------------------5-----------------------------------}
D|----------5------------7----7-0-3-3--5-7--7-7-7-----5-7p5----}
A|--------7----5--5-5-5--------------------------5h7-------7---}
E|--5-5-5------------------------------------------------------}
                                                               ]
G|-------------------------5-----5-----------------------------}
D|----------5-----------7----0-3---7-7-7-7-7-5---5-------------}
A|--------7---5--5-5-5-5-----------------------7---------------}
E|--5-5-5------------------------------------------------------}</t>
  </si>
  <si>
    <t>Victor Wooten</t>
  </si>
  <si>
    <t>Me And My Bass Guitar</t>
  </si>
  <si>
    <t>8U9uPv_Fxuc</t>
  </si>
  <si>
    <t>https://tabs.ultimate-guitar.com/tab/victor-wooten/me-and-my-bass-guitar-bass-57719</t>
  </si>
  <si>
    <t>G|------x------x-----------x------------|------x------x-----------x-------------|
D|--------h6-x---h7-x-------------------|--------h6-x---h7-x--------------------|
A|--------------------h7-x------x-h5----|--------------------h7-x------x-h5-----|
E|-h7-x----------------------h5------h6-|-h7-x----------------------h5------h6--|</t>
  </si>
  <si>
    <t>Mary Had A Little Lamb</t>
  </si>
  <si>
    <t>WWU6hpPJG_c</t>
  </si>
  <si>
    <t>https://tabs.ultimate-guitar.com/tab/stevie-ray-vaughan-double-trouble/mary-had-a-little-lamb-bass-25044</t>
  </si>
  <si>
    <t>Gb|-----------------------------------------------------------------------|
Db|---------------------------------5-6-7-7----5-7-77---------------------|
Ab|-7-7----5-7-7----5-7-7----5-7-77---------77--------4-5-6-7-7----5-7-77-|
Eb|-----77-------77-------77------------------------------------77--------|
Gb|----------------------------------------|
Db|-6-7-8-9-9------7-77--------------------|
Ab|-----------99-7------4-5-6-7----5-6-7-R-|
Eb|-----------------------------77---------|</t>
  </si>
  <si>
    <t>Mark Ronson</t>
  </si>
  <si>
    <t>Uptown Funk</t>
  </si>
  <si>
    <t>OPf0YbXqDm0</t>
  </si>
  <si>
    <t>https://tabs.ultimate-guitar.com/tab/mark-ronson/uptown-funk-bass-1685379</t>
  </si>
  <si>
    <t>G|------------------|------------------|------------------|------------------|
D|------------------|35-3----35--3-----|------------------|35-3----35--3-----|
A|-5\\------------5--|------5--------5--|-5\\------------5--|------5--------5--|
D|------------------|------------------|------------------|------------------|</t>
  </si>
  <si>
    <t>Tommy The Cat</t>
  </si>
  <si>
    <t>r4OhIU-PmB8</t>
  </si>
  <si>
    <t>https://tabs.ultimate-guitar.com/tab/primus/tommy-the-cat-bass-1737519</t>
  </si>
  <si>
    <t>G|--------|--4-4----------------------------------|
D|--------|--2-2-----------3h5-----5------5-----0-|
A|--------|---------------------------------------|x3
E|-1/19\\1-|--------x-3h5-x-------5---4-x---3-0----|  
G|--4-4-----------------------------------------15---|
D|--2-2-----------3h5-----5------5-----0----/14------|
A|---------------------------------------------------|
E|--------x-3h5-x-------5---4-x---3-0----------------|
G|-4-4-----------------------------------|    ---4-------|
D|-2-2-----------3h5-----5------5------0-|    ---2-------|
A|---------------------------------------|x8  -----------|
E|-------x-3h5-x-------5---4-x---3-0-----|    -----------|</t>
  </si>
  <si>
    <t>Boogie Oogie Oogie</t>
  </si>
  <si>
    <t>A Taste Of Honey</t>
  </si>
  <si>
    <t>rEKiHVXrnXk</t>
  </si>
  <si>
    <t>https://tabs.ultimate-guitar.com/tab/a-taste-of-honey/boogie-oogie-oogie-bass-1396395</t>
  </si>
  <si>
    <t>G|-------5--7--\\10---12--10--9--7---|-------5--7--\\10---12--1414--14-12-10-9---|
D|-0--5h7-------------------------7-|-0--5h7---------------------------------7-|
A|----------------------------------|------------------------------------------|
E|----------------------------------|------------------------------------------|
G|-------5--7--\\10---12--14--17--19-|-------5--7--\\10---12--10--9--7---|
D|-0--5h7---------------------------|-0--5h7-------------------------7-|
A|----------------------------------|----------------------------------|
E|----------------------------------|----------------------------------|</t>
  </si>
  <si>
    <t>Deep Inside</t>
  </si>
  <si>
    <t>Kck2FsziHXs</t>
  </si>
  <si>
    <t>https://tabs.ultimate-guitar.com/tab/incubus/deep-inside-bass-11443</t>
  </si>
  <si>
    <t>G|---------------------------------------------------------|
D|--------------------------------------------4h5----------|
A|--1h2---2-2-2--1h2---2-2-2---1h2--2-2-2---------5-4-3-2--|
E|---------------------------------------------------------|
G|-----------------------------2h3--------------------------------|
D|-------------1/3----------------------------2--4----------------|
A|-1h2---2-2-2-----1h2---2-2-2----1h2---2-2-2------1h2--2-2-2-----|
E|-------------------------------------------------------------4-3|
Heavy Part
G|-------------------------------------|
D|-------------------------------------|
A|-----------------------------2-2-2-2-|
E|--2-2-2-2--4-4-4-4--0-0-0-0----------|</t>
  </si>
  <si>
    <t>https://tabs.ultimate-guitar.com/tab/pink-floyd/another-brick-in-the-wall-part-2-bass-142992</t>
  </si>
  <si>
    <t>[Verse 1] 
G|-----------------|---|   |---------------|
D|-----------------|---|   |---------------|
A|--3-5--5--5-0--3-|-5-|   |-3-5--5--5-0-0-|
D|-----------------|---|   |---------------|
[Chorus]
G|--------------------------------------|
D|--------------------------------------|
A|------------------------------------s-|
D|-5~~~~~~~~5~~~~~~~~5~~~~5~~~~5-5-5-5\\-|
G|---|----------------|
D|---|----------------|
A|-5-|-3-5--5--5-0----|
D|---|--------------5-|
G|--------------------|
D|--------------------|
A|----------3~~~~~~~~-|
D|-3~~~~~~~~----------|
G|---|----------------|
D|---|----------------|
A|-5-|-3-5--5--5-0----|
D|---|--------------5-|
G|----------------------|
D|----------------------|
A|----------3~~~~~~~~-5-|
D|-3~~~~~~~~------------|</t>
  </si>
  <si>
    <t>Sex Machine</t>
  </si>
  <si>
    <t>1UzZUfFUnxY</t>
  </si>
  <si>
    <t>https://tabs.ultimate-guitar.com/tab/james-brown/sex-machine-bass-888095</t>
  </si>
  <si>
    <t>G|-----------------8-------8------------------------------|
D|--------------------------------------------------------|
A|--66666666---6------4-6------4-6-6-----x----------------|
E|--------------------------------------------------------|
G|------8----------8--------------------------------------|
D|--------------------------------------------------------|
A|-6-------4-6-6------4-6------4--------------------------|
E|-------------------------3-6----------------------------|
G|------8------8--------------8---------------------------|
D|--------------------------------------------------------|
A|--6------4-6-----4-6-6---6------------------------------|
E|--------------------------------------------------------|
G|--------8---------8-------------------------------------|
D|--------------------------------------------------------|
A|---6-------4-6------------4-6---------4-6---------------|
E|--------------------------------x-3-6-------------------|</t>
  </si>
  <si>
    <t>Bee Gees</t>
  </si>
  <si>
    <t>Stayin' Alive</t>
  </si>
  <si>
    <t>fNFzfwLM72c</t>
  </si>
  <si>
    <t>https://tabs.ultimate-guitar.com/tab/bee-gees/stayin-alive-bass-690616</t>
  </si>
  <si>
    <t>[Main riff]
G|-----------------------------------------------|
D|-------6-------------------------------------6-|
A|-6h8-----8--6-------6---------6-------6--8-----|
E|---------------6--8-------6--8----6------------|
[Chorus]
G|-----------------------------------------------|
D|-----------------------------------------------|
A|-----------------------------------------------|
E|----6----6-----6-------------------------------|</t>
  </si>
  <si>
    <t>The Whispers</t>
  </si>
  <si>
    <t>And The Beat Goes On</t>
  </si>
  <si>
    <t>fOaxEa5ONJw</t>
  </si>
  <si>
    <t>https://tabs.ultimate-guitar.com/tab/the-whispers/and-the-beat-goes-on-bass-1192657</t>
  </si>
  <si>
    <t>[Intro]
G|-------2---------------------|
D|----024-4--42---------5------|
A|-2-2-------------------------|
E|-------------2-2-3--3---3----|
G|-------2---------------------|
D|----024-4--42---------5------|
A|-2-2-------------------------|  [x2]
E|-------------2-2-3--3---3-5--|</t>
  </si>
  <si>
    <t>Sister Sledge</t>
  </si>
  <si>
    <t>We Are Family</t>
  </si>
  <si>
    <t>uyGY2NfYpeE</t>
  </si>
  <si>
    <t>https://tabs.ultimate-guitar.com/tab/sister-sledge/we-are-family-bass-1754237</t>
  </si>
  <si>
    <t>G|-------------||-----------------------|------------------------|
D|-------------||o------------7---------|------------5-----------|
A|-------------||o----------------------|--------------------3h5-|
E|-----------5-||-----5---5-5---5-----3-|----3---3-3---3---------|
G|------------7---------|-----------------------||---5h6------------------|
D|----------------------|------------5---------o||---------5h7---4h5------|
A|----5---5-5---5-------|----------------------o||------------------------|
E|--------------------3-|----3---3-3---3---4-5--||---------------------3--|
G|------------------------|------------7---------|----------------------|
D|------------5-----------|----------------------|------------5---------|
A|--------------------3h5-|----5---5-5---5-------|----------------------|
E|----3---3-3---3---------|--------------------3-|----3---3-3---3---4-5-|</t>
  </si>
  <si>
    <t>Justice</t>
  </si>
  <si>
    <t>D.A.N.C.E</t>
  </si>
  <si>
    <t>sy1dYFGkPUE</t>
  </si>
  <si>
    <t>https://tabs.ultimate-guitar.com/tab/justice/dance-bass-829629</t>
  </si>
  <si>
    <t>G|-------------------------------------------------|--9h11--|
D|-------------------------------------------------|--------|
A|--5----------3-4-5--------3h5//7--5-444-4-333-2--|--------|
D|----0h1--3h5-------0--3h5------------------------|--------|
G|----------------------------------------------------------|
D|-4-------------4--2-------------2--1-------1--------------|
A|----------------------------------------------5-5-5-4-4-4-|
D|---0h1h2-0h2h4------0h2h4-0h1h2------0h2h4----------------|</t>
  </si>
  <si>
    <t>The Number Of The Beast</t>
  </si>
  <si>
    <t>WxnN05vOuSM</t>
  </si>
  <si>
    <t>https://tabs.ultimate-guitar.com/tab/iron-maiden/the-number-of-the-beast-bass-711626</t>
  </si>
  <si>
    <t>G|-----------------11----12----|-14-------14-------14----|
D|--------12-12-12----12----12-|----12-12----12-12----12-|
A|-----------------------------|-------------------------|
E|-----------------------------|-------------------------|
G|----14-------14----------11----12-----||
D|-12----12-12----12-12-12----12----12--||
A|--------------------------------------||
E|--------------------------------------||</t>
  </si>
  <si>
    <t>I Was Made For Lovin' You</t>
  </si>
  <si>
    <t>ZhIsAZO5gl0</t>
  </si>
  <si>
    <t>https://tabs.ultimate-guitar.com/tab/kiss/i-was-made-for-lovin-you-bass-10368</t>
  </si>
  <si>
    <t>G|----------------------------------------------------|
D|----------------------------------------------------|
A|-----7-----7--------7-------------------------------|
E|--0-----0-----0--0-----0----------------------------|
G|----------------------------------------------------|
D|----------------------------------------------------|
A|-----7-----7--------7---------7-----7--------7------|
E|--0-----0-----0--0-----0---0-----0-----0--0-----0---|
G|------------------------------------7--------7------|
D|-----7-----7--------7-------------------------------|
A|------------------------------7--5-----5--5----(5)--|
E|--5-----5-----5--5-----0---0------------------------|</t>
  </si>
  <si>
    <t>RMR5zf1J1Hs</t>
  </si>
  <si>
    <t>https://tabs.ultimate-guitar.com/tab/ozzy-osbourne/crazy-train-bass-51699</t>
  </si>
  <si>
    <t>G|---------------|---------------|---------------|---------------|   |-------------|
D|---------------|---------------|---------------|---------------|   |-------------|
A|---------------|---------------|---------------|-5-5-----------|   |-5-----7-----|
E|-2-2-----------|-5-5----0-0----|-2-2-----------|--------0-0----|   |-------------|
G|------------------|
D|----------7-6-4-2-|
A|-0-0-0-0-0-0-0-0--|
E|------------------|
[Chorus]
G|-------------------------------------------|
D|-----------0---------------------0---------|
A|-------------------------------------------|
E|-2-0-2--2-0--0245420---2-0-2--2-0--0245420-|
G|------------------------------------|
D|---------------------4-4-4-4-4-4-4--|
A|-0----------------------------------|
E|----4-2-0--2-4--2-2-2-2-2-2-2-2-2-2-|
G|------------------------------------------------------|
D|-------------------------------------------------0--2-|
A|-0------------------------0---------------------------|
E|----4-2-0--2-4-2-0-2--2-4---4-2-0-2-4-2-0-2--2-4------|
[Verse]
G|------------------|
D|----------7-6-4-2-|
A|-0-0-0-0-0-0-0-0--|
E|------------------|
[Chorus]
G|-------------------------------------------|
D|-----------0---------------------0---------|
A|-------------------------------------------|
E|-2-0-2--2-0--0245420---2-0-2--2-0--0245420-|
G|------------------------------------|
D|---------------------4-4-4-4-4-4-4--|
A|-0----------------------------------|
E|----4-2-0--2-4--2-2-2-2-2-2-2-2-2-2-|
G|------------------------------------------------------|
D|-------------------------------------------------0--2-|
A|-0------------------------0---------------------------|
E|----4-2-0--2-4-2-0-2--2-4---4-2-0-2-4-2-0-2--2-4------|</t>
  </si>
  <si>
    <t>Smell Like Teen Spirit</t>
  </si>
  <si>
    <t>https://tabs.ultimate-guitar.com/tab/nirvana/smells-like-teen-spirit-bass-202718</t>
  </si>
  <si>
    <t>G|----------------------------|
D|----------------------------|
A|-------1-1---------4-4-3----|
E|-1-1-1-----1-4-4-4----------|(4x)
G|------------------------------------|
D|------------------------------------|
A|--------1-1-1-1----------4-4-4-3----| (10x)
E|1-1-1-1---------4-4-4-4-------------|</t>
  </si>
  <si>
    <t>https://tabs.ultimate-guitar.com/tab/rush/tom-sawyer-bass-3536</t>
  </si>
  <si>
    <t>G|-----------------------------------------------------------------|
D|---------------------------------2-------------------------------|
A|---------------------------------------3-------3-2-----0---------|
E|-0-----2-----0-2-3-----5-r-5-3-5-------------3---------------3-2-|
G|-------------------------------------------------------------------|
D|o---------------------------------2-------------------------------o|
A|o---------------------------------------3---------2-----0---0-----o|
E|--0-----2---------3-----5-------------------------------------3-2--|</t>
  </si>
  <si>
    <t>Jackson 5</t>
  </si>
  <si>
    <t>Darling Dear</t>
  </si>
  <si>
    <t>nyhBwuEIwCY</t>
  </si>
  <si>
    <t>https://tabs.ultimate-guitar.com/tab/the-jackson-5/darling-dear-bass-820175</t>
  </si>
  <si>
    <t>G|----------|-------------------------|---------------------------|
D|----0-1-2-|--3----------------3-2-1-|--0----L---0-L---0-L-0-1-2-|
A|----------|-------------------------|---------------------------|
E|----------|-----1------L----L-------|---------------------------|
-------------------------|----------------------------|
--3----------------3-2-1-|--0----L---0-L-0--0-0-0-1-2-|
-------------------------|----------------------------|
-----1------L----L-------|----------------------------|
-------------------------|---------------------------|-------------------------|
--3----------------3-2-1-|--0----L---0-L---0-L-0-1-2-|--3----------------0-1-2-|
-------------------------|---------------------------|-----1------L----L-------|
-----1------L----L-------|---------------------------|-------------------------|</t>
  </si>
  <si>
    <t>Bob Marley</t>
  </si>
  <si>
    <t>I Shot The Sheriff</t>
  </si>
  <si>
    <t>2XiYUYcpsT4</t>
  </si>
  <si>
    <t>https://www.bigbasstabs.com/bob_marley_bass_tabs/i_shot_the_sheriff_bass_tab.html</t>
  </si>
  <si>
    <t>G|--------------3-5|-5----------------|-------------------|-------------------|
D|--0--3-5-----5---|------------------|-----3---3-5-------|-3-3---3----5------|
A|-1---------------|------------------|---5---5---------5-|----------5--------|
E|---------3-------|------------------|-------------------|-----------------6-|
G|------------------3-5-|-5----------------|-----------------|----------------|
D|----3--5---------5----|------------------|----3--3-5-------|--3-3---3----5--|
A|--5-------------------|------------------|--5---5----------|-----------5----|
E|---------3------------|------------------|---------------5-|----------------|</t>
  </si>
  <si>
    <t>Could You Be Loved</t>
  </si>
  <si>
    <t>Mm7muPjevik</t>
  </si>
  <si>
    <t>https://tabs.ultimate-guitar.com/tab/bob-marley/could-you-be-loved-bass-835517</t>
  </si>
  <si>
    <t>G|----------------------------|
D|-------4------------4-------|
A|-----5----5-4-----5---5--4--|
E|--57-----------57-----------|</t>
  </si>
  <si>
    <t>Inner Circle</t>
  </si>
  <si>
    <t>Sweat (A La La Long)</t>
  </si>
  <si>
    <t>uc2UEfWjvo8</t>
  </si>
  <si>
    <t>https://tabs.ultimate-guitar.com/tab/inner-circle/sweat-bass-1129299</t>
  </si>
  <si>
    <t>G|-----------------------------|
D|---555-----777---------------|
A|-3--------------5-555-------5|
E|---------5-------------5-5-7-|</t>
  </si>
  <si>
    <t>Forty Six &amp; 2</t>
  </si>
  <si>
    <t>GIuZUCpm9hc</t>
  </si>
  <si>
    <t>https://tabs.ultimate-guitar.com/tab/tool/forty-six-and-2-bass-279950</t>
  </si>
  <si>
    <t>G|-----7----5h7---8p7---5h7---3h5-      G|-----7----5h7---8p7---12p11---8p7-|
D|--0-----0-----0-----0-----0----- x3   D|---0----0-----0-----0-------0-----|
A|--------------------------------      A|----------------------------------|
D|--------------------------------      D|----------------------------------|
G|------------------------------|--------------|
D|---12--10---13p12---0---------|----10h12-----|
A|------------------------------|--------------|
D|------------------------------|--------------|</t>
  </si>
  <si>
    <t>Steve Miller Band</t>
  </si>
  <si>
    <t>The Joker</t>
  </si>
  <si>
    <t>dV3AziKTBUo</t>
  </si>
  <si>
    <t>https://tabs.ultimate-guitar.com/tab/steve-miller-band/the-joker-bass-193275</t>
  </si>
  <si>
    <t>Notes:
G|-----------------------------------------------------------------------||
D|-----------------------0-----------------------------------------------||
A|-------------0-1-1---1---33------0--1-1-1-1-1----0---------------------||
E|-1--1------3------------------3---------------------3------------------||
[Intro/Verse] Repeat 8X
G |-----------------------------------------||
D |-----------------------------------------||
A |----------3h5----1---------3h5-----------||    [Chorus] Repeat 2X)
E |1----------------------------------------||
G |-----------------------------------------------------------------------||
D |-----------------------0-----------------------------------------------||
A |-------------0-1-1---1---33------0--1-1-1-1-1----0---------------------||
E |-1--1------3------------------3---------------------3------------------||</t>
  </si>
  <si>
    <t>Booker T &amp; The MG's</t>
  </si>
  <si>
    <t>Green Onion</t>
  </si>
  <si>
    <t>0oox9bJaGJ8</t>
  </si>
  <si>
    <t>https://www.bigbasstabs.com/booker_t_and_the_mgs_bass_tabs/green_onions_ver_3.html</t>
  </si>
  <si>
    <t>G|----------|----------|----------|--------------------|----------|
D|----------|----------|----------|--------------------|----------|
A|----------|1-1-1-4-6-|----------|3-3-3-6-8-1-1-1-4-6-|----------|
E|1-1-1-4-6-|----------|1-1-1-4-6-|--------------------|1-1-1-4-6-|</t>
  </si>
  <si>
    <t>Walking On The Moon</t>
  </si>
  <si>
    <t>zPwMdZOlPo8</t>
  </si>
  <si>
    <t>https://tabs.ultimate-guitar.com/tab/the-police/walking-on-the-moon-bass-196130</t>
  </si>
  <si>
    <t>[VERSE]
G|---------------||
D|--------3-2----||
A|--3-3-5-----3--||
E|---------------||
[CHORUS START]
G|-----------------||
D|----------5-5-5--||
A|--3-3-5-5--------||
E|-----------------||
[CHORUS]
G|-----------------------------------||
D|-----------------------------------||
A|--1-1-1-3-----------3-3-3-------0--||
E|----------1-1-1-1-3-------3-3-3----||
[CHORUS FINAL]
G|-----------------------------------||
D|-----------------------------------||
A|--1-1-1-3-----------3-3-3---3-3-5--||
E|----------1-1-1-1-3-------3--------||</t>
  </si>
  <si>
    <t>Wilson Pickett</t>
  </si>
  <si>
    <t>In The Midnight Hour</t>
  </si>
  <si>
    <t>FGVGFfj7POA</t>
  </si>
  <si>
    <t>https://tabs.ultimate-guitar.com/tab/wilson-pickett/in-the-midnight-hour-bass-4819</t>
  </si>
  <si>
    <t>Verse
G|--------------------6--9---|
D|*-------6--9--7--7--------*|
A|*--7----------------------*|
E|---------------------------|
G|-------------------------|
D|*------------------------|
A|*-------6--9-------6--9--|
E|---7----------7----------|
G|-------------------------|
D|------------------------*|
A|-------4--7-------4--7--*|
E|--5----------5-----------|</t>
  </si>
  <si>
    <t>Stray Cats</t>
  </si>
  <si>
    <t>Rock This Town</t>
  </si>
  <si>
    <t>m-a6ct8aalg</t>
  </si>
  <si>
    <t>https://tabs.ultimate-guitar.com/tab/stray-cats/rock-this-town-bass-520451</t>
  </si>
  <si>
    <t>G|----------------|----------------|----------------|----------------|
D|----4-4-5---6---|7-7-6---5---4---|----4---5-5-6-6-|7-7-6-6-5---4---|
A|5---------------|----------------|5-5-------------|----------------|
E|----------------|----------------|----------------|----------------|
G|----------------|----------------|----------------|----------------|
D|----4---5---6---|7-7-6---5---4-4-|----4---5---6---|7-7-6---5---4-4-|
A|5---------------|----------------|5---------------|----------------|
E|----------------|----------------|----------------|----------------|</t>
  </si>
  <si>
    <t>I Saw Her Standing There</t>
  </si>
  <si>
    <t>oxwAB3SECtc</t>
  </si>
  <si>
    <t>https://tabs.ultimate-guitar.com/tab/the-beatles/i-saw-her-standing-there-bass-17476</t>
  </si>
  <si>
    <t>[Intro]
G|------------------------------------------------|
D|--------6-----9-----7--6--------6-----9-----7--6|
A|--7--7-----7-----7--------7--7-----7-----7------|
E|------------------------------------------------|</t>
  </si>
  <si>
    <t>Surfals</t>
  </si>
  <si>
    <t>Wipe Out</t>
  </si>
  <si>
    <t>p13yZAjhU0M</t>
  </si>
  <si>
    <t>https://tabs.ultimate-guitar.com/tab/the-surfaris/wipe-out-bass-44014</t>
  </si>
  <si>
    <t>[Intro]
G|-------------------------------------------------------------|
D|-------------------------------------------------------------|
A|-2/3-3-2-3-3-3-3-2-3-3-3-------------------------------------|
E|-------------------------------------------------------------|
[Chorus]
G|-------------------------------------------------------------|
D|-------------------------------------------------------------|
A|-3-3-3--1-------1-2-3----------------------------------------| 4x
E|-----------3-3-----------------------------------------------|
G|-------------------------------------------------------------|
D|-1-2-3--3-3-1------------------------------------------------|
A|-----------------3-3-----------------------------------------| 4x
E|-------------------------------------------------------------|</t>
  </si>
  <si>
    <t>Duran Duran</t>
  </si>
  <si>
    <t>Rio</t>
  </si>
  <si>
    <t>nTizYn3-QN0</t>
  </si>
  <si>
    <t>https://tabs.ultimate-guitar.com/tab/duran-duran/rio-bass-14599</t>
  </si>
  <si>
    <t>G|-------------------------------------------------------------|
D|---------567----------567------------567---------------567---|
A|----77-5---------77-5-----------77-5--------------77-5-------|
E|-0------------0--------------0-----------------0-------------|
G:-----------------------------------------------------5-------|
D:---------567----------567----------7--------------55---5---5-|
A:----77-5---------77-5-----------77---7---7-----3---------3---|
E:-0------------0--------------5---------5---------------------|</t>
  </si>
  <si>
    <t>Jerry Was A Race Car Driver</t>
  </si>
  <si>
    <t>LBQ2305fLeA</t>
  </si>
  <si>
    <t>https://tabs.ultimate-guitar.com/tab/primus/jerry-was-a-race-car-driver-bass-4921</t>
  </si>
  <si>
    <t>[Main Riff]
G|--23t---------24t-------------23t---23t---23t--------------|
D|*-22t---------23t-------------22t---22t---22t-------------*|
A|*---------------------------------------------15h-16h-18h-*|
E|------16h-15h-----18h-17h-16h------------------------------|
[Chorus Riff]
G-|---------------------------------------17-18-20--|-
D-|*--------------------------------------17-18-20--|-
A-|*------------------------------------------------|-
E-|--0S-3S-2p-0p-0S-5S-3p-2p-0p--0S---0S------------|-</t>
  </si>
  <si>
    <t>Jocelyn Brown</t>
  </si>
  <si>
    <t>Somebody Else's Guy</t>
  </si>
  <si>
    <t>MdC2jPPxAwk</t>
  </si>
  <si>
    <t>https://tabs.ultimate-guitar.com/tab/jocelyn-brown/somebody-elses-guy-bass-1131993</t>
  </si>
  <si>
    <t>[Chorus]
Gb|---------------------|-------------------9-|
Db|------7--------------|------9--------------|
Ab|---------------------|---------X-X--5/7----|
Eb|-3/5-----5--5/3--X5-6|-5/7-----------------|
Gb|---------------------|---------------------------|
Db|------7--------------|------9--------------------|
Ab|---------------------|------------5--7--X7-5-----|
Eb|-3/5-----5--5/3--X5-6|-5/7-----7-------------8-7-|
Gb|---------------------|-------------------9-|
Db|------7--------------|------9--------------|
Ab|---------------------|---------X-X--5/7----|
Eb|-3/5-----5--5/3--X5-6|-5/7-----------------|
Gb|-----------------------7-----7----|
Db|------7---------------------------|
Ab|--------------2-3-4-5-----5-----5-|
Eb|-3/5-----5 X5---------------------|</t>
  </si>
  <si>
    <t>Get Up And Jump</t>
  </si>
  <si>
    <t>X5c7z-cBKDI</t>
  </si>
  <si>
    <t>https://tabs.ultimate-guitar.com/tab/red-hot-chili-peppers/get-up-and-jump-bass-263935</t>
  </si>
  <si>
    <t>[Intro]
G|---------------6-6-6-6-------------6-6-6-6-6-6-6-6-------|
D|--2---------------------2--------------------------------|
A|----------4-4--------------------4-----------------------|
E|----0-2-3-----------------0-2-3--------------------------|
[Riff]
G|----------3----------3--3h4---------3-----------3-3h4-----------------|
D|----5----------5--------------5-----------5---------------------------|
A|----------------------------------------------------------------------|
E|-3----x-x---x-x---x-x--x----3---x-x---x-x---x-x--x--------------------|</t>
  </si>
  <si>
    <t>Right On Time</t>
  </si>
  <si>
    <t>PSqH-4Wubq0</t>
  </si>
  <si>
    <t>https://tabs.ultimate-guitar.com/tab/red-hot-chili-peppers/right-on-time-bass-732454</t>
  </si>
  <si>
    <t>INTRO
G|-------------------------------------------|
D|------------------10-----------------------|
A|-2----7-7--8-9-10-----2----7-7--8-9-10-----|
E|---------------------------------------8---|
VERSE
G|---------------------------------------------------------------------|
D|---------------------------------------------------------------------|
A|---9-7--------------9-7--------------9-7--------------9-7------------|
E|-0-----9--xx9-xx9-0-----9--xx9-xx9-0-----9--xx9-xx9-0-----9--xx9-xx9-|
G|---------------------------------------------------------------------|
D|---------------------------------------------------------------------|
A|---9-7--------------9-7--------------9-7--------------9-7------------|
E|-0-----9--xx9-xx9-0-----9--xx9-xx9-0-----9--xx9-xx9-0-----9--xx9-xx9-|
CHORUS
G|---------------------9-9----9-9------------------11-11----11-11-|
D|----11-11---11-11------------------9-9----9-9-------------------|
A|------------------7-7----7-7------------------9-9------9-9------|
E|-9-9-----9-9--------------------7-7----7-7----------------------|</t>
  </si>
  <si>
    <t>Love Foolosophy</t>
  </si>
  <si>
    <t>oMk1wBPiUIo</t>
  </si>
  <si>
    <t>https://tabs.ultimate-guitar.com/tab/jamiroquai/love-foolosophy-bass-148827</t>
  </si>
  <si>
    <t>G|-----------------||
D|-----------------||
A|-----------------||
E|--------------14\\||
G|-----4----4------|-----------------|----5----x5------|
D|-----------------|--2----------2---|-----------------|
A|-2------------2--|-----------------|-3-----------3---|
E|-----------------|-0-----0---0-----|-----------------|
G|-----4-----------|-----4----4------|-----------------|
D|--------4------0-|-----------------|--2-----------2--|
A|-2--------0-2----|-2------------2--|-------------2---|
E|-----------------|-----------------|-0-----0---0-----|
G|----5----x5------|-----44----------|-----4----4------|
D|-----------------|--------4-----0--|-----------------|
A|-3-----------3---|-2--------0-2---2|-2------------2--|
E|-----------------|-----------------|-----------------|
G|-----------------|----5----x5------|----4------------|
D|--2----------2---|-----------------|-------4-----00-2|
A|-----------------|-3-----------3---|-2-------0-2-----|
E|-0-----0---0-----|-----------------|-----------------|
G|-----4----4------|-----------------|----5----x5------|
D|-----------------|--2----------2---|-----------------|
A|-2------------2--|-----------------|-3-----------3---|
E|-----------------|-0-----0---0-----|-----------------|
G|---x4------------||
D|-------4-----0---||
A|-2-------0-2---2-||
E|-----------------||</t>
  </si>
  <si>
    <t>Boogie Wonderland</t>
  </si>
  <si>
    <t>god7hAPv8f0</t>
  </si>
  <si>
    <t>https://tabs.ultimate-guitar.com/tab/earth-wind-fire/boogie-wonderland-bass-682270</t>
  </si>
  <si>
    <t>G|------------------------------|
D|------------------------------|
A|------------0-0-3-4-5x--------|
E|------------------------------|
G|-----------------------------------------------------2--2----6-6-7-|
D|------------------------------------5-5-3-5--0-3-5-----------------|
A|---5-5-3-5---0-3-4--5-5-3-5--0-3-4---------------------------------|
E|-------------------------------------------------------------------|
G|----5--5--5--5-------------7--7----------------|
D|-----------------7--7------------5--5--5--5----|
A|--3--3--3--3------------5--5-------------------|
E|---------------5--5-----------3--3--3--3-------|</t>
  </si>
  <si>
    <t>Technologic</t>
  </si>
  <si>
    <t>D8K90hX4PrE</t>
  </si>
  <si>
    <t>https://www.bigbasstabs.com/daft_punk_bass_tabs/technologic_ver_2.html</t>
  </si>
  <si>
    <t>G|----------------------|
D|-2-2-4-4--------------|
A|----------3-3-5-5-----|
E|----------------------|
G|----------------------|
D|-2--------------------|
A|----0--3--5-----------|
E|----------------------|</t>
  </si>
  <si>
    <t>Time Won't Wait</t>
  </si>
  <si>
    <t>c2R8f41NTFs</t>
  </si>
  <si>
    <t>https://tabs.ultimate-guitar.com/tab/jamiroquai/time-wont-wait-bass-1410572</t>
  </si>
  <si>
    <t>[Intro]
G|----------------------------------------------|
D|----------------------------------------------|
A|------3h5-5-3h5\\1-------3h5--5h7p5--5h7p5-----|
E|--3h5----------------3h5----------------------|
G|---------------------------------------------|
D|---------------------------------3h5p3-------|
A|------3h5-5-3h5\\1-------3h5-5-3--------5h7p5-|
E|--3h5---------------3h5----------------------|</t>
  </si>
  <si>
    <t>O'Funk'illo</t>
  </si>
  <si>
    <t>En El Campito</t>
  </si>
  <si>
    <t>kDNbNg8NTvg</t>
  </si>
  <si>
    <t>https://tabs.ultimate-guitar.com/tab/ofunkillo/el-campito-bass-1573840</t>
  </si>
  <si>
    <t>G|-----12-7-9-  (16 veces) --- 14-7-9- (12 veces) ---17 17-|
D|---------------------------------------------------------|
A|---------------------------------------------------------|
E|---------------------------------------------------------|
G|-------------12---------12/11------------------------------|
D|----12h14-14------12h14------12h14-12/11------12-----------|
A|-----------------------------------------12h14--14-12-14-10-|
E|-----------------------------------------------------------|
G|-------------------------------------------|
D|---------------12--------------------------|
A|-------10-12/14--14---12/14-12-10-12-10----|
E|-10h12-------------------------------------|</t>
  </si>
  <si>
    <t>Crazy Town</t>
  </si>
  <si>
    <t>Butterfly</t>
  </si>
  <si>
    <t>Rap</t>
  </si>
  <si>
    <t>6FEDrU85FLE</t>
  </si>
  <si>
    <t>https://tabs.ultimate-guitar.com/tab/crazy-town/butterfly-bass-15909</t>
  </si>
  <si>
    <t>G|-17-----16----14---14-14----|--17----17-------19-----19------|
D|---14-----14----14------14--|----17----17-------19-----19----|
A|0-----0-----0-----0--0-----0|15----15----15/17----17-----17--|
E|----------------------------|--------------------------------|
G|-17-----16----14---14-14----|--14----14--(14/16)-16----16----|
D|---14-----14----14------14--|----15----15(15/17)---17----17--|
A|0-----0-----0-----0--0-----0|15----15-----15/17------17----17|
E|----------------------------|--------------------------------|</t>
  </si>
  <si>
    <t>Something About Us</t>
  </si>
  <si>
    <t>em0MknB6wFo</t>
  </si>
  <si>
    <t>https://www.bigbasstabs.com/daft_punk_bass_tabs/something_about_us.html</t>
  </si>
  <si>
    <t>G|------------------------------7--------------------|
D|------8-----------7-----------------------5--------|
A|---------------------------5------5----------------|
E|---6------6----5------5----------------3------3----|</t>
  </si>
  <si>
    <t>https://tabs.ultimate-guitar.com/tab/red-hot-chili-peppers/dani-california-bass-349751</t>
  </si>
  <si>
    <t>[Verse]
G|--------------------7-------------------|
D|-----7------5-3-------5h7p5-------------|
A|----------------5-5---------7-5---------|
E|-5-5----3-3-----------------------------|
G|--------------------7------------|
D|-----7------5-3-------7----------|
A|----------------5-5------3-5-5---|
E|-5-5----3-3------------5---------|</t>
  </si>
  <si>
    <t>The O'Jays</t>
  </si>
  <si>
    <t>For The Love Of Money</t>
  </si>
  <si>
    <t>Ll3uipTO-4A</t>
  </si>
  <si>
    <t>https://tabs.ultimate-guitar.com/tab/the-ojays/for-the-love-of-money-bass-509521</t>
  </si>
  <si>
    <t>G|-----7-7--5-5--|-5-5-5-5p4h5/7-|-----7-7--5-5--|-5-5-5-----------|
D|---------------|---------------|---------------|-----------------|
A|-5-5-----------|---------------|-5-5-----------|------------3-4--|
E|---------------|---------------|---------------|------0-5-7------|</t>
  </si>
  <si>
    <t>Shining Star</t>
  </si>
  <si>
    <t>Zu9a29UR2dU</t>
  </si>
  <si>
    <t>https://tabs.ultimate-guitar.com/tab/earth-wind-fire/shining-star-bass-427401</t>
  </si>
  <si>
    <t>G|--------------------------------------|
D|-----------2-2-----------------5-5-4-2|
A|-------2-4-----4-2---5-5-4-2-X--------|
E|0-0-4--------------4------------------|
G|------X|------7|------9|------12-12-11-X-9-X-7-9|
D|-------|-------|-------|------------------------|
A|-------|-------|-------|------------------------|
E|0-0-0--|0-0-0--|0-0-0--|0-0-0-------------------|</t>
  </si>
  <si>
    <t>McFadden &amp; Whitehead</t>
  </si>
  <si>
    <t>Ain't No Stopping Us Now</t>
  </si>
  <si>
    <t>VuAZTWGfQTs</t>
  </si>
  <si>
    <t>https://tabs.ultimate-guitar.com/tab/mcfadden-whitehead/aint-no-stoppin-us-now-bass-328717</t>
  </si>
  <si>
    <t>G|-----------------------------------|
D|-6-6--4--4-3-3---------------------|
A|----------------6----------------4-|
E|------------------6--4--4--4--4----|(x2)
G|-----------------------------------|
D|-6-6--4--4-3-3---------------------|
A|----------------6------------------|
E|------------------6--4--4--4--4----|
G|-----------------------------------|
D|-----------------------------------|
A|-8--8--8--8----8--8--8--8----------|
E|------------6----------------------|
Main Bass Riff:
G|------------------------------------------------------|
D|------6---6--8s10--6----------------------------------|
A|--------8------------8--6--6-6--7--8---6-8-6----------|
E|-6-6-----------------------------------------8-7------|
G|------------------------------------------------------|
D|------6---6--8s10--6----------------------------------|
A|--------8------------8--6--6-6--7--8------------------|
E|-6-6----------------------------------8\\--------------|
G|------------------------------------------------------|
D|------6---6--8s10--6----------------------------------|
A|--------8------------8--6--6-6--7--8---6-8-6----------|
E|-6-6-----------------------------------------8-7------|
G|------------------------------------------------------|
D|------6---6--8s10--6----------------------------------|
A|--------8------------8--6--6-6--7--8------------------|
E|-6-6----------------------------------8\\--------------|</t>
  </si>
  <si>
    <t>The Four Tops</t>
  </si>
  <si>
    <t>I Can't Help Myself</t>
  </si>
  <si>
    <t>https://tabs.ultimate-guitar.com/tab/four-tops/i-cant-help-myself-bass-1149701</t>
  </si>
  <si>
    <t>G|------------------------------------------------------------------------|
D|--------------------------5----5----55----5----5------------------------|
A|-3-----3----33----3----3---5-7--5-7---5-7--5-7----5----5----55----5---7-|
E|---3-5--3-5---3-5--3-5-----------------------------5-7--5-7---5-7-------|
G|-----------------------------|
D|-3----3----3---5------5-7--5-|
A|--3-5---5-7-----5-7-5--------|
E|-----------------------------|</t>
  </si>
  <si>
    <t>Locked Out Of Heaven</t>
  </si>
  <si>
    <t>e-fA-gBCkj0</t>
  </si>
  <si>
    <t>G|------------------------------------------|
D|------------------------------------------|
A|--3--5--3h5-3-0-1--0h1-0------------------|
E|-------------------------1h3-333-3--33-3--|</t>
  </si>
  <si>
    <t>https://tabs.ultimate-guitar.com/tab/van-morrison/brown-eyed-girl-bass-761541</t>
  </si>
  <si>
    <t>[Intro]
G|----------------|----------------|----------------|----------------|----------------|
D|----------------|----------------|--------2-2-4-4-|5---------------|----------------|
A|----------------|------------2---|3-----3---------|----------2-4---|5---------------|
E|----------0-2---|3---------3-----|----------------|----------------|------0---1---2-|
G|----------------|----------------|----------------|----------------|
D|----------------|--------2-2-4-4-|5---------------|----------------|
A|------------2---|3-----3---------|----------2-4---|5---------------|
E|3---------3-----|----------------|----------------|------0---1---2-|</t>
  </si>
  <si>
    <t>Dance, Dance</t>
  </si>
  <si>
    <t>https://tabs.ultimate-guitar.com/tab/fall-out-boy/dance-dance-bass-190220</t>
  </si>
  <si>
    <t>G|---------------------------------|
D|---------------------------------|x6
A|--2--2-5~-5---------5~-5---------|
E|-----------5555--3--3-----5555---|</t>
  </si>
  <si>
    <t>Panic Attack</t>
  </si>
  <si>
    <t>5hDs6mCVAKs</t>
  </si>
  <si>
    <t>https://tabs.ultimate-guitar.com/tab/dream-theater/panic-attack-bass-437013</t>
  </si>
  <si>
    <t>c|-3-0-0-2-0-0-3-0-0-5-0-0-3-0-2-0-|3-0-0-2-0-0-3-0-0-/8-0-0-7-0-5-0--|
G|---------------------------------|----------------------------------|
D|o--------------------------------|---------------------------------o|
A|o--------------------------------|---------------------------------o|
E|---------------------------------|----------------------------------|
B|---------------------------------|----------------------------------|(x2)
G|----------------------------------|----------------------------------|
D|o-------------------3-------------|-------------------6-----5---3---o|
A|--6-3-3-5-3-3-6-3-3---3-3-6-3-5-3-|-6-3-3-5-3-3-6-3-3---3-3---3---3--|
E|o---------------------------------|---------------------------------o|
B|----------------------------------|----------------------------------|(x2)
G|---------------------------------|---------------------------------|
D|-4-4-4-4-4-4-4-4-4-4-4-4---------|-3-3-3-3-3-3-3-3-3-3-3-3---------|
A|-------------------------5-5-5-5-|-------------------------4-4-4-4-|
E|---------------------------------|---------------------------------|
B|---------------------------------|---------------------------------|
G|----------------------------------|----------------------------------|
D|o-------------------3-------------|-------------------6-----5---3---o|
A|--6-3-3-5-3-3-6-3-3---3-3-6-3-5-3-|-6-3-3-5-3-3-6-3-3---3-3---3---3--|
E|o---------------------------------|---------------------------------o|
B|----------------------------------|----------------------------------|(x2)
G|---------------------------------|---------------------------------|
D|-4-4-4-4-4-4-4-4-4-4-4-4---------|-3-3-3-3-3-3-3-3-3-3-3-3---------|
A|-------------------------5-5-5-5-|-------------------------4-4-4-4-|
E|---------------------------------|---------------------------------|
B|---------------------------------|---------------------------------|</t>
  </si>
  <si>
    <t>Anesthesia</t>
  </si>
  <si>
    <t>2kdUJ5NAnTc</t>
  </si>
  <si>
    <t>https://tabs.ultimate-guitar.com/tab/metallica/anesthesia-pulling-teeth-bass-74959</t>
  </si>
  <si>
    <t>G|--------|----------||------10-14----10-14----10-|-14----10-14----10-14-----|
D|-0--0-0-|-12--/19\\-||-o-12-------12-------12----|----12-------12-------12\\-|
A|--------|----------||-o-------------------------|--------------------------|
E|--------|----------||---------------------------|--------------------------|
                                             2 times
G|-------9-12----9-12----9-|-12----9-12----9-12---||----10-14----10-14----10-|
D|-\\(10)------10------10---|----10------10------o-||-12-------12-------12----|
A|-------------------------|--------------------o-||-------------------------|
E|-------------------------|----------------------||-------------------------|
G|-14----10-14----10-14-|----12-16----12-16----12-|-16----12-16----12-16----|
D|----12-------12-------|-14-------14-------14----|----14-------14-------14-|
A|----------------------|-------------------------|-------------------------|
E|----------------------|-------------------------|-------------------------|
G|----14-17----14-17----17-|----12-16----12-16----16-|---------------||
D|-15-------15-------15----|-14-------14-------14----|-14--12--12-12-||
A|-------------------------|-------------------------|-12--10--------||
E|-------------------------|-------------------------|---------------||</t>
  </si>
  <si>
    <t>Iggy Pop</t>
  </si>
  <si>
    <t>The Passenger</t>
  </si>
  <si>
    <t>hLhN__oEHaw</t>
  </si>
  <si>
    <t>https://tabs.ultimate-guitar.com/tab/iggy-pop/the-passenger-bass-775611</t>
  </si>
  <si>
    <t>G|---------------------------------------------------------------------------|
D|---------3-3-3---------------------------3-3-3-----------------------------|
A|--0-0-0---------3-5-3------------0-0-0----------3-5-3----------------------|
E|-----------------------3-3-3-3-------------------------0-0-0-0-------------|</t>
  </si>
  <si>
    <t>Fleetwood Mac</t>
  </si>
  <si>
    <t>The Chain</t>
  </si>
  <si>
    <t>JDG2m5hN1vo</t>
  </si>
  <si>
    <t>https://tabs.ultimate-guitar.com/tab/fleetwood-mac/the-chain-bass-13592</t>
  </si>
  <si>
    <t>G|-----------------|----------------------------|
D|-----------------|----------------------------|
A|-----------------|----------------------------|
E|-5-5-5-5-5-5-5-5-|-5/12-12-10-8-8-8-10-10-10--|</t>
  </si>
  <si>
    <t>https://www.bigbasstabs.com/abba_bass_tabs/gimme_gimme_gimme.html</t>
  </si>
  <si>
    <t>G |---------------|---------------|---------------|1414-------------|
D |---------------|---------------|---------------|---------------|
A |-5-555-555-555-7-|-8-888-888-888-10|-12-121212-121212|-5-555-555-555-5-|
E |---------------|---------------|---------------|---------------|
G |---------------|---------------|---------------|13&gt;1413&gt;14-------|
D |---------------|---------------|---------------|---------------|
A |-5-555-555-555-7-|-8-888-888-888-10|-12-121212-121212|-5-555-555-555-5-|
E |---------------|---------------|---------------|---------------|
G |---------------|-7---5-----------|
D |---------------|---------7---3---|
A |-5-555-555-555-5-|---------------|
E |---------------|---------------|</t>
  </si>
  <si>
    <t>I Just Called To Say I Love You</t>
  </si>
  <si>
    <t>1bGOgY1CmiU</t>
  </si>
  <si>
    <t>https://tabs.ultimate-guitar.com/tab/stevie-wonder/i-just-called-to-say-i-love-you-bass-1160077</t>
  </si>
  <si>
    <t>Intro:
G|-------------------------------------|
D|------4h6-4h6-------------4h6--4h6---|
A|-4---4-------4---4---4---4---------4-|
E|------------------4-4----------------|
Verse:
G|---------------------------------------------------------------|
D|------4h6-4h6-------------4h6-4h6-------------4h6-4h6----------|
A|-4---4-------4---4---4---4-------4---4---4---4-------4---4-----|
E|------------------4-4-----------------4-4-----------------4-4--|
G|--------------8-8-------------------------------------------|
D|------6h8-6h8-----------------------------------------------|
A|-6---6-----------------6---6-------6---6-------6---6--------|
E|------------------6-6-------4h6-4h6-----4h6-4h6-----4h6-4h6-|
G|------------------------------------------------|
D|-----------------------------6-6------4h6-4h6---|
A|-6---6-------6---6---------------4---4--------4-|
E|------4h6-4h6-----6-6---4---4-------------------|</t>
  </si>
  <si>
    <t>Too Young To Die</t>
  </si>
  <si>
    <t>mjeWKssl8Ic</t>
  </si>
  <si>
    <t>https://tabs.ultimate-guitar.com/tab/jamiroquai/too-young-to-die-bass-10907</t>
  </si>
  <si>
    <t>Riff A (verse)
(first time only)............................
G|----|----------------------------------------|
D|----|----------------------------------------|
A|1-3-|---1-------3----3----1--------3---------|
E|----|------1h3---------------1h3---------3-2-|
G|--------------------------------------------|
D|--------------------------------------------|
A|-3-----1-------3----3----1--------3---------|
E|----------1h3---------------1h3---------3-2-|
G|--------------------------------------------|
D|----------------1-----------------1---------|
A|-----------1h3-----x---------1h3--------3-2-|
E|-1----3-------------1----3------------------|
G|-----3---3----------------------------------|
D|---3-------3--------------6---5-------------|
A|-1-----------1--x0------6-------5-----1-----|
E|----------------------4-----------3---------|</t>
  </si>
  <si>
    <t>The Who</t>
  </si>
  <si>
    <t>My Generation</t>
  </si>
  <si>
    <t>qN5zw04WxCc</t>
  </si>
  <si>
    <t>https://tabs.ultimate-guitar.com/tab/the-who/my-generation-bass-148587</t>
  </si>
  <si>
    <t>[Intro]
G|--------------------------|
D|-3h5--5--5--5--3--3--3--3-|
A|--------------------------|
E|--------------------------|
[Verse]
G|------------------------|
D|-5--5--5-5--3~~-3-3-3-3-|
A|------------------------|
E|------------------------|
[Chorus]
G|-------------------------------|
D|-5--5--5-5-5-5--3-3-3-3~~3-3-3-|
A|-------------------------------|
E|-------------------------------|
G|-------------------------------|
D|-5--5--5-5-5-5--3-3-3-3~~3-3---|
A|-------------------------------|
E|-------------------------------|</t>
  </si>
  <si>
    <t>Backstreet Boys</t>
  </si>
  <si>
    <t>Everybody</t>
  </si>
  <si>
    <t>6M6samPEMpM</t>
  </si>
  <si>
    <t>https://tabs.ultimate-guitar.com/tab/backstreet-boys/everybody-bass-724899</t>
  </si>
  <si>
    <t>G|----------------|---------------|----------------|
D|----------------|---------------|----------------|
A|-1--1-0---------|---------------|-1--1-0---------|
E|--------4-3-2---|-2---2-4-1-----|--------4-3-2---|</t>
  </si>
  <si>
    <t>War Pigs</t>
  </si>
  <si>
    <t>LQUXuQ6Zd9w</t>
  </si>
  <si>
    <t>https://www.bigbasstabs.com/black_sabbath_bass_tabs/war_pigs_bass_tab.html</t>
  </si>
  <si>
    <t>G|----------------------------------------|-------------------------------------------|
D|----------------------------------------|-------------------------7/9-7-5-----------|
A|---7-----7--5-----7----7-5h7-5---5--5h7-|-5---5--5-----5---5----5---------7-5-------|
E|---------------7---------------7--------|------------7---7--------------------7-----|
G|------------------------------------7h9-9-7h9-9-|-----------------------------------|
D|-------------------5----------5-7-9-------------|-------------------------7-6-------|
A|---7----7--7--5--------7----7-------------------|-5---5--5---5---5----5-------7-5---|
E|----------------7-------------------------------|----------7---7------------------7-|</t>
  </si>
  <si>
    <t>uk_wUT1CvWM</t>
  </si>
  <si>
    <t>https://www.bigbasstabs.com/black_sabbath_bass_tabs/paranoid.html</t>
  </si>
  <si>
    <t>G|-----------------------------|
D|-----------------------------| 
A|-7--7--7---------5-7-----5-7-|
E|-------------5-7-----5-7-----|
G|-------------------------------------------------------|
D|-------------------------------------------------5-----| 
A|-7-7-7-7-7-7-7-7-7-7-7-7-7-7-7-7-5-5-5-5-5-5-5-5---5-7-|
E|-------------------------------------------------------|</t>
  </si>
  <si>
    <t>Don't Forget Me</t>
  </si>
  <si>
    <t>-2SeFnvs73A</t>
  </si>
  <si>
    <t>https://tabs.ultimate-guitar.com/tab/red-hot-chili-peppers/dont-forget-me-bass-465998</t>
  </si>
  <si>
    <t>G|---9-xxxx--5-xxxx--12-xxxx--7-xxxx--9-xxxx--5-xxxx--12-xxxx--7-xxxx----|
D|---7-xxxx--3-xxxx--10-xxxx--5-xxxx--7-xxxx--3-xxxx--10-xxxx--5-xxxx----|
A|-----xxxx----xxxx-----xxxx----xxxx----xxxx----xxxx-----xxxx----xxxx----|
E|-----xxxx----xxxx-----xxxx----xxxx----xxxx----xxxx-----xxxx----xxxx----|</t>
  </si>
  <si>
    <t>Dark Necessities</t>
  </si>
  <si>
    <t>Q0oIoR9mLwc</t>
  </si>
  <si>
    <t>https://tabs.ultimate-guitar.com/tab/red-hot-chili-peppers/dark-necessities-bass-1842340</t>
  </si>
  <si>
    <t>[Intro]
G|------------------------------------------------|------------------------------------------------|
D|------------------------------------------------|------------------------------------------------|
A|------------------------------------------------|------------------------------------------------|
E|16-16-16-16-16-16-16-16-16-16-16-16-16-16-16-16-|13-13-13-13-13-13-13-13-13-13-13-13-13-13-13-13-|
G|------------------------------------------------|------------------------------------------------|
D|------------------------------------------------|------------------------------------------------|
A|15-15-15-15-15-15-15-15-15-15-15-15-15-15-15-15-|13-13-13-13-13-13-13-13-13-13-13-13-13-13-13-13-|
E|------------------------------------------------|------------------------------------------------|
Repeat 4 times then...
G|---5--3--5-5x--------5--3--5-5X-|------5--3--5-5x--------5--3--5-5X-|
D|--------------------------------|-----------------------------------|
A|3-----x--x-x---------x--x--x-x--|1--3-----x--x-x---------x--x--x-x--|
E|--------------3--4--------------|-----------------3--4--------------|</t>
  </si>
  <si>
    <t>DNCE</t>
  </si>
  <si>
    <t>Cake By The Ocean</t>
  </si>
  <si>
    <t>PAzH-YAlFYc</t>
  </si>
  <si>
    <t>https://tabs.ultimate-guitar.com/tab/dnce/cake-by-the-ocean-bass-1790348</t>
  </si>
  <si>
    <t>G|---------------------------------------------------------------------------|
D|---------------------------------------------------------------------------|
A|-------14---14-14-14--13--12--12--15---15-15-15--14------------------------|
E|-12-12---------------------------------------------------------------------|</t>
  </si>
  <si>
    <t>Pharell Williams</t>
  </si>
  <si>
    <t>Happy</t>
  </si>
  <si>
    <t>ZbZSe6N_BXs</t>
  </si>
  <si>
    <t>https://tabs.ultimate-guitar.com/tab/pharrell-williams/happy-bass-1456547</t>
  </si>
  <si>
    <t>[Intro]
G|--------------------------------|
D|-15-15-15-15-15-----------------|
A|--------------------------------|
E|--------------------------------|
[Verse]
G|----13-15-13-17-15-13----13-----|----13-15-13-17-----------------|
D|-15-------------------15----15--|-15-----------------------------|
A|--------------------------------|------------------8-6-------8---|
E|--------------------------------|----------------------8-6-4-----|
G|--------------------------------|----13-15-13-17-----------------|
D|---6-8-6-10-8-6---6-------------|-15-----------------------------|
A|-8--------------8---------------|------------------8-6-----------|
E|--------------------1-----------|----------------------8-6-4-4---|
[Chorus]
G|------------------------------------------------10----|
D|----------11------------10----------10----------------|
A|-------11------------10----------10----8-8--8-8-------|
E|-9-9-9-------8-8-8-8-------8-8-8----------------------|</t>
  </si>
  <si>
    <t>Charlie Puth</t>
  </si>
  <si>
    <t>Attention</t>
  </si>
  <si>
    <t>nfs8NYg7yQM</t>
  </si>
  <si>
    <t>https://tabs.ultimate-guitar.com/tab/charlie-puth/attention-bass-1989143</t>
  </si>
  <si>
    <t>G|---8-6h8-----------6-4h6--------------3-1h3---3-------4-3h4---4---6---|
D|--------------------------------------------------4-------------------|
A|-6----------4h6--4--------6p4-4-3-2-1-------1-------2-------2---4-----|
E|----------6-------------------------------------2---------------------|</t>
  </si>
  <si>
    <t>Calvin Harris</t>
  </si>
  <si>
    <t>Feels</t>
  </si>
  <si>
    <t>ozv4q2ov3Mk</t>
  </si>
  <si>
    <t>https://tabs.ultimate-guitar.com/tab/calvin-harris/feels-bass-2116143</t>
  </si>
  <si>
    <t>G|---------------------|---------------|---------------------|---------------|
D|-2---2---------------|---------------|-2---2---------7---5-|---------------|
A|---------------------|--------2---2--|---------------------|--------2---2--|
E|---------3-4-5---3---|-2---2---------|-------0-3-4-5---3---|-2---2---------|</t>
  </si>
  <si>
    <t>Justin Timberlake</t>
  </si>
  <si>
    <t>Can't Stop The Feeling</t>
  </si>
  <si>
    <t>ru0K8uYEZWw</t>
  </si>
  <si>
    <t>https://tabs.ultimate-guitar.com/tab/justin-timberlake/cant-stop-the-feeling-bass-1861750</t>
  </si>
  <si>
    <t>G|------------------------5-|---------------------|
D|-----------------5--------|------------------7\\-|
A|3----3----3----3-----7----|---------------------|
E|--------------------------|-5-5--5--5--5---5----|
G|--------------------------|---------------------|
D|-----------------3--------|-----------------7\\--|
A|----------------------3---|---------------------|
E|1----1----1----1----1-----|-5-5--5--5--5--5-----|</t>
  </si>
  <si>
    <t>Magic</t>
  </si>
  <si>
    <t>Rude</t>
  </si>
  <si>
    <t>PIh2xe4jnpk</t>
  </si>
  <si>
    <t>https://tabs.ultimate-guitar.com/tab/magic/rude-bass-1469051</t>
  </si>
  <si>
    <t>[Intro]
G|-----------------------------------------------------------------------------|
D|----------444/6--6-4-6------666/8-----------444/6-6-4-------666/8--8-6-8-----|
A|------------------------4-4---------------------------6-4-4--------------8-6-|
E|-4\\---2-2-------------------------4x4x--2-2----------------------------------|
[Pre-Chorus]
G|---------------------------------|
D|-----------------------11--10--8-|
A|-9--11----------9--11------------|
E|--------13\\-6--------------------|
[Chorus]
G|------------------------------------------------------------------------|
D|-----444/6--6-4-6------666/8-----------444/6-6-4-------666/8--6-8-6-----|
A|-------------------4-4---------------------------6-4-4--------------6-8-|
E|-2-2-------------------------4x4x--2-2----------------------------------|
G|----------------------------------|
D|----------------------------------|
A|---------------4-4-4------4-3-----|  X2
E|-2-2-2--4-4-4---------6-6-----6-4-|</t>
  </si>
  <si>
    <t>Body Moves</t>
  </si>
  <si>
    <t>NOBVEq_Bi5k</t>
  </si>
  <si>
    <t>https://tabs.ultimate-guitar.com/tab/dnce/body-moves-bass-1905021</t>
  </si>
  <si>
    <t>[Intro]
G|--------6-------------3-----------------6-5-3------|
D|-----------3-3-3-3--36--------8--------------63----|
A|--4-4-4---6---------------------34-4-4-4-----------|
E|------------------------6-6-6----------------------|
[Verse/Chorus]
G|--------6-------------3-----------------6-5-3------|
D|-----------3-3-3-3--36--------8--------------63----|
A|--4-4-4---6---------------------34-4-4-4-----------|
E|------------------------6-6-6----------------------|</t>
  </si>
  <si>
    <t>Under Pressure</t>
  </si>
  <si>
    <t>a01QQZyl-_I</t>
  </si>
  <si>
    <t>https://tabs.ultimate-guitar.com/tab/queen/under-pressure-bass-621276</t>
  </si>
  <si>
    <t>[Intro]
G|-----------------------|
D|--12-12-12-121212------|
A|------------------12x--|
E|-----------------------|   (x14)
[Pre-verse]
G|-----------------------|
D|--12-12-12-121212------|
A|------------------12x--|
E|-----------------------|    (x3)
G|-----------------------|
D|--12-12-12-121212------|
A|------------------12\\--|
E|-----------------------|
G|------------------------------|
D|------------------------------|
A|--5-5-5-555-0x--4-4-4-444-0x--|
E|------------------------------|
G|----------------------------------|
D|----------------------------------|
A|--2-2-2-222-0x--0-0-0-0-2x0x2x0x--|
E|----------------------------------|</t>
  </si>
  <si>
    <t>24K Magic</t>
  </si>
  <si>
    <t>UqyT8IEBkvY</t>
  </si>
  <si>
    <t>https://tabs.ultimate-guitar.com/tab/bruno-mars/24k-magic-bass-1888535</t>
  </si>
  <si>
    <t>G|---------------------------------------------------------------------------|
D|------------6-8--8/10-8--6h8-8---8-8--8/10--8-8p6--8-6---------------------|
A|-8--8---6-8----------------------------------------------------------------|
E|---------------------------------------------------------------------------|
G|---------------------------------------------------------------------------|
D|------------6-8--8/10-8--6h8-8---8-8--8/10--8-6h8p6--8-8-------------------|
A|-8--8---6-8----------------------------------------------------------------|
E|---------------------------------------------------------------------------|
G|---------------------------------------------------------------------------|
D|------------6-8--8/10-8--6h8-8---8-10-11--10--8----------------------------|
A|-8--8---6-8----------------------------------------------------------------|
E|---------------------------------------------------------------------------|
G|---------------------------------------------------------------------------|
D|------------6-8--8/10-8--6h8-8---8---8-8-----------------------------------|
A|-8--8---6-8----------------------------------------------------------------|
E|---------------------------------------------------------------------------|</t>
  </si>
  <si>
    <t>The Weeknd</t>
  </si>
  <si>
    <t>I Can't Feel My Face</t>
  </si>
  <si>
    <t>KEI4qSrkPAs</t>
  </si>
  <si>
    <t>https://tabs.ultimate-guitar.com/tab/the-weeknd/cant-feel-my-face-bass-1743965</t>
  </si>
  <si>
    <t>G|----------------|----------------|----------------|------------------|
D|----------------|----------------|----------------|------------------|
A|-------------x0h3-------------x0h3--0--0--0------0|--0--0--0----x0h3-|
E|--3--3--3-------|--1--1--1-------|------------3---|------------------|</t>
  </si>
  <si>
    <t>Kissing Strangers</t>
  </si>
  <si>
    <t>wzZWXrlDj-A</t>
  </si>
  <si>
    <t>https://tabs.ultimate-guitar.com/tab/dnce/kissing-strangers-bass-2009037</t>
  </si>
  <si>
    <t>G|---------------------------------------------------|
D|-------3h4h5-3h4h5---------------------------------|
A|---------------------5--3----1h2h3-----------------|
E|--3------------------------------------3-----------|
                                                        (2x)
G|---------------------------------------------------|
D|-------1h2h3-1h2h3--1-0----------------------------|
A|---------------------------3h4h5-------------------|
E|--1-------------------------------5----------------|</t>
  </si>
  <si>
    <t>Fences</t>
  </si>
  <si>
    <t>ybluEqQTpKk</t>
  </si>
  <si>
    <t>https://tabs.ultimate-guitar.com/tab/paramore/fences-bass-536495</t>
  </si>
  <si>
    <t>[Intro]
G|--------------------------------------------------------------------|
D|-----------------4--------4---7---------------------4---------------|
A|--4-5-7---4-5-7-----7-5-4---7---5-----4-5-7---4-5-7---7-5-4-5-7-5-4-|
E|7-------7---------------------------7-------7-----------------------|
[Verse]
G|--------------------------------------------------------------------|
D|-----------------4--------4---7---------------------4---------------|
A|--4-5-7---4-5-7-----7-5-4---7---5-----4-5-7---4-5-7---7-5-4-5-7-5-4-|
E|7-------7---------------------------7-------7-----------------------|
G|-------------------------|
D|-------------------------|
A|-------------------------|
E|0-0-0-0-0-0-0-0-5-5-5-5-5|
[Pre-Chorus]
G|---------------------------------|
D|---------------------------------|
A|----5~----------------5----------|
E|0~------5~--0--2--3-5----5-22222-|
[Chorus]
G|-----------------------------------------------------------------------|
D|-----------------------------4-5-4-5p4----------------4-5-4-5p4--------|
A|-------------------------2-5----------------------2-5------------------|
E|7---3-0-2-7-7\\--3-0-2--3----------------0-0-0-0-3---------------55-00-7|</t>
  </si>
  <si>
    <t>How Long</t>
  </si>
  <si>
    <t>CwfoyVa980U</t>
  </si>
  <si>
    <t>https://tabs.ultimate-guitar.com/tab/charlie-puth/how-long-bass-2220453</t>
  </si>
  <si>
    <t>G|-----------------------------------------------------|
D|-----------------------------------------------------|
A|-4---4-2---2-0---0-2-2--3-4---4-2---2-0---0---2-3----|
E|--------------------------------------------4-----4--|</t>
  </si>
  <si>
    <t>https://tabs.ultimate-guitar.com/tab/aerosmith/sweet-emotion-bass-115183</t>
  </si>
  <si>
    <t>Intro
G|-----------12----------14----------|---------------------|
D|-----------------------------------|--12--------11-------|
A|---12--12------12--12------12--12--|------12-12-----12---|
E|-----------------------------------|---------------------|
Verse
G|---------------------------|---------------------------|
D|----------7--------7-------|--------7--------7-----7---|
A|---12--0-----0--0-----0----|--------------------0------|
E|---------------------------|--3/-5-----3/-5------------|
Interlude
G|----------------------------------------|
D|----------------------------------------|
A|---5h-3---------------------------------|
E|---------5--2--2--2--3--3--3--4--4--5---|</t>
  </si>
  <si>
    <t>Cave</t>
  </si>
  <si>
    <t>j1wFGpUbBw4</t>
  </si>
  <si>
    <t>https://tabs.ultimate-guitar.com/tab/muse/cave-bass-969668</t>
  </si>
  <si>
    <t xml:space="preserve">Intro
G|------------------------------57775777|
D|00000---00000---00000---00000---------|
A|--------------------------------------|
E|--------------------------------------|
G|----------------|    |--------57775777|
D|0-003-0---------|    |0-003-0---------|
A|------------3-4-|    |----------------|
E|--------4-5-----| x7 |----------------|
Verse
G|----------------|
D|0-003-0---------|
A|------------3-4-|
E|--------4-5-----| x4
</t>
  </si>
  <si>
    <t>You Give Love A Bad Name</t>
  </si>
  <si>
    <t>KrZHPOeOxQQ</t>
  </si>
  <si>
    <t>https://tabs.ultimate-guitar.com/tab/bon-jovi/you-give-love-a-bad-name-bass-17536</t>
  </si>
  <si>
    <t>G|-----------------------------------------------------------------|
D|-------------------------------------------------1---------------|
A|-3-----------1-3-1---1---3-------------1-------1-----3-------1-2-|
E|-------4-------------------------4-----------3-------------3-----|
G|-----------------------------------------------------------------|
D|-----------------------------------------------------------------|
A|-3-----------1-3-1---1---3-------------1-------------------------|
E|-------4-------------------------4-------------------------------|
G|-----------------------------------------------------------------|
D|---------1-1-------------1-1-------------1-1-------------1-1-----|
A|-3---1-3-----3-1-3---1-3-----3---3---1-3-----3-1-3---1-3-----3---|
E|---3---------------3---------------3---------------3-------------|</t>
  </si>
  <si>
    <t>Liquid State</t>
  </si>
  <si>
    <t>lDjSDqkyQeA</t>
  </si>
  <si>
    <t>https://tabs.ultimate-guitar.com/tab/muse/liquid-state-bass-1204482</t>
  </si>
  <si>
    <t>G|--------------------|--------------------|----------------------|---------------------------|
D|--9h10--------------|--9h10--------------|--9h10-----10h13------|--13-12-10-13-12-10-13-12--|
A|-------0-0-0-0-0-0--|-------0-0-0-0-0-0--|-------0-0-------0-0--|---------------------------|
D|--------------------|--------------------|----------------------|---------------------------|
G|--------------------|--------------------|----------------------|---------------------------|
D|--9h10--------------|--9h10--------------|--9h10-----10h13------|--13-12-10-13-12-10-13-12--|
A|-------0-0-0-0-0-0--|-------0-0-0-0-0-0--|-------0-0-------0-0--|---------------------------|
D|--------------------|--------------------|----------------------|---------------------------|
G|--------------------|---------------------|-----------------------|---------------------------|
D|--9h10--------------|--10h12--------------|--12h13-----13h14------|--13-12-10-13-12-10-13-12--|
A|-------0-0-0-0-0-0--|--------0-0-0-0-0-0--|--------0-0-------0-0--|---------------------------|
D|--------------------|---------------------|-----------------------|---------------------------|
G|--------------------|---------------------|--7h9-------9h10------|---------------------------|
D|--9h10--------------|--10h12--------------|----------------------|--13-12-10-13-12-10-13-12--|
A|-------8-8-8-8-8-8--|--------8-8-8-8-8-8--|--------8-8------8-8--|---------------------------|
D|--------------------|---------------------|----------------------|---------------------------|
G|---------------------|--------------------|----------------------|---------------------------|
D|--10-12-0-0-0-0-0-0--|-12-14-0-0-0-0-0-0--|-14-15-0-0-15-18-0-0--|--13-12-10-13-12-10-13-12--|
A|---------------------|--------------------|----------------------|---------------------------|
D|---------------------|--------------------|----------------------|---------------------------|
G|---------------------|---------------------|---------------------|---------------------|
D|---------------------|---------------------|---------------------|---------------------|
A|--10-12-0-0-0-0-0-0--|--10-12-0-0-0-0-0-0--|--10-12-0-0-0-0-0-0--|--10-12-0-0-0-0-0-0--|
D|---------------------|---------------------|---------------------|---------------------|</t>
  </si>
  <si>
    <t>Hyper Music</t>
  </si>
  <si>
    <t>tjm3NyQ6DYw</t>
  </si>
  <si>
    <t>https://tabs.ultimate-guitar.com/tab/muse/hyper-music-bass-555555</t>
  </si>
  <si>
    <t>G|-----------------------|
D|-----------------------|
A|-----------------------|
E|--12--------L\\---------|
G|-------------------------|-------------------------|
D|-------------------------|-------------------------|
A|-------5-----------3--5--|-------5---0-2--3--2--1--|
E|--0--------5-3--5--------|--0----------------------|
G|-------------------|-------------------|
D|-------------------|-------------------|
A|-------------------|-------------------|
E|--0----------------|--L----------------|</t>
  </si>
  <si>
    <t>Time Is Running Out</t>
  </si>
  <si>
    <t>O2IuJPh6h_A</t>
  </si>
  <si>
    <t>https://tabs.ultimate-guitar.com/tab/muse/time-is-running-out-bass-96464</t>
  </si>
  <si>
    <t>G|-----------------------------------------------|
D|-----------------------------------------------|
A|----3----3----------56---7----7-----3-----5----|
E|--5---55---5/7-5-77----0---00---0h1---1/3---3--| x5</t>
  </si>
  <si>
    <t>https://tabs.ultimate-guitar.com/tab/muse/reapers-bass-1734772</t>
  </si>
  <si>
    <t>G|--------------------------------|
D|--------------------------------|
A|--------------------------------|
D|12\\----10\\----8\\----7\\---5\\---3-|
G|------------------------------------------------|-----------------------------------------------|
D|12-12-14-12-15-12-14-12-15-12-14-12-15-14-12-10-|---10-12-10-14-10-12-10-14-10-12-10-14-12-10-8-|
A|------------------------------------------------|-----------------------------------------------|
D|------------------------------------------------|-----------------------------------------------|
G|----------------------------------------|------------------------------------|
D|---8-10-8-12-8-10-8-12-8-10-8-12-10-8-7-|---7-8-7-11-7-8-7---7-8-7-11-7-8-12-|
A|----------------------------------------|------------------------------------|
D|----------------------------------------|------------------------------------|
G|------------------------------------------------|-----------------------------------------------|
D|---12-14-12-15-12-14-12-15-12-14-12-15-14-12-10-|---10-12-10-14-10-12-10-14-10-12-10-14-12-10-8-|
A|------------------------------------------------|-----------------------------------------------|
D|------------------------------------------------|-----------------------------------------------|
G|----------------------------------------|------------------------------------|
D|---8-10-8-12-8-10-8-12-8-10-8-12-10-8-7-|---7-8-7-11-7-8-7----7-8-7-11-7-8---|
A|----------------------------------------|------------------------------------|
D|----------------------------------------|------------------------------------|</t>
  </si>
  <si>
    <t>Sunburn</t>
  </si>
  <si>
    <t>N9SZaOJEWXU</t>
  </si>
  <si>
    <t>https://tabs.ultimate-guitar.com/tab/muse/sunburn-bass-105947</t>
  </si>
  <si>
    <t>G|----------------------|
D|----------------------|
A|-7r-------------------|
D|------7r---10r---7r---|
G|-----------------------------------------------------|
D|-----7-5-6-7-5-6-7-5-7-------------------------------|
A|-0-0-------------------5-6-7-7-7---------------------|
D|---------------------------------0-1-2-0-1-2-0-2-0-2-|</t>
  </si>
  <si>
    <t>New Born</t>
  </si>
  <si>
    <t>qhduQhDqtb4</t>
  </si>
  <si>
    <t>https://tabs.ultimate-guitar.com/tab/muse/new-born-bass-39726</t>
  </si>
  <si>
    <t>G|---9---------|
D|----7-9------|
A|-7-----------| x10
D|-------------|
G|---5-------5-------4------4-------8-------8--------|
D|-----3-5-----3-5-----2-4----2-4-----6-8-----6-8----|
A|-3-------3-------2-------2------6-------6----------|
D|---------------------------------------------------|</t>
  </si>
  <si>
    <t>The Handler</t>
  </si>
  <si>
    <t>BF1DQr5dKW8</t>
  </si>
  <si>
    <t>https://tabs.ultimate-guitar.com/tab/muse/the-handler-bass-1742246</t>
  </si>
  <si>
    <t>[Intro]
G|----------------------------------|x2
D|----------------------------------|
A|-5--------------------------------|
D|---0-0-0-3-3-/7-7-7-7---8\\0---7\\0-|
[Verse]
G|----------------------------------|x4
D|----------------------------------|
A|-5--------------------------------|
D|---0-0-0-3-3-/7-7-7-7---8\\0---7\\0-|
[Chorus] 
G|-------12-15-14-12-----------------------9-11-12-13-14-14-141414-12-------|
D|----12-------------15-14-12--12-------6-9---------------------------15-14-|
A|-10------------------------12--12-8-7-------------------------------------|
D|--------------------------------------------------------------------------|
G|-------12-15-14-12-----------------------9-11-12-13-14-14-x141414-|
D|----12-------------15-14-12--12-------6-9-------------------------|
A|-10------------------------12--12-8-7-----------------------------|
D|------------------------------------------------------------------|</t>
  </si>
  <si>
    <t>Animals</t>
  </si>
  <si>
    <t>WnJz4eUV5qM</t>
  </si>
  <si>
    <t>https://tabs.ultimate-guitar.com/tab/muse/animals-bass-1186973</t>
  </si>
  <si>
    <t>Gb|9--9-9--9-9-11-9-8-|7--7-7--7-7-9-7---|
Db|-------------------|----------------9-|
Ab|-------------------|------------------|
Eb|-------------------|------------------|
Gb|-------------------|--------------7-8-|
Db|-7--7-7--7-7-9-7-6-|5--5-5--5-7-9-----|
Ab|-------------------|------------------|
Eb|-------------------|------------------|</t>
  </si>
  <si>
    <t>Thought Contagion</t>
  </si>
  <si>
    <t>QQ_3S-IQm38</t>
  </si>
  <si>
    <t>https://tabs.ultimate-guitar.com/tab/muse/thought-contagion-bass-2320309</t>
  </si>
  <si>
    <t>[Intro] Clean bass
G|----------------------------------------------------------------------|
D|----------------------------------------------------------------------|
A|12~---12-12-11-10-9-8~--8-8-8-7-6-5-3~----3-3-4-5-6-7~--7-7-8-9-10-11-|
E|----------------------------------------------------------------------|
[Chorus and verse]
G|----------------------------------------------------------------------|
D|----------------------------------------------------------------------|
A|12----12-12-11-10-9-8---8-8-8-7-6-5-3---3-3-3-4-5-6-7---7-7-8-9-10-11-|
E|----------------------------------------------------------------------|</t>
  </si>
  <si>
    <t>DVzcQ4_khsM</t>
  </si>
  <si>
    <t>https://tabs.ultimate-guitar.com/tab/guns-n-roses/you-could-be-mine-bass-108554</t>
  </si>
  <si>
    <t>Gb|-----------------|-----------------|-----------------|-----------------|
Db|-----------------|-----------------|-----------------|-----2-4-2-------|
Ab|-----------------|-----------------|-----------------|---4-------4-2---|
Eb|------Drums------|------Drums------|------Drums------|---------------5-|
Gb|-----------------|-----------------|-----------------|-----------------|
Db|o----------------|-----------------|-----------------|----------------o|
Ab|o----------------|-----------------|-----------------|----------------o|
Eb|-2-2---0-2-2---0-|-2-2---0-2-2---0-|-2-2--0--2-2---0-|-2-2-0---2-2---0-|
Gb|-----------------|-----------------|-----------------|-----------------|
Db|o----------------|-----------------|-----------------|----------------o|
Ab|o----------------|-----------------|-----------------|----------------o| (x4)
Eb|-2-2---0-2-2---0-|-2-2---0-2-2---0-|-0-0---0-0-0---0-|-0-0---0-0-0---0-|</t>
  </si>
  <si>
    <t>https://tabs.ultimate-guitar.com/tab/guns-n-roses/welcome-to-the-jungle-bass-12746</t>
  </si>
  <si>
    <t>G|--------------------------------------------------------------------|
D|---7---8---9---9---9---9---9---9---9---9---9---9---9---9---9---9----|
A|--------------------------------------------------------------------|
E|--------------------------------------------------------------------|
G|--------------------------------------------------------------------|
D|---9---9---7---7---7---7---7---7---7---7---7---7---7---7---7---7----|
A|--------------------------------------------------------------------|
E|--------------------------------------------------------------------|
G|--------------------------------------------------------------------|
D|---7---6------------------------------------------------------------|
A|-----------7---7---7---7---7---7---7---7---7---7---7---7---7--------|
E|--------------------------------------------------------------------|
G|--------------------------------------------------------------------|
D|--------------------------------------------------------------------|
A|------7-------5-----------------------------------------------------|
E|----------7----------5------------7---7---7---7---7---7---7---7-----|
G|----------------------------------|
D|-----------7---8---9--------------|
A|-------9-------------------7------|
E|---7-/-----------------0----------|
G|--------------------------------------------|
D|*------------------------------------------*|
A|*------------------------------------------*| (x2)
E|-----5---5---3---5---5---5---3---2---0------|
G|------------------------------------|
D|------------------------5---4---5---|
A|------------------------------------|
E|----5---5---3---5---5---------------|</t>
  </si>
  <si>
    <t>Don't Cry</t>
  </si>
  <si>
    <t>zRIbf6JqkNc</t>
  </si>
  <si>
    <t>https://tabs.ultimate-guitar.com/tab/guns-n-roses/dont-cry-bass-12741</t>
  </si>
  <si>
    <t>Gb|----------------------------------|
Db|----------------------------------|
Ab|---3----2-3-2------5--------------|
Eb|---------------5-------3--2-3-4-5-|
Gb|-----|---------------------------|
Db|-----|---------------------------|
Ab|-----|---5---------3----2-3-2----|
Eb|--5--|--------3----------------5-|</t>
  </si>
  <si>
    <t>https://tabs.ultimate-guitar.com/tab/guns-n-roses/paradise-city-bass-1702707</t>
  </si>
  <si>
    <t>Gb|---------------------------------------------------------------|
Db|o-------------------------------------------------------------o|
Ab|o---------------------------1-------------------------3-1-----o|
Eb|----3--1-2-3--1-2-3-1-3-1-3-----3--1-2-3--1-2-3-1-3-1----------|</t>
  </si>
  <si>
    <t>VMDljoM5JFI</t>
  </si>
  <si>
    <t>https://tabs.ultimate-guitar.com/tab/guns-n-roses/nightrain-bass-711636</t>
  </si>
  <si>
    <t>F#|----------|----------|------------|-----------|----------|------|--------------|----------------|
C#|----------|----------|------------|-7\\--------|----------|------|--------------|----------------|
G#|----------|-0--------|-(0)--------|-----------|----------|------|--------------|----------------|
D#|----------|----------|------------|-----------|----------|------|--------0-1-3-|-(3)-3-3--------|
F#|--------------|----------------|--------------|----------------|--------------|
C#|--------------|----------------|--------5-6---|----------------|--------------|
G#|--------------|----------------|------------0-|-(0)-0-0--------|--------------|
D#|--------0-3-5-|-(5)-5-5--------|--------------|----------------|--------3-5-1-|
F#|----------------|--------------|----------------|--------------|-------------------|-2-0-------------|
C#|----------------|--------------|----------------|--------------|-------------------|-----2-1-0-------|
G#|----------------|--------------|----------------|--------------|-------------------|-----------3---0-|
D#|-(1)-1-1--------|--------0-1-3-|-(3)-3-3--------|--------0-3-5-|-(5)-5-5-5-5-5-5-5-|-------------3---|</t>
  </si>
  <si>
    <t>https://www.bigbasstabs.com/aerosmith_bass_tabs/walk_this_way.html</t>
  </si>
  <si>
    <t>G|-----------------------------|
D|-----------------------------|
A|-3---3---1-3-(3)---------0---|
E|-----------------0-1-3-3---3-|
G|---------------------------|
D|---------------------------|
A|-3---3-(3)-1-3-------1---1-|
E|---------------0-1-3---3---|</t>
  </si>
  <si>
    <t>Train Kept A Rollin'</t>
  </si>
  <si>
    <t>_EvGn22Mplg</t>
  </si>
  <si>
    <t>https://www.bigbasstabs.com/aerosmith_bass_tabs/train_kept_a_rollin.html</t>
  </si>
  <si>
    <t>G|-------------|-------------|-------------|------------|-------------|-------------|
D|-------------|-------------|-------------|------------|-------------|-------------|
A|-------------|-------------|-------------|------------|-------------|-------------|
E|3--003-3-03--|3--003-3-03--|5--225-5-25--|3--003-3-03-|5--7--5-3-2--|3--003-3-03--|</t>
  </si>
  <si>
    <t>Dude (Looks Like a Lady)</t>
  </si>
  <si>
    <t>nf0oXY4nDxE</t>
  </si>
  <si>
    <t>https://tabs.ultimate-guitar.com/tab/aerosmith/dude-looks-like-a-lady-bass-209818</t>
  </si>
  <si>
    <t xml:space="preserve">Intro (3x)
G|-------------||---------------------------------------------|
D|o-----------o||--------------------------12-12-12-12-14-----|
A|o-----------o||--0\\-12-12-12-12-12-12-12----------------10--|
E|---0\\-5-/0---||---------------------------------------------|
Verses (4x)
G|---------------------------------------|
D|o---------------------------2---------o|
A|o------------------5-5-5-5------------o|
E|---5-5-5--2-3-4-5--------------2-3-4---|
Chorus
G|-----------------------------------|
D|o---------------------------2-----o|
A|o------------------5-5-5-5--------o|
E|---5-5-5--2-3-4-5--------------3---|
</t>
  </si>
  <si>
    <t>Love in an Elevator</t>
  </si>
  <si>
    <t>h3Yrhv33Zb8</t>
  </si>
  <si>
    <t>https://www.bigbasstabs.com/aerosmith_bass_tabs/love_in_an_elevator_ver_2.html</t>
  </si>
  <si>
    <t>Intro
G|-----------------------------|
D|-----------------------------|
A|--7-5-7---5------------------| X2
E|--------7---7--6-5-3-5-3-7-0-|
|--------------|--------------|
|--------------|--------------|
|--------------|-------5------|
|------5-------|--------------|
Verse
|--------------------|--------------------|---------------------|--------------------|
|--------------------|--------------------|---------------------|--------------------|
|-------------------3|-------------------3|---------------------|-------------------3|
|--0--2-0-2-3---3----|--0--2-0-2-3---3----|--0--2-0-2-3---3/--8\\|--0--2-0-2-3---3----|
|-------------------|--------------------|-------------------|-------------------|
|------------------5|--------------------|------------------5|-------------------|
|--0--4-0-4-5--5----|--0--4-0-4-5--5/--10|--0--4-0-4-5--5----|--0--4-0-4-5--5----|
|-------------------|--------------------|-------------------|-------------------|
Chorus
|-----------------|-----------------|-----------------|-----------------|
|-----------------|-----------------|-----------------|-----------------|
|-----------------|-----------------|-----------------|-----------------|
|-2-2-2-2-2-2-2-2-|-2-2-2-2-2-2-2-2-|-2-2-2-2-2-2-2-2-|-2-2-2-2-2-2-1-0-|</t>
  </si>
  <si>
    <t>Don't Stop Me Now</t>
  </si>
  <si>
    <t>HgzGwKwLmgM</t>
  </si>
  <si>
    <t>https://tabs.ultimate-guitar.com/tab/queen/dont-stop-me-now-bass-1757223</t>
  </si>
  <si>
    <t>G|----------------|----------------|----------------|----------------|----------------|
D|----------------|----------------|----------------|----------------|------------5---|
A|----------------|----------------|5-5-5-5-5-5-5-5-|----------------|3-3-3-3-3-3---3-|
E|1-1-1-1-1-1-1-1-|5-5-5-5-5-5-5-5-|----------------|3-3-3-3-3-3-3-3-|----------------|
G|----------------|----------------|----------------|----------------|----------------|
D|----------------|----------------|----------------|----------------|----------------|
A|----------------|----------------|5-5-5-5-5-5-5-5-|----------------|3-3-3-3-3-3-5-7-|
E|1-1-1-1-1-1-1-1-|5-5-5-5-5-5-5-5-|----------------|3-3-3-3-3-3-3---|----------------|
G|------------------|8-8-8-8-8-8-8-8-|----------------|----------------|----------------|
D|-------------8-10-|----------------|8-8-8-8-8-8-8-7-|5-5-5-5-5-5-5-5-|4-4-0-4---0-4-0-|
A|8-8-8-8-8-10------|----------------|----------------|----------------|----------------|
E|------------------|----------------|----------------|----------------|----------------|
G|----------------|----------------|----------------|----------------|-----------------|
D|5-5-5-5-5-5-5-5-|4-4-0-4---0-4-0-|5-5-5-5-5-3-2-0-|----------------|-----------------|
A|----------------|----------------|----------------|----0-0-1-1-1-3-|/-------10---8\\--|
E|----------------|----------------|----------------|3-3-------------|-----------------|</t>
  </si>
  <si>
    <t>Who Is It</t>
  </si>
  <si>
    <t>PfrV_6yWbEg</t>
  </si>
  <si>
    <t>https://tabs.ultimate-guitar.com/tab/michael-jackson/who-is-it-bass-1228275</t>
  </si>
  <si>
    <t>[Intro]
G|-----------------------------------------------------------------------------|
D|-----------------------------------------------------------------------------|
A|-5---5--------------5---5--------------5---5------------------------------7--| X2
D|-0---0-------7-10-7-0---0-------7-10-7-0---0-------7-10-7-5---5-----7-10-----|</t>
  </si>
  <si>
    <t>Bad</t>
  </si>
  <si>
    <t>Sd4SJVsTulc</t>
  </si>
  <si>
    <t>https://tabs.ultimate-guitar.com/tab/michael-jackson/bad-bass-961338</t>
  </si>
  <si>
    <t>INTRO / VERSE
G|-----------------------------------|
D|-----------------------------------|
A|-------5--6-7-------5--6-7---------|
E|-5--8----------5-8-----------------|
PRE CHORUS
|-----------------------------------|------------|
|-----------------------------------|------------|
|----5--4-----5--4-----5--4---------|--5h6p5-----|
|-7--------7--------7--------0-0-0--|---------8--|
CHORUS
|-----------------------------------|-------------------------------|
|-----------------------------------|-------------------------------|
|-------5--6--7--------5--8--5--8---|-------5--6--7--------4--5h6p5-|
|-5--8-----------5--8---------------|-5--8-----------5--8-----------|
|-----------------------------------|-------------------------------|
|-----------------------------------|-------------------------------|
|-------5--6--7--------5--8--5--8---|-------5--6--7--------5--------|
|-5--8-----------5--8---------------|-5--8-----------5--8-----------|</t>
  </si>
  <si>
    <t>Off The Wall</t>
  </si>
  <si>
    <t>B3MFbhwfEXU</t>
  </si>
  <si>
    <t>https://tabs.ultimate-guitar.com/tab/michael-jackson/off-the-wall-bass-438807</t>
  </si>
  <si>
    <t>[Intro]
G|--------------------------------------------------------------| (x3)
D|--------------------------4-----------------------------------|
A|----4---6--(x3)---4---6---------------------------------------|
E|--------------------------------------------------------------|
[Verse]
G|---------------6----10----6--------------------8-----6--------|
D|----------8-------------------------------8-------------------|
A|-6---9-------------------------6----9-------------------------|
E|--------------------------------------------------------------|
[Chorus]
G|--------------------------------------------------------------|
D|------------------------13-----------------13----16-----------|
A|--11-----11-----14-----------14----14-------------------------|
E|--------------------------------------------------------------|
G|--------------------------------------------------------------|
D|------------------3-------------------------------------------|
A|--1----1----4-------------------------------------------------|
E|------------------------4-----2----4----0-----2---3----4------|
G|--------------------------------------------------------------|
D|------------------------13-----------------13----16-----------|
A|--11-----11-----14-----------14----14-------------------------|
E|--------------------------------------------------------------|
G|--------------------------------------------------------------|
D|------------------3------4----3-------------------------------|
A|--1----1----4---------------------6----6----4-----------------|
E|--------------------------------------------------------------|</t>
  </si>
  <si>
    <t>https://tabs.ultimate-guitar.com/tab/oasis/supersonic-bass-892100</t>
  </si>
  <si>
    <t>G|--------------------------------|
D|--------------------------------|
A|--------------------------------|
E|-0h2-2-2-0-2--2--5-5-5-7-7-7-7--|x8
G|---------------------------------------------------------------------------|
D|---------------------------------------------------------------------------|
A|---------------------------------------------------------------------------|
E|-0-0-0-0-0-0-0-0-0-0-0-0-0-0-0-0-2-2--0-2-2--0-2-2-2-0-2-0-2-2-0-0-0-0-0-0-|
G|-----------------------------------------------------|
D|-----------------------------------------------------|
A|-----------------------------------------------------|
E|-0-0-0-0-0-0-0-0-0-0-9-9-9-9-9-9-9-9-9-9-9-9-9-9-9-9-|
G|---------------------------------|
D|---------------------------------|
A|-5-5-5-5-------------------------|
E|---------5-5-5-5-0-0-0-2-2-2-2-2-|x4</t>
  </si>
  <si>
    <t>Morning Glory</t>
  </si>
  <si>
    <t>Wm54XyLwBAk</t>
  </si>
  <si>
    <t>https://tabs.ultimate-guitar.com/tab/oasis/morning-glory-bass-6149</t>
  </si>
  <si>
    <t>G|-----------------------------|
D|-----------------------------|
A|--------------5--5-5-5--5-5--|
E|-0--0-0-2-0-0----------------| x3
G|--------------------------------------------------------|
D|--------------------------------------------------------|
A|--------------5--5-5-5--5-5--------------3--3-3--3-1----|
E|-0--0-0-2-0-0---------------5--5-5-5-5-5-------------2-1|</t>
  </si>
  <si>
    <t>Rock Your Body</t>
  </si>
  <si>
    <t>TSVHoHyErBQ</t>
  </si>
  <si>
    <t>https://tabs.ultimate-guitar.com/tab/justin-timberlake/rock-your-body-bass-53429</t>
  </si>
  <si>
    <t>Main Riff
G|-------------------------------------|--|
D|--------------7-7----------------5-5-|--|
A|-------------------------------------|--|
E|---3-3---5---------0---0-0-00--(0)---|--|</t>
  </si>
  <si>
    <t>Mirrors</t>
  </si>
  <si>
    <t>uuZE_IRwLNI</t>
  </si>
  <si>
    <t>https://tabs.ultimate-guitar.com/tab/justin-timberlake/mirrors-bass-1424715</t>
  </si>
  <si>
    <t>[Intro]
G|----------------|----------------|----------------|----------------|
D|----------------|----------------|----------------|----------------|
A|3-----------2-0-|--------------0-|----------------|--------0---0-2-|
E|----------------|3-----------3---|1---------------|----------3-----|
G|----------------|----------------|----------------|----------------|
D|----------------|----------------|----------------|----------------|
A|3-----------2-0-|--------------0-|----------------|--------0---0-2-|
E|----------------|3-----------3---|1---------------|----------3-----|
G|----------------|----------------|----------------|----------------|
D|----------------|----------------|0---------------|----------------|
A|3-----------2-0-|------------0-3-|------------3-2-|0-----------0-2-|
E|----------------|3---------------|----------------|----------------|
G|----------------|----------------|----------------|----------------|
D|----------------|----------------|----------------|----------------|
A|3-----------2-0-|--------------0-|----------------|----------------|
E|----------------|3-----------3---|1---------------|----------------|
[Verse]
G|----------------|----------------|----------------|----------------|
D|----------------|----------------|0---------------|----------------|
A|0---------------|----------------|----------------|----------------|
E|----------------|0---------------|----------------|1---------------|
G|----------------|----------------|----------------|----------------|
D|----------------|----------------|0---------------|0---------------|
A|0---------------|----------------|----------------|----------------|
E|----------------|0---------------|----------------|-------------0h4|
G|----------------|----------------|----------------|----------------|
D|----------------|----------------|0---------------|----------------|
A|0---------------|----------------|----------------|----------------|
E|----------------|0---------------|----------------|1---------------|
G|----------------|----------------|----------------|----------------|
D|----------------|----------------|0---------------|0---------------|
A|0---------------|----------------|----------------|----------------|
E|----------------|0---------------|----------------|-------------0h4|</t>
  </si>
  <si>
    <t>Highway Star</t>
  </si>
  <si>
    <t>Wr9ie2J2690</t>
  </si>
  <si>
    <t>https://tabs.ultimate-guitar.com/tab/deep-purple/highway-star-bass-1187559</t>
  </si>
  <si>
    <t>G|-----------------|-----------------|-----------------|-----------------|
D|-5-5-5-5-5-5-5-5-|-5-5-5-5-5-5-5-5-|-5-5-5-5-5-3-----|-----------------|
A|-----------------|-----------------|-------------5-3-|-1-----3-----1---|
E|-----------------|-----------------|-----------------|-----3-----3-----|</t>
  </si>
  <si>
    <t>Beastie Boys</t>
  </si>
  <si>
    <t>Sabotage</t>
  </si>
  <si>
    <t>z5rRZdiu1UE</t>
  </si>
  <si>
    <t>https://tabs.ultimate-guitar.com/tab/beastie-boys/sabotage-bass-619761</t>
  </si>
  <si>
    <t>G|-------11-------11-------11------11--------11---------------|
D|------------------------------------------------------------|
A|-11-11----11-11----11-11----11-11---11--11------------------|
E|------------------------------------------------------------|</t>
  </si>
  <si>
    <t>Rime of the Ancient Mariner</t>
  </si>
  <si>
    <t>t7zk4as9kzA</t>
  </si>
  <si>
    <t>https://tabs.ultimate-guitar.com/tab/iron-maiden/rime-of-the-ancient-mariner-bass-11349</t>
  </si>
  <si>
    <t>G|+------+---11-----11-----11----+--12-----12-----12----|
D|------|------0-0----0-0----0--|-----0-0----0-0----0--|
A|------|-----------------------|----------------------|
E+------+-----------------------+----------------------|
G+--14-----14-----14----+--14-----14-----14-----+------|
D|-----0-0----0-0----0--|-----0-0----0-0----0---|-*--*-|
A|----------------------|-----------------------|-*--*-|
E+----------------------+-----------------------+------|
G+--9-----9-----9----+--10-----10-----10----+--9-----9-----9----|
D|----0-0---0-0---0--|-----0-0----0-0----0--|----0-0---0-0---0--|
A|-------------------|----------------------|-------------------|
E+-------------------+----------------------+-------------------|
G+--10-----9-----9------+--7-----7-----7----+--7-----7-----7----|
D|-----0-0---0-0---0-0--|----0-0---0-0---0--|----0-0---0-0---0--|
A|----------------------|-------------------|-------------------|
E+----------------------+-------------------+-------------------|
G+--5-----5-----5----+--3-----5-----3----|
D|----0-0---0-0---0--|----0-0---0-0---0--|
A|-------------------|-------------------|
E+-------------------+-------------------|</t>
  </si>
  <si>
    <t>Murders In the Rue Morgue</t>
  </si>
  <si>
    <t>GyEZ5_dGxSg</t>
  </si>
  <si>
    <t>https://tabs.ultimate-guitar.com/tab/iron-maiden/murders-in-the-rue-morgue-bass-11343</t>
  </si>
  <si>
    <t>G|----5-----7---12-----------5-----7---12------12-14-16-14-12-11-12-11-12-14---|
D|-5-----5----7---12-7----5-----5----7---12------------------------------------|
A|-----------------------------------------------------------------------------|
E|-----------------------------------------------------------------------------|
G|-12-11-12--11-12-14-12-11-9-7--14-16-14-12-11-12-11-12--11-12-14--12-11-9-7--|
D|-----------------------------------------------------------------------------|
A|-----------------------------------------------------------------------------|
E|-----------------------------------------------------------------------------|
G|-7-7-7-7-7-7-7-7-7-7-7-------------------------------------------------------|
D|-----------------------------------------------------------------------------|
A|------------------------2--0-2-3--2-3-5--5-5-5--3-2-0-2--0-2-3--2-3-5--5-5-5-|
E|-----------------------------------------------------------------------------|
G|-----------------------------------------------------------------------------|
D|-----------------------------------------------------------------------------|
A|-3-2-0-2--0-2-3--2-3-2-0------------------------7-7-7-7-7--0-0-0-0-0-0-0-0-0-|
E|-------------------------3-0-------------------------------------------------|</t>
  </si>
  <si>
    <t>Bass Tuning</t>
  </si>
  <si>
    <t>Standard (EADG)</t>
  </si>
  <si>
    <t>Drop D (DADG)</t>
  </si>
  <si>
    <t>Half Step Down (D#G#C#F#)</t>
  </si>
  <si>
    <t>FCGC</t>
  </si>
  <si>
    <t>Type</t>
  </si>
  <si>
    <t>Rage Against The Machine</t>
  </si>
  <si>
    <t>“Mournful and yet grand is the destiny of the artist.” – Franz Liszt</t>
  </si>
  <si>
    <t>“There was no one near to confuse me, so I was forced to become original.” – Franz Joseph Haydn</t>
  </si>
  <si>
    <t>“I would rather write 10,000 notes than a single letter of the alphabet.” – Ludwig van Beethoven</t>
  </si>
  <si>
    <t>“The music is not in the notes, but in the silence between.” – Wolfgang Amadeus Mozart</t>
  </si>
  <si>
    <t>“Musicians want to be the loud voice for so many quiet hearts.” – Billy Joel</t>
  </si>
  <si>
    <t>“The wise musicians are those who play what they can master.” – Duke Ellington</t>
  </si>
  <si>
    <t>“Despite everything, no one can dictate who you are to other people.” – Prince</t>
  </si>
  <si>
    <t>“I believe musicians have a duty, a responsibility to reach out, to share your love or pain with others.” – James Taylor</t>
  </si>
  <si>
    <t>“The goal is to try and make the perfect song. Which of course will never happen.” – Chris Martin</t>
  </si>
  <si>
    <t>“Time you enjoy wasting, was not wasted.” – John Lennon</t>
  </si>
  <si>
    <t>“Do it again on the next verse, and people think you meant it.” – Chet Atkins</t>
  </si>
  <si>
    <t>“The beautiful thing about learning is that nobody can take it away from you.” – BB King</t>
  </si>
  <si>
    <t>“To achieve great things, two things are needed; a plan, and not quite enough time.” – Leonard Bernstein</t>
  </si>
  <si>
    <t>“Despite everything, no one can dictate who you are to other people.”  – Prince</t>
  </si>
  <si>
    <t>“Wanting to be someone else is a waste of the person you are.” – Kurt Cobain</t>
  </si>
  <si>
    <t>“Works of art make rules; rules do not make works of art.” – Claude Debussy</t>
  </si>
  <si>
    <t>“A creative artist works on his next composition because he was not satisfied with his previous one.” – Dmitri Shostakovich</t>
  </si>
  <si>
    <t>“I can't understand why people are frightened of new ideas. I'm frightened of the old ones.” – John Cage</t>
  </si>
  <si>
    <t>“Imagination creates reality.” – Richard Wagner</t>
  </si>
  <si>
    <t>“Be your own artist, and always be confident in what you're doing. If you're not going to be confident, you might as well not be doing it.” – Aretha Franklin</t>
  </si>
  <si>
    <t>“A musician should only sound like what they do, and no two musicians sound the same. It's an individual-feel thing, you know?” – Dave Grohl</t>
  </si>
  <si>
    <t>“Musicians don't retire; they stop when there's no more music in them.” – Louis Armstrong</t>
  </si>
  <si>
    <t>“If everything was perfect, you would never learn and you would never grow.” – Beyonce</t>
  </si>
  <si>
    <t>“The true beauty of music is that it connects people. It carries a message, and we, the musicians, are the messengers.” – Roy Ayers</t>
  </si>
  <si>
    <t>“We're musicians. We make music for a living. It's that simple. Nothing else matters.” – Eddie Van Halen</t>
  </si>
  <si>
    <t>“You can't knock on opportunity's door and not be ready.” – Bruno Mars</t>
  </si>
  <si>
    <t>“I'm trying to keep a level head. You have to be careful out in the world. It's so easy to get turned.” – Elvis Presley</t>
  </si>
  <si>
    <t>“What's money? A man is a success if he gets up in the morning and goes to bed at night and in between does what he wants to do.” – Bob Dylan</t>
  </si>
  <si>
    <t>“I decided long ago never to walk in anyone's shadow; if I fail, or if I succeed at least I did as I believe.” – Whitney Houston</t>
  </si>
  <si>
    <t>“One thing I've learned is that I'm not the owner of my talent; I'm the manager of it.” – Madonna</t>
  </si>
  <si>
    <t>“Life is what happens when you're making other plans.” – John Lennon</t>
  </si>
  <si>
    <t>“You can't give up something you really believe in for financial reasons.”  – Robert Plant</t>
  </si>
  <si>
    <t>“Until you're ready to look foolish, you'll never have the possibility of being great.” – Cher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</si>
</sst>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color theme="1"/>
      <name val="Courier New"/>
      <family val="3"/>
    </font>
    <font>
      <sz val="10"/>
      <name val="Courier New"/>
      <family val="3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A2BC35"/>
      <name val="Arial"/>
      <family val="2"/>
    </font>
    <font>
      <i/>
      <sz val="12"/>
      <color rgb="FFFF0000"/>
      <name val="Raleway"/>
    </font>
    <font>
      <sz val="12"/>
      <color rgb="FF404040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FC5E8"/>
        <bgColor rgb="FF9FC5E8"/>
      </patternFill>
    </fill>
    <fill>
      <patternFill patternType="solid">
        <fgColor rgb="FFF1C232"/>
        <bgColor rgb="FFF1C232"/>
      </patternFill>
    </fill>
    <fill>
      <patternFill patternType="solid">
        <fgColor rgb="FFB6D7A8"/>
        <bgColor rgb="FFB6D7A8"/>
      </patternFill>
    </fill>
    <fill>
      <patternFill patternType="solid">
        <fgColor rgb="FFE06666"/>
        <bgColor rgb="FFE06666"/>
      </patternFill>
    </fill>
    <fill>
      <patternFill patternType="solid">
        <fgColor rgb="FFF9CB9C"/>
        <bgColor rgb="FFF9CB9C"/>
      </patternFill>
    </fill>
    <fill>
      <patternFill patternType="solid">
        <fgColor rgb="FFFFD966"/>
        <bgColor rgb="FFFFD966"/>
      </patternFill>
    </fill>
    <fill>
      <patternFill patternType="solid">
        <fgColor rgb="FFD9D9D9"/>
        <bgColor rgb="FFD9D9D9"/>
      </patternFill>
    </fill>
    <fill>
      <patternFill patternType="solid">
        <fgColor rgb="FFCC4125"/>
        <bgColor rgb="FFCC4125"/>
      </patternFill>
    </fill>
    <fill>
      <patternFill patternType="solid">
        <fgColor rgb="FF6D9EEB"/>
        <bgColor rgb="FF6D9EEB"/>
      </patternFill>
    </fill>
    <fill>
      <patternFill patternType="solid">
        <fgColor rgb="FFFF9900"/>
        <bgColor rgb="FFFF9900"/>
      </patternFill>
    </fill>
    <fill>
      <patternFill patternType="solid">
        <fgColor rgb="FFFFF2CC"/>
        <bgColor rgb="FFFFF2CC"/>
      </patternFill>
    </fill>
    <fill>
      <patternFill patternType="solid">
        <fgColor rgb="FF8E7CC3"/>
        <bgColor rgb="FF8E7CC3"/>
      </patternFill>
    </fill>
    <fill>
      <patternFill patternType="solid">
        <fgColor rgb="FF6AA84F"/>
        <bgColor rgb="FF6AA84F"/>
      </patternFill>
    </fill>
    <fill>
      <patternFill patternType="solid">
        <fgColor rgb="FFB4A7D6"/>
        <bgColor rgb="FFB4A7D6"/>
      </patternFill>
    </fill>
    <fill>
      <patternFill patternType="solid">
        <fgColor rgb="FF6FA8DC"/>
        <bgColor rgb="FF6FA8DC"/>
      </patternFill>
    </fill>
    <fill>
      <patternFill patternType="solid">
        <fgColor rgb="FFF1D764"/>
        <bgColor indexed="64"/>
      </patternFill>
    </fill>
    <fill>
      <patternFill patternType="solid">
        <fgColor rgb="FFB2DB4B"/>
        <bgColor indexed="64"/>
      </patternFill>
    </fill>
    <fill>
      <patternFill patternType="solid">
        <fgColor rgb="FF66E586"/>
        <bgColor indexed="64"/>
      </patternFill>
    </fill>
    <fill>
      <patternFill patternType="solid">
        <fgColor rgb="FF22AAD6"/>
        <bgColor indexed="64"/>
      </patternFill>
    </fill>
    <fill>
      <patternFill patternType="solid">
        <fgColor rgb="FFFFDD21"/>
        <bgColor indexed="64"/>
      </patternFill>
    </fill>
    <fill>
      <patternFill patternType="solid">
        <fgColor rgb="FFB3F141"/>
        <bgColor indexed="64"/>
      </patternFill>
    </fill>
    <fill>
      <patternFill patternType="solid">
        <fgColor rgb="FFFFE000"/>
        <bgColor indexed="64"/>
      </patternFill>
    </fill>
    <fill>
      <patternFill patternType="solid">
        <fgColor rgb="FFE8AD1D"/>
        <bgColor indexed="64"/>
      </patternFill>
    </fill>
    <fill>
      <patternFill patternType="solid">
        <fgColor rgb="FF8AF1AA"/>
        <bgColor indexed="64"/>
      </patternFill>
    </fill>
    <fill>
      <patternFill patternType="solid">
        <fgColor rgb="FFE1E129"/>
        <bgColor indexed="64"/>
      </patternFill>
    </fill>
    <fill>
      <patternFill patternType="solid">
        <fgColor rgb="FF45F0E2"/>
        <bgColor indexed="64"/>
      </patternFill>
    </fill>
    <fill>
      <patternFill patternType="solid">
        <fgColor rgb="FFFFDF66"/>
        <bgColor indexed="64"/>
      </patternFill>
    </fill>
    <fill>
      <patternFill patternType="solid">
        <fgColor rgb="FFF5943C"/>
        <bgColor indexed="64"/>
      </patternFill>
    </fill>
    <fill>
      <patternFill patternType="solid">
        <fgColor rgb="FFC2C2A1"/>
        <bgColor indexed="64"/>
      </patternFill>
    </fill>
    <fill>
      <patternFill patternType="solid">
        <fgColor rgb="FFF75269"/>
        <bgColor indexed="64"/>
      </patternFill>
    </fill>
    <fill>
      <patternFill patternType="solid">
        <fgColor rgb="FFFF4F53"/>
        <bgColor indexed="64"/>
      </patternFill>
    </fill>
    <fill>
      <patternFill patternType="solid">
        <fgColor rgb="FFC476D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0" fillId="0" borderId="1" xfId="0" applyFill="1" applyBorder="1"/>
    <xf numFmtId="0" fontId="6" fillId="21" borderId="1" xfId="0" applyFont="1" applyFill="1" applyBorder="1"/>
    <xf numFmtId="0" fontId="0" fillId="22" borderId="1" xfId="0" applyFill="1" applyBorder="1"/>
    <xf numFmtId="0" fontId="0" fillId="23" borderId="1" xfId="0" applyFill="1" applyBorder="1"/>
    <xf numFmtId="0" fontId="0" fillId="24" borderId="1" xfId="0" applyFill="1" applyBorder="1"/>
    <xf numFmtId="0" fontId="0" fillId="25" borderId="1" xfId="0" applyFill="1" applyBorder="1"/>
    <xf numFmtId="0" fontId="0" fillId="26" borderId="1" xfId="0" applyFill="1" applyBorder="1"/>
    <xf numFmtId="0" fontId="0" fillId="27" borderId="1" xfId="0" applyFill="1" applyBorder="1"/>
    <xf numFmtId="0" fontId="0" fillId="28" borderId="1" xfId="0" applyFill="1" applyBorder="1"/>
    <xf numFmtId="0" fontId="0" fillId="29" borderId="1" xfId="0" applyFill="1" applyBorder="1"/>
    <xf numFmtId="0" fontId="0" fillId="30" borderId="1" xfId="0" applyFill="1" applyBorder="1"/>
    <xf numFmtId="0" fontId="0" fillId="31" borderId="1" xfId="0" applyFill="1" applyBorder="1"/>
    <xf numFmtId="0" fontId="0" fillId="32" borderId="1" xfId="0" applyFill="1" applyBorder="1"/>
    <xf numFmtId="0" fontId="0" fillId="33" borderId="1" xfId="0" applyFill="1" applyBorder="1"/>
    <xf numFmtId="0" fontId="0" fillId="34" borderId="1" xfId="0" applyFill="1" applyBorder="1"/>
    <xf numFmtId="0" fontId="0" fillId="35" borderId="1" xfId="0" applyFill="1" applyBorder="1"/>
    <xf numFmtId="0" fontId="0" fillId="36" borderId="1" xfId="0" applyFill="1" applyBorder="1"/>
    <xf numFmtId="0" fontId="0" fillId="37" borderId="1" xfId="0" applyFill="1" applyBorder="1"/>
    <xf numFmtId="0" fontId="1" fillId="0" borderId="2" xfId="0" applyFont="1" applyBorder="1" applyAlignment="1">
      <alignment horizontal="centerContinuous"/>
    </xf>
    <xf numFmtId="0" fontId="1" fillId="0" borderId="4" xfId="0" applyFont="1" applyBorder="1" applyAlignment="1">
      <alignment horizontal="centerContinuous"/>
    </xf>
    <xf numFmtId="0" fontId="7" fillId="0" borderId="1" xfId="0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Continuous"/>
    </xf>
    <xf numFmtId="0" fontId="0" fillId="0" borderId="0" xfId="0" applyAlignment="1">
      <alignment horizontal="centerContinuous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1" xfId="0" applyFont="1" applyFill="1" applyBorder="1"/>
    <xf numFmtId="0" fontId="1" fillId="0" borderId="1" xfId="0" applyFont="1" applyBorder="1" applyAlignment="1"/>
    <xf numFmtId="0" fontId="1" fillId="4" borderId="1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8" borderId="1" xfId="0" applyFill="1" applyBorder="1"/>
    <xf numFmtId="0" fontId="0" fillId="39" borderId="1" xfId="0" applyFill="1" applyBorder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3" fillId="0" borderId="1" xfId="1" applyFont="1" applyBorder="1"/>
    <xf numFmtId="0" fontId="3" fillId="0" borderId="1" xfId="1" applyFont="1" applyBorder="1" applyAlignment="1"/>
    <xf numFmtId="0" fontId="0" fillId="0" borderId="1" xfId="0" quotePrefix="1" applyFont="1" applyBorder="1"/>
    <xf numFmtId="0" fontId="0" fillId="5" borderId="1" xfId="0" applyFont="1" applyFill="1" applyBorder="1"/>
    <xf numFmtId="0" fontId="0" fillId="0" borderId="1" xfId="0" applyFont="1" applyBorder="1" applyAlignment="1"/>
    <xf numFmtId="0" fontId="0" fillId="0" borderId="1" xfId="0" quotePrefix="1" applyFont="1" applyBorder="1" applyAlignment="1"/>
    <xf numFmtId="0" fontId="3" fillId="0" borderId="1" xfId="1" quotePrefix="1" applyFont="1" applyBorder="1" applyAlignment="1"/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8" fillId="0" borderId="1" xfId="0" applyFont="1" applyBorder="1" applyAlignment="1">
      <alignment wrapText="1"/>
    </xf>
    <xf numFmtId="0" fontId="0" fillId="0" borderId="1" xfId="0" applyFont="1" applyFill="1" applyBorder="1" applyAlignment="1"/>
    <xf numFmtId="0" fontId="7" fillId="6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7" fillId="7" borderId="1" xfId="0" applyFont="1" applyFill="1" applyBorder="1" applyAlignment="1">
      <alignment vertical="center"/>
    </xf>
    <xf numFmtId="0" fontId="7" fillId="8" borderId="1" xfId="0" applyFont="1" applyFill="1" applyBorder="1" applyAlignment="1">
      <alignment vertical="center"/>
    </xf>
    <xf numFmtId="0" fontId="7" fillId="9" borderId="1" xfId="0" applyFont="1" applyFill="1" applyBorder="1" applyAlignment="1">
      <alignment vertical="center"/>
    </xf>
    <xf numFmtId="0" fontId="8" fillId="0" borderId="1" xfId="0" applyFont="1" applyBorder="1" applyAlignment="1"/>
    <xf numFmtId="0" fontId="7" fillId="11" borderId="1" xfId="0" applyFont="1" applyFill="1" applyBorder="1" applyAlignment="1">
      <alignment vertical="center"/>
    </xf>
    <xf numFmtId="0" fontId="7" fillId="12" borderId="1" xfId="0" applyFont="1" applyFill="1" applyBorder="1" applyAlignment="1">
      <alignment vertical="center"/>
    </xf>
    <xf numFmtId="0" fontId="7" fillId="13" borderId="1" xfId="0" applyFont="1" applyFill="1" applyBorder="1" applyAlignment="1">
      <alignment vertical="center"/>
    </xf>
    <xf numFmtId="0" fontId="7" fillId="14" borderId="1" xfId="0" applyFont="1" applyFill="1" applyBorder="1" applyAlignment="1">
      <alignment vertical="center"/>
    </xf>
    <xf numFmtId="0" fontId="7" fillId="15" borderId="1" xfId="0" applyFont="1" applyFill="1" applyBorder="1" applyAlignment="1">
      <alignment vertical="center"/>
    </xf>
    <xf numFmtId="0" fontId="7" fillId="16" borderId="1" xfId="0" applyFont="1" applyFill="1" applyBorder="1" applyAlignment="1">
      <alignment vertical="center"/>
    </xf>
    <xf numFmtId="0" fontId="7" fillId="10" borderId="1" xfId="0" applyFont="1" applyFill="1" applyBorder="1" applyAlignment="1">
      <alignment vertical="center"/>
    </xf>
    <xf numFmtId="0" fontId="7" fillId="17" borderId="1" xfId="0" applyFont="1" applyFill="1" applyBorder="1" applyAlignment="1">
      <alignment vertical="center"/>
    </xf>
    <xf numFmtId="0" fontId="7" fillId="18" borderId="1" xfId="0" applyFont="1" applyFill="1" applyBorder="1" applyAlignment="1">
      <alignment vertical="center"/>
    </xf>
    <xf numFmtId="0" fontId="7" fillId="19" borderId="1" xfId="0" applyFont="1" applyFill="1" applyBorder="1" applyAlignment="1">
      <alignment vertical="center"/>
    </xf>
    <xf numFmtId="0" fontId="7" fillId="20" borderId="1" xfId="0" applyFont="1" applyFill="1" applyBorder="1" applyAlignment="1">
      <alignment vertical="center"/>
    </xf>
    <xf numFmtId="0" fontId="4" fillId="0" borderId="1" xfId="0" applyFont="1" applyBorder="1" applyAlignment="1">
      <alignment wrapText="1"/>
    </xf>
    <xf numFmtId="0" fontId="3" fillId="0" borderId="1" xfId="1" applyBorder="1"/>
    <xf numFmtId="0" fontId="4" fillId="0" borderId="1" xfId="0" applyFont="1" applyBorder="1" applyAlignment="1">
      <alignment vertical="top" wrapText="1"/>
    </xf>
    <xf numFmtId="0" fontId="5" fillId="0" borderId="1" xfId="1" applyFont="1" applyBorder="1" applyAlignment="1">
      <alignment vertical="top" wrapText="1"/>
    </xf>
    <xf numFmtId="0" fontId="4" fillId="0" borderId="1" xfId="0" applyFont="1" applyBorder="1" applyAlignment="1">
      <alignment horizontal="left" vertical="top" wrapText="1"/>
    </xf>
    <xf numFmtId="0" fontId="5" fillId="0" borderId="1" xfId="1" applyFont="1" applyBorder="1" applyAlignment="1">
      <alignment wrapText="1"/>
    </xf>
    <xf numFmtId="0" fontId="4" fillId="0" borderId="1" xfId="0" applyFont="1" applyFill="1" applyBorder="1" applyAlignment="1">
      <alignment wrapText="1"/>
    </xf>
    <xf numFmtId="0" fontId="3" fillId="0" borderId="1" xfId="1" applyFill="1" applyBorder="1"/>
    <xf numFmtId="0" fontId="3" fillId="40" borderId="1" xfId="1" applyFill="1" applyBorder="1"/>
    <xf numFmtId="0" fontId="1" fillId="0" borderId="0" xfId="0" applyFont="1"/>
    <xf numFmtId="0" fontId="3" fillId="0" borderId="0" xfId="1" applyBorder="1"/>
    <xf numFmtId="0" fontId="3" fillId="40" borderId="0" xfId="1" applyFill="1" applyBorder="1"/>
    <xf numFmtId="0" fontId="7" fillId="24" borderId="1" xfId="0" applyFont="1" applyFill="1" applyBorder="1" applyAlignment="1">
      <alignment vertical="center"/>
    </xf>
    <xf numFmtId="0" fontId="7" fillId="4" borderId="1" xfId="0" applyFont="1" applyFill="1" applyBorder="1" applyAlignment="1">
      <alignment vertical="center"/>
    </xf>
    <xf numFmtId="0" fontId="7" fillId="26" borderId="1" xfId="0" applyFont="1" applyFill="1" applyBorder="1" applyAlignment="1">
      <alignment vertical="center"/>
    </xf>
    <xf numFmtId="0" fontId="7" fillId="29" borderId="1" xfId="0" applyFont="1" applyFill="1" applyBorder="1" applyAlignment="1">
      <alignment vertical="center"/>
    </xf>
    <xf numFmtId="0" fontId="7" fillId="22" borderId="1" xfId="0" applyFont="1" applyFill="1" applyBorder="1" applyAlignment="1">
      <alignment vertical="center"/>
    </xf>
    <xf numFmtId="0" fontId="7" fillId="30" borderId="1" xfId="0" applyFont="1" applyFill="1" applyBorder="1" applyAlignment="1">
      <alignment vertical="center"/>
    </xf>
    <xf numFmtId="0" fontId="9" fillId="0" borderId="0" xfId="0" applyFont="1"/>
    <xf numFmtId="0" fontId="10" fillId="0" borderId="0" xfId="0" applyFont="1"/>
    <xf numFmtId="0" fontId="11" fillId="0" borderId="0" xfId="0" applyFont="1"/>
    <xf numFmtId="0" fontId="1" fillId="39" borderId="1" xfId="0" applyFont="1" applyFill="1" applyBorder="1" applyAlignment="1">
      <alignment horizontal="center"/>
    </xf>
    <xf numFmtId="0" fontId="0" fillId="39" borderId="1" xfId="0" applyFill="1" applyBorder="1" applyAlignment="1">
      <alignment horizontal="center" vertical="center" wrapText="1"/>
    </xf>
    <xf numFmtId="0" fontId="1" fillId="38" borderId="2" xfId="0" applyFont="1" applyFill="1" applyBorder="1" applyAlignment="1">
      <alignment horizontal="center" vertical="center"/>
    </xf>
    <xf numFmtId="0" fontId="1" fillId="38" borderId="3" xfId="0" applyFont="1" applyFill="1" applyBorder="1" applyAlignment="1">
      <alignment horizontal="center" vertical="center"/>
    </xf>
    <xf numFmtId="0" fontId="1" fillId="38" borderId="4" xfId="0" applyFont="1" applyFill="1" applyBorder="1" applyAlignment="1">
      <alignment horizontal="center" vertical="center"/>
    </xf>
    <xf numFmtId="0" fontId="1" fillId="38" borderId="5" xfId="0" applyFont="1" applyFill="1" applyBorder="1" applyAlignment="1">
      <alignment horizontal="center" vertical="center"/>
    </xf>
    <xf numFmtId="0" fontId="1" fillId="38" borderId="6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8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E1E129"/>
      <color rgb="FFB2DB4B"/>
      <color rgb="FF8AF1AA"/>
      <color rgb="FFB3F141"/>
      <color rgb="FFFFFFCC"/>
      <color rgb="FF22AAD6"/>
      <color rgb="FFCCFFFF"/>
      <color rgb="FFC476D4"/>
      <color rgb="FFC461D4"/>
      <color rgb="FFFF4F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9</xdr:row>
          <xdr:rowOff>47625</xdr:rowOff>
        </xdr:from>
        <xdr:to>
          <xdr:col>13</xdr:col>
          <xdr:colOff>647700</xdr:colOff>
          <xdr:row>12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Data JS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olid\Documents\HugeWall\QuickBassRiffs\QuickBassRiff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lper"/>
      <sheetName val="Spread"/>
      <sheetName val="QuickBassRiffs"/>
      <sheetName val="T_DATABASE"/>
    </sheetNames>
    <sheetDataSet>
      <sheetData sheetId="0"/>
      <sheetData sheetId="1" refreshError="1"/>
      <sheetData sheetId="2">
        <row r="1">
          <cell r="F1" t="str">
            <v>Locked</v>
          </cell>
          <cell r="J1" t="str">
            <v>Genre</v>
          </cell>
        </row>
        <row r="2">
          <cell r="J2" t="str">
            <v>Name</v>
          </cell>
        </row>
        <row r="3">
          <cell r="F3" t="str">
            <v>F</v>
          </cell>
          <cell r="J3" t="str">
            <v>J</v>
          </cell>
        </row>
        <row r="4">
          <cell r="F4">
            <v>0</v>
          </cell>
          <cell r="J4" t="str">
            <v>Alternative Rock</v>
          </cell>
        </row>
        <row r="5">
          <cell r="F5">
            <v>0</v>
          </cell>
          <cell r="J5" t="str">
            <v>R&amp;B</v>
          </cell>
        </row>
        <row r="6">
          <cell r="F6">
            <v>1</v>
          </cell>
          <cell r="J6" t="str">
            <v>Disco</v>
          </cell>
        </row>
        <row r="7">
          <cell r="F7">
            <v>0</v>
          </cell>
          <cell r="J7" t="str">
            <v>Rock</v>
          </cell>
        </row>
        <row r="8">
          <cell r="F8">
            <v>1</v>
          </cell>
          <cell r="J8" t="str">
            <v>Alternative Rock</v>
          </cell>
        </row>
        <row r="9">
          <cell r="F9">
            <v>1</v>
          </cell>
          <cell r="J9" t="str">
            <v>Alternative Rock</v>
          </cell>
        </row>
        <row r="10">
          <cell r="F10">
            <v>1</v>
          </cell>
          <cell r="J10" t="str">
            <v>Dance</v>
          </cell>
        </row>
        <row r="11">
          <cell r="F11">
            <v>0</v>
          </cell>
          <cell r="J11" t="str">
            <v>Disco</v>
          </cell>
        </row>
        <row r="12">
          <cell r="F12">
            <v>0</v>
          </cell>
          <cell r="J12" t="str">
            <v>Rock</v>
          </cell>
        </row>
        <row r="13">
          <cell r="F13">
            <v>0</v>
          </cell>
          <cell r="J13" t="str">
            <v>Soul</v>
          </cell>
        </row>
        <row r="14">
          <cell r="F14">
            <v>1</v>
          </cell>
          <cell r="J14" t="str">
            <v>Disco</v>
          </cell>
        </row>
        <row r="15">
          <cell r="F15">
            <v>1</v>
          </cell>
          <cell r="J15" t="str">
            <v>Rock N Roll</v>
          </cell>
        </row>
        <row r="16">
          <cell r="F16">
            <v>0</v>
          </cell>
          <cell r="J16" t="str">
            <v>Alternative Rock</v>
          </cell>
        </row>
        <row r="17">
          <cell r="F17">
            <v>1</v>
          </cell>
          <cell r="J17" t="str">
            <v>Alternative Rock</v>
          </cell>
        </row>
        <row r="18">
          <cell r="F18">
            <v>0</v>
          </cell>
          <cell r="J18" t="str">
            <v>Disco</v>
          </cell>
        </row>
        <row r="19">
          <cell r="F19">
            <v>0</v>
          </cell>
          <cell r="J19" t="str">
            <v>Funk</v>
          </cell>
        </row>
        <row r="20">
          <cell r="F20">
            <v>0</v>
          </cell>
          <cell r="J20" t="str">
            <v>Funk</v>
          </cell>
        </row>
        <row r="21">
          <cell r="F21">
            <v>1</v>
          </cell>
          <cell r="J21" t="str">
            <v>Funk</v>
          </cell>
        </row>
        <row r="22">
          <cell r="F22">
            <v>1</v>
          </cell>
          <cell r="J22" t="str">
            <v>Soul</v>
          </cell>
        </row>
        <row r="23">
          <cell r="F23">
            <v>1</v>
          </cell>
          <cell r="J23" t="str">
            <v>R&amp;B</v>
          </cell>
        </row>
        <row r="24">
          <cell r="F24">
            <v>0</v>
          </cell>
          <cell r="J24" t="str">
            <v>Jazz</v>
          </cell>
        </row>
        <row r="25">
          <cell r="F25">
            <v>1</v>
          </cell>
          <cell r="J25" t="str">
            <v>Rock N Roll</v>
          </cell>
        </row>
        <row r="26">
          <cell r="F26">
            <v>0</v>
          </cell>
          <cell r="J26" t="str">
            <v>Reggae</v>
          </cell>
        </row>
        <row r="27">
          <cell r="F27">
            <v>0</v>
          </cell>
          <cell r="J27" t="str">
            <v>Psychedelic Rock</v>
          </cell>
        </row>
        <row r="28">
          <cell r="F28">
            <v>1</v>
          </cell>
          <cell r="J28" t="str">
            <v>Pop Rock</v>
          </cell>
        </row>
        <row r="29">
          <cell r="F29">
            <v>0</v>
          </cell>
          <cell r="J29" t="str">
            <v>Rock N Roll</v>
          </cell>
        </row>
        <row r="30">
          <cell r="F30">
            <v>1</v>
          </cell>
          <cell r="J30" t="str">
            <v>Rock</v>
          </cell>
        </row>
        <row r="31">
          <cell r="F31">
            <v>1</v>
          </cell>
          <cell r="J31" t="str">
            <v>Pop</v>
          </cell>
        </row>
        <row r="32">
          <cell r="F32">
            <v>0</v>
          </cell>
          <cell r="J32" t="str">
            <v>Disco</v>
          </cell>
        </row>
        <row r="33">
          <cell r="F33">
            <v>0</v>
          </cell>
          <cell r="J33" t="str">
            <v>Pop Rock</v>
          </cell>
        </row>
        <row r="34">
          <cell r="F34">
            <v>0</v>
          </cell>
          <cell r="J34" t="str">
            <v>Funk</v>
          </cell>
        </row>
        <row r="35">
          <cell r="F35">
            <v>0</v>
          </cell>
          <cell r="J35" t="str">
            <v>Pop</v>
          </cell>
        </row>
        <row r="36">
          <cell r="F36">
            <v>0</v>
          </cell>
          <cell r="J36" t="str">
            <v>Alternative Rock</v>
          </cell>
        </row>
        <row r="37">
          <cell r="F37">
            <v>0</v>
          </cell>
          <cell r="J37" t="str">
            <v>Funk</v>
          </cell>
        </row>
        <row r="38">
          <cell r="F38">
            <v>0</v>
          </cell>
          <cell r="J38" t="str">
            <v>Alternative Rock</v>
          </cell>
        </row>
        <row r="39">
          <cell r="F39">
            <v>0</v>
          </cell>
          <cell r="J39" t="str">
            <v>New Wave</v>
          </cell>
        </row>
        <row r="40">
          <cell r="F40">
            <v>0</v>
          </cell>
          <cell r="J40" t="str">
            <v>Pop Rock</v>
          </cell>
        </row>
        <row r="41">
          <cell r="F41">
            <v>0</v>
          </cell>
          <cell r="J41" t="str">
            <v>Rock N Roll</v>
          </cell>
        </row>
        <row r="42">
          <cell r="F42">
            <v>1</v>
          </cell>
          <cell r="J42" t="str">
            <v>Pop</v>
          </cell>
        </row>
        <row r="43">
          <cell r="F43">
            <v>0</v>
          </cell>
          <cell r="J43" t="str">
            <v>Funk</v>
          </cell>
        </row>
        <row r="44">
          <cell r="F44">
            <v>1</v>
          </cell>
          <cell r="J44" t="str">
            <v>Soul</v>
          </cell>
        </row>
        <row r="45">
          <cell r="F45">
            <v>1</v>
          </cell>
          <cell r="J45" t="str">
            <v>Alternative Rock</v>
          </cell>
        </row>
        <row r="46">
          <cell r="F46">
            <v>0</v>
          </cell>
          <cell r="J46" t="str">
            <v>Progressive Rock</v>
          </cell>
        </row>
        <row r="47">
          <cell r="F47">
            <v>1</v>
          </cell>
          <cell r="J47" t="str">
            <v>Heavy Metal</v>
          </cell>
        </row>
        <row r="48">
          <cell r="F48">
            <v>1</v>
          </cell>
          <cell r="J48" t="str">
            <v>Blues</v>
          </cell>
        </row>
        <row r="49">
          <cell r="F49">
            <v>1</v>
          </cell>
          <cell r="J49" t="str">
            <v>Funk</v>
          </cell>
        </row>
        <row r="50">
          <cell r="F50">
            <v>1</v>
          </cell>
          <cell r="J50" t="str">
            <v>Funk</v>
          </cell>
        </row>
        <row r="51">
          <cell r="F51">
            <v>0</v>
          </cell>
          <cell r="J51" t="str">
            <v>R&amp;B</v>
          </cell>
        </row>
        <row r="52">
          <cell r="F52">
            <v>0</v>
          </cell>
          <cell r="J52" t="str">
            <v>Heavy Metal</v>
          </cell>
        </row>
        <row r="53">
          <cell r="F53">
            <v>1</v>
          </cell>
          <cell r="J53" t="str">
            <v>Alternative Rock</v>
          </cell>
        </row>
        <row r="54">
          <cell r="F54">
            <v>0</v>
          </cell>
          <cell r="J54" t="str">
            <v>Hard Rock</v>
          </cell>
        </row>
        <row r="55">
          <cell r="F55">
            <v>1</v>
          </cell>
          <cell r="J55" t="str">
            <v>Alternative Rock</v>
          </cell>
        </row>
        <row r="56">
          <cell r="F56">
            <v>0</v>
          </cell>
          <cell r="J56" t="str">
            <v>Disco</v>
          </cell>
        </row>
        <row r="57">
          <cell r="F57">
            <v>1</v>
          </cell>
          <cell r="J57" t="str">
            <v>Rock</v>
          </cell>
        </row>
        <row r="58">
          <cell r="F58">
            <v>0</v>
          </cell>
          <cell r="J58" t="str">
            <v>Hard Rock</v>
          </cell>
        </row>
        <row r="59">
          <cell r="F59">
            <v>1</v>
          </cell>
          <cell r="J59" t="str">
            <v>Jazz</v>
          </cell>
        </row>
        <row r="60">
          <cell r="F60">
            <v>1</v>
          </cell>
          <cell r="J60" t="str">
            <v>Soul</v>
          </cell>
        </row>
        <row r="61">
          <cell r="F61">
            <v>1</v>
          </cell>
          <cell r="J61" t="str">
            <v>Alternative Rock</v>
          </cell>
        </row>
        <row r="62">
          <cell r="F62">
            <v>0</v>
          </cell>
          <cell r="J62" t="str">
            <v>Pop</v>
          </cell>
        </row>
        <row r="63">
          <cell r="F63">
            <v>0</v>
          </cell>
          <cell r="J63" t="str">
            <v>Soul</v>
          </cell>
        </row>
        <row r="64">
          <cell r="F64">
            <v>0</v>
          </cell>
          <cell r="J64" t="str">
            <v>Hard Rock</v>
          </cell>
        </row>
        <row r="65">
          <cell r="F65">
            <v>0</v>
          </cell>
          <cell r="J65" t="str">
            <v>Progressive Rock</v>
          </cell>
        </row>
        <row r="66">
          <cell r="F66">
            <v>0</v>
          </cell>
          <cell r="J66" t="str">
            <v>Rock</v>
          </cell>
        </row>
        <row r="67">
          <cell r="F67">
            <v>0</v>
          </cell>
          <cell r="J67" t="str">
            <v>Heavy Metal</v>
          </cell>
        </row>
        <row r="68">
          <cell r="F68">
            <v>0</v>
          </cell>
          <cell r="J68" t="str">
            <v>Jazz</v>
          </cell>
        </row>
        <row r="69">
          <cell r="F69">
            <v>1</v>
          </cell>
          <cell r="J69" t="str">
            <v>Heavy Metal</v>
          </cell>
        </row>
        <row r="70">
          <cell r="F70">
            <v>1</v>
          </cell>
          <cell r="J70" t="str">
            <v>Heavy Metal</v>
          </cell>
        </row>
        <row r="71">
          <cell r="F71">
            <v>1</v>
          </cell>
          <cell r="J71" t="str">
            <v>Alternative Rock</v>
          </cell>
        </row>
        <row r="72">
          <cell r="F72">
            <v>0</v>
          </cell>
          <cell r="J72" t="str">
            <v>Alternative Rock</v>
          </cell>
        </row>
        <row r="73">
          <cell r="F73">
            <v>0</v>
          </cell>
          <cell r="J73" t="str">
            <v>Alternative Rock</v>
          </cell>
        </row>
        <row r="74">
          <cell r="F74">
            <v>0</v>
          </cell>
          <cell r="J74" t="str">
            <v>Alternative Rock</v>
          </cell>
        </row>
        <row r="75">
          <cell r="F75">
            <v>1</v>
          </cell>
          <cell r="J75" t="str">
            <v>Funk</v>
          </cell>
        </row>
        <row r="76">
          <cell r="F76">
            <v>0</v>
          </cell>
          <cell r="J76" t="str">
            <v>Alternative Rock</v>
          </cell>
        </row>
        <row r="77">
          <cell r="F77">
            <v>0</v>
          </cell>
          <cell r="J77" t="str">
            <v>Hard Rock</v>
          </cell>
        </row>
        <row r="78">
          <cell r="F78">
            <v>0</v>
          </cell>
          <cell r="J78" t="str">
            <v>R&amp;B</v>
          </cell>
        </row>
        <row r="79">
          <cell r="F79">
            <v>0</v>
          </cell>
          <cell r="J79" t="str">
            <v>Blues</v>
          </cell>
        </row>
        <row r="80">
          <cell r="F80">
            <v>0</v>
          </cell>
          <cell r="J80" t="str">
            <v>Jazz</v>
          </cell>
        </row>
        <row r="81">
          <cell r="F81">
            <v>0</v>
          </cell>
          <cell r="J81" t="str">
            <v>Metal</v>
          </cell>
        </row>
        <row r="82">
          <cell r="F82">
            <v>1</v>
          </cell>
          <cell r="J82" t="str">
            <v>Funk</v>
          </cell>
        </row>
        <row r="83">
          <cell r="F83">
            <v>0</v>
          </cell>
          <cell r="J83" t="str">
            <v>Hard Rock</v>
          </cell>
        </row>
        <row r="84">
          <cell r="F84">
            <v>0</v>
          </cell>
          <cell r="J84" t="str">
            <v>Hard Rock</v>
          </cell>
        </row>
        <row r="85">
          <cell r="F85">
            <v>0</v>
          </cell>
          <cell r="J85" t="str">
            <v>Blues</v>
          </cell>
        </row>
        <row r="86">
          <cell r="F86">
            <v>1</v>
          </cell>
          <cell r="J86" t="str">
            <v>Heavy Metal</v>
          </cell>
        </row>
        <row r="87">
          <cell r="F87">
            <v>1</v>
          </cell>
          <cell r="J87" t="str">
            <v>Alternative Rock</v>
          </cell>
        </row>
        <row r="88">
          <cell r="F88">
            <v>0</v>
          </cell>
          <cell r="J88" t="str">
            <v>Alternative Rock</v>
          </cell>
        </row>
        <row r="89">
          <cell r="F89">
            <v>1</v>
          </cell>
          <cell r="J89" t="str">
            <v>R&amp;B</v>
          </cell>
        </row>
        <row r="90">
          <cell r="F90">
            <v>1</v>
          </cell>
          <cell r="J90" t="str">
            <v>Punk</v>
          </cell>
        </row>
        <row r="91">
          <cell r="F91">
            <v>1</v>
          </cell>
          <cell r="J91" t="str">
            <v>Hard Rock</v>
          </cell>
        </row>
        <row r="92">
          <cell r="F92">
            <v>0</v>
          </cell>
          <cell r="J92" t="str">
            <v>Funk</v>
          </cell>
        </row>
        <row r="93">
          <cell r="F93">
            <v>0</v>
          </cell>
          <cell r="J93" t="str">
            <v>Funk</v>
          </cell>
        </row>
        <row r="94">
          <cell r="F94">
            <v>1</v>
          </cell>
          <cell r="J94" t="str">
            <v>Funk</v>
          </cell>
        </row>
        <row r="95">
          <cell r="F95">
            <v>0</v>
          </cell>
          <cell r="J95" t="str">
            <v>Punk</v>
          </cell>
        </row>
        <row r="96">
          <cell r="F96">
            <v>0</v>
          </cell>
          <cell r="J96" t="str">
            <v>Soul</v>
          </cell>
        </row>
        <row r="97">
          <cell r="F97">
            <v>0</v>
          </cell>
          <cell r="J97" t="str">
            <v>Funk</v>
          </cell>
        </row>
        <row r="98">
          <cell r="F98">
            <v>0</v>
          </cell>
          <cell r="J98" t="str">
            <v>Funk</v>
          </cell>
        </row>
        <row r="99">
          <cell r="F99">
            <v>0</v>
          </cell>
          <cell r="J99" t="str">
            <v>Blues</v>
          </cell>
        </row>
        <row r="100">
          <cell r="F100">
            <v>1</v>
          </cell>
          <cell r="J100" t="str">
            <v>Funk</v>
          </cell>
        </row>
        <row r="101">
          <cell r="F101">
            <v>1</v>
          </cell>
          <cell r="J101" t="str">
            <v>Funk</v>
          </cell>
        </row>
        <row r="102">
          <cell r="F102">
            <v>0</v>
          </cell>
          <cell r="J102" t="str">
            <v>Punk</v>
          </cell>
        </row>
        <row r="103">
          <cell r="F103">
            <v>0</v>
          </cell>
          <cell r="J103" t="str">
            <v>Hard Rock</v>
          </cell>
        </row>
        <row r="104">
          <cell r="F104">
            <v>0</v>
          </cell>
          <cell r="J104" t="str">
            <v>Heavy Metal</v>
          </cell>
        </row>
        <row r="105">
          <cell r="F105">
            <v>1</v>
          </cell>
          <cell r="J105" t="str">
            <v>Disco</v>
          </cell>
        </row>
        <row r="106">
          <cell r="F106">
            <v>0</v>
          </cell>
          <cell r="J106" t="str">
            <v>Disco</v>
          </cell>
        </row>
        <row r="107">
          <cell r="F107">
            <v>0</v>
          </cell>
          <cell r="J107" t="str">
            <v>Jazz</v>
          </cell>
        </row>
        <row r="108">
          <cell r="F108">
            <v>0</v>
          </cell>
          <cell r="J108" t="str">
            <v>Funk</v>
          </cell>
        </row>
        <row r="109">
          <cell r="F109">
            <v>1</v>
          </cell>
          <cell r="J109" t="str">
            <v>New Wave</v>
          </cell>
        </row>
        <row r="110">
          <cell r="F110">
            <v>0</v>
          </cell>
          <cell r="J110" t="str">
            <v>Funk</v>
          </cell>
        </row>
        <row r="111">
          <cell r="F111">
            <v>0</v>
          </cell>
          <cell r="J111" t="str">
            <v>Funk</v>
          </cell>
        </row>
        <row r="112">
          <cell r="F112">
            <v>1</v>
          </cell>
          <cell r="J112" t="str">
            <v>Jazz</v>
          </cell>
        </row>
        <row r="113">
          <cell r="F113">
            <v>0</v>
          </cell>
          <cell r="J113" t="str">
            <v>Disco</v>
          </cell>
        </row>
        <row r="114">
          <cell r="F114">
            <v>1</v>
          </cell>
          <cell r="J114" t="str">
            <v>R&amp;B</v>
          </cell>
        </row>
        <row r="115">
          <cell r="F115">
            <v>1</v>
          </cell>
          <cell r="J115" t="str">
            <v>R&amp;B</v>
          </cell>
        </row>
        <row r="116">
          <cell r="F116">
            <v>1</v>
          </cell>
          <cell r="J116" t="str">
            <v>Funk</v>
          </cell>
        </row>
        <row r="117">
          <cell r="F117">
            <v>0</v>
          </cell>
          <cell r="J117" t="str">
            <v>Pop</v>
          </cell>
        </row>
        <row r="118">
          <cell r="F118">
            <v>1</v>
          </cell>
          <cell r="J118" t="str">
            <v>Soul</v>
          </cell>
        </row>
        <row r="119">
          <cell r="F119">
            <v>0</v>
          </cell>
          <cell r="J119" t="str">
            <v>Heavy Metal</v>
          </cell>
        </row>
        <row r="120">
          <cell r="F120">
            <v>1</v>
          </cell>
          <cell r="J120" t="str">
            <v>Heavy Metal</v>
          </cell>
        </row>
        <row r="121">
          <cell r="F121">
            <v>1</v>
          </cell>
          <cell r="J121" t="str">
            <v>Heavy Metal</v>
          </cell>
        </row>
        <row r="122">
          <cell r="F122">
            <v>1</v>
          </cell>
          <cell r="J122" t="str">
            <v>Metal</v>
          </cell>
        </row>
        <row r="123">
          <cell r="F123">
            <v>0</v>
          </cell>
          <cell r="J123" t="str">
            <v>Heavy Metal</v>
          </cell>
        </row>
        <row r="124">
          <cell r="F124">
            <v>1</v>
          </cell>
          <cell r="J124" t="str">
            <v>Hard Rock</v>
          </cell>
        </row>
        <row r="125">
          <cell r="F125">
            <v>1</v>
          </cell>
          <cell r="J125" t="str">
            <v>Alternative Rock</v>
          </cell>
        </row>
        <row r="126">
          <cell r="F126">
            <v>0</v>
          </cell>
          <cell r="J126" t="str">
            <v>Alternative Rock</v>
          </cell>
        </row>
        <row r="127">
          <cell r="F127">
            <v>0</v>
          </cell>
          <cell r="J127" t="str">
            <v>Rock</v>
          </cell>
        </row>
        <row r="128">
          <cell r="F128">
            <v>1</v>
          </cell>
          <cell r="J128" t="str">
            <v>Country</v>
          </cell>
        </row>
        <row r="129">
          <cell r="F129">
            <v>0</v>
          </cell>
          <cell r="J129" t="str">
            <v>Funk</v>
          </cell>
        </row>
        <row r="130">
          <cell r="F130">
            <v>0</v>
          </cell>
          <cell r="J130" t="str">
            <v>Disco</v>
          </cell>
        </row>
        <row r="131">
          <cell r="F131">
            <v>1</v>
          </cell>
          <cell r="J131" t="str">
            <v>Disco</v>
          </cell>
        </row>
        <row r="132">
          <cell r="F132">
            <v>0</v>
          </cell>
          <cell r="J132" t="str">
            <v>Funk</v>
          </cell>
        </row>
        <row r="133">
          <cell r="F133">
            <v>0</v>
          </cell>
          <cell r="J133" t="str">
            <v>Dance</v>
          </cell>
        </row>
        <row r="134">
          <cell r="F134">
            <v>1</v>
          </cell>
          <cell r="J134" t="str">
            <v>R&amp;B</v>
          </cell>
        </row>
        <row r="135">
          <cell r="F135">
            <v>1</v>
          </cell>
          <cell r="J135" t="str">
            <v>Pop</v>
          </cell>
        </row>
        <row r="136">
          <cell r="F136">
            <v>0</v>
          </cell>
          <cell r="J136" t="str">
            <v>Alternative Rock</v>
          </cell>
        </row>
        <row r="137">
          <cell r="F137">
            <v>1</v>
          </cell>
          <cell r="J137" t="str">
            <v>Hard Rock</v>
          </cell>
        </row>
        <row r="138">
          <cell r="F138">
            <v>1</v>
          </cell>
          <cell r="J138" t="str">
            <v>Alternative Rock</v>
          </cell>
        </row>
        <row r="139">
          <cell r="F139">
            <v>0</v>
          </cell>
          <cell r="J139" t="str">
            <v>Alternative Rock</v>
          </cell>
        </row>
        <row r="140">
          <cell r="F140">
            <v>0</v>
          </cell>
          <cell r="J140" t="str">
            <v>Funk</v>
          </cell>
        </row>
        <row r="141">
          <cell r="F141">
            <v>0</v>
          </cell>
          <cell r="J141" t="str">
            <v>Blues</v>
          </cell>
        </row>
        <row r="142">
          <cell r="F142">
            <v>0</v>
          </cell>
          <cell r="J142" t="str">
            <v>Pop</v>
          </cell>
        </row>
        <row r="143">
          <cell r="F143">
            <v>0</v>
          </cell>
          <cell r="J143" t="str">
            <v>Funk</v>
          </cell>
        </row>
        <row r="144">
          <cell r="F144">
            <v>0</v>
          </cell>
          <cell r="J144" t="str">
            <v>Disco</v>
          </cell>
        </row>
        <row r="145">
          <cell r="F145">
            <v>0</v>
          </cell>
          <cell r="J145" t="str">
            <v>Pop Rock</v>
          </cell>
        </row>
        <row r="146">
          <cell r="F146">
            <v>1</v>
          </cell>
          <cell r="J146" t="str">
            <v>Psychedelic Rock</v>
          </cell>
        </row>
        <row r="147">
          <cell r="F147">
            <v>1</v>
          </cell>
          <cell r="J147" t="str">
            <v>Jazz</v>
          </cell>
        </row>
        <row r="148">
          <cell r="F148">
            <v>0</v>
          </cell>
          <cell r="J148" t="str">
            <v>Dance</v>
          </cell>
        </row>
        <row r="149">
          <cell r="F149">
            <v>0</v>
          </cell>
          <cell r="J149" t="str">
            <v>Funk</v>
          </cell>
        </row>
        <row r="150">
          <cell r="F150">
            <v>1</v>
          </cell>
          <cell r="J150" t="str">
            <v>Disco</v>
          </cell>
        </row>
        <row r="151">
          <cell r="F151">
            <v>1</v>
          </cell>
          <cell r="J151" t="str">
            <v>Disco</v>
          </cell>
        </row>
        <row r="152">
          <cell r="F152">
            <v>0</v>
          </cell>
          <cell r="J152" t="str">
            <v>Heavy Metal</v>
          </cell>
        </row>
        <row r="153">
          <cell r="F153">
            <v>1</v>
          </cell>
          <cell r="J153" t="str">
            <v>Hard Rock</v>
          </cell>
        </row>
        <row r="154">
          <cell r="F154">
            <v>0</v>
          </cell>
          <cell r="J154" t="str">
            <v>Hard Rock</v>
          </cell>
        </row>
        <row r="155">
          <cell r="F155">
            <v>0</v>
          </cell>
          <cell r="J155" t="str">
            <v>Alternative Rock</v>
          </cell>
        </row>
        <row r="156">
          <cell r="F156">
            <v>1</v>
          </cell>
          <cell r="J156" t="str">
            <v>Progressive Rock</v>
          </cell>
        </row>
        <row r="157">
          <cell r="F157">
            <v>1</v>
          </cell>
          <cell r="J157" t="str">
            <v>Pop</v>
          </cell>
        </row>
        <row r="158">
          <cell r="F158">
            <v>0</v>
          </cell>
          <cell r="J158" t="str">
            <v>Reggae</v>
          </cell>
        </row>
        <row r="159">
          <cell r="F159">
            <v>1</v>
          </cell>
          <cell r="J159" t="str">
            <v>Reggae</v>
          </cell>
        </row>
        <row r="160">
          <cell r="F160">
            <v>0</v>
          </cell>
          <cell r="J160" t="str">
            <v>Reggae</v>
          </cell>
        </row>
        <row r="161">
          <cell r="F161">
            <v>1</v>
          </cell>
          <cell r="J161" t="str">
            <v>Metal</v>
          </cell>
        </row>
        <row r="162">
          <cell r="F162">
            <v>1</v>
          </cell>
          <cell r="J162" t="str">
            <v>Reggae</v>
          </cell>
        </row>
        <row r="163">
          <cell r="F163">
            <v>1</v>
          </cell>
          <cell r="J163" t="str">
            <v>Blues</v>
          </cell>
        </row>
        <row r="164">
          <cell r="F164">
            <v>1</v>
          </cell>
          <cell r="J164" t="str">
            <v>New Wave</v>
          </cell>
        </row>
        <row r="165">
          <cell r="F165">
            <v>1</v>
          </cell>
          <cell r="J165" t="str">
            <v>Soul</v>
          </cell>
        </row>
        <row r="166">
          <cell r="F166">
            <v>1</v>
          </cell>
          <cell r="J166" t="str">
            <v>Blues</v>
          </cell>
        </row>
        <row r="167">
          <cell r="F167">
            <v>1</v>
          </cell>
          <cell r="J167" t="str">
            <v>Pop Rock</v>
          </cell>
        </row>
        <row r="168">
          <cell r="F168">
            <v>0</v>
          </cell>
          <cell r="J168" t="str">
            <v>Rock N Roll</v>
          </cell>
        </row>
        <row r="169">
          <cell r="F169">
            <v>0</v>
          </cell>
          <cell r="J169" t="str">
            <v>New Wave</v>
          </cell>
        </row>
        <row r="170">
          <cell r="F170">
            <v>0</v>
          </cell>
          <cell r="J170" t="str">
            <v>Funk</v>
          </cell>
        </row>
        <row r="171">
          <cell r="F171">
            <v>0</v>
          </cell>
          <cell r="J171" t="str">
            <v>Disco</v>
          </cell>
        </row>
        <row r="172">
          <cell r="F172">
            <v>1</v>
          </cell>
          <cell r="J172" t="str">
            <v>Alternative Rock</v>
          </cell>
        </row>
        <row r="173">
          <cell r="F173">
            <v>0</v>
          </cell>
          <cell r="J173" t="str">
            <v>Alternative Rock</v>
          </cell>
        </row>
        <row r="174">
          <cell r="F174">
            <v>1</v>
          </cell>
          <cell r="J174" t="str">
            <v>Funk</v>
          </cell>
        </row>
        <row r="175">
          <cell r="F175">
            <v>0</v>
          </cell>
          <cell r="J175" t="str">
            <v>Disco</v>
          </cell>
        </row>
        <row r="176">
          <cell r="F176">
            <v>1</v>
          </cell>
          <cell r="J176" t="str">
            <v>Dance</v>
          </cell>
        </row>
        <row r="177">
          <cell r="F177">
            <v>1</v>
          </cell>
          <cell r="J177" t="str">
            <v>Funk</v>
          </cell>
        </row>
        <row r="178">
          <cell r="F178">
            <v>0</v>
          </cell>
          <cell r="J178" t="str">
            <v>Funk</v>
          </cell>
        </row>
        <row r="179">
          <cell r="F179">
            <v>1</v>
          </cell>
          <cell r="J179" t="str">
            <v>Rap</v>
          </cell>
        </row>
        <row r="180">
          <cell r="F180">
            <v>1</v>
          </cell>
          <cell r="J180" t="str">
            <v>Dance</v>
          </cell>
        </row>
        <row r="181">
          <cell r="F181">
            <v>0</v>
          </cell>
          <cell r="J181" t="str">
            <v>Alternative Rock</v>
          </cell>
        </row>
        <row r="182">
          <cell r="F182">
            <v>0</v>
          </cell>
          <cell r="J182" t="str">
            <v>Soul</v>
          </cell>
        </row>
        <row r="183">
          <cell r="F183">
            <v>1</v>
          </cell>
          <cell r="J183" t="str">
            <v>Disco</v>
          </cell>
        </row>
        <row r="184">
          <cell r="F184">
            <v>0</v>
          </cell>
          <cell r="J184" t="str">
            <v>Disco</v>
          </cell>
        </row>
        <row r="185">
          <cell r="F185">
            <v>0</v>
          </cell>
          <cell r="J185" t="str">
            <v>Soul</v>
          </cell>
        </row>
        <row r="186">
          <cell r="F186">
            <v>0</v>
          </cell>
          <cell r="J186" t="str">
            <v>Pop</v>
          </cell>
        </row>
        <row r="187">
          <cell r="F187">
            <v>1</v>
          </cell>
          <cell r="J187" t="str">
            <v>Pop Rock</v>
          </cell>
        </row>
        <row r="188">
          <cell r="F188">
            <v>1</v>
          </cell>
          <cell r="J188" t="str">
            <v>Punk</v>
          </cell>
        </row>
        <row r="189">
          <cell r="F189">
            <v>0</v>
          </cell>
          <cell r="J189" t="str">
            <v>Progressive Metal</v>
          </cell>
        </row>
        <row r="190">
          <cell r="F190">
            <v>0</v>
          </cell>
          <cell r="J190" t="str">
            <v>Heavy Metal</v>
          </cell>
        </row>
        <row r="191">
          <cell r="F191">
            <v>1</v>
          </cell>
          <cell r="J191" t="str">
            <v>Punk</v>
          </cell>
        </row>
        <row r="192">
          <cell r="F192">
            <v>1</v>
          </cell>
          <cell r="J192" t="str">
            <v>Alternative Rock</v>
          </cell>
        </row>
        <row r="193">
          <cell r="F193">
            <v>1</v>
          </cell>
          <cell r="J193" t="str">
            <v>Dance</v>
          </cell>
        </row>
        <row r="194">
          <cell r="F194">
            <v>1</v>
          </cell>
          <cell r="J194" t="str">
            <v>Soul</v>
          </cell>
        </row>
        <row r="195">
          <cell r="F195">
            <v>0</v>
          </cell>
          <cell r="J195" t="str">
            <v>Funk</v>
          </cell>
        </row>
        <row r="196">
          <cell r="F196">
            <v>0</v>
          </cell>
          <cell r="J196" t="str">
            <v>Rock</v>
          </cell>
        </row>
        <row r="197">
          <cell r="F197">
            <v>0</v>
          </cell>
          <cell r="J197" t="str">
            <v>R&amp;B</v>
          </cell>
        </row>
        <row r="198">
          <cell r="F198">
            <v>0</v>
          </cell>
          <cell r="J198" t="str">
            <v>Heavy Metal</v>
          </cell>
        </row>
        <row r="199">
          <cell r="F199">
            <v>0</v>
          </cell>
          <cell r="J199" t="str">
            <v>Heavy Metal</v>
          </cell>
        </row>
        <row r="200">
          <cell r="F200">
            <v>0</v>
          </cell>
          <cell r="J200" t="str">
            <v>Alternative Rock</v>
          </cell>
        </row>
        <row r="201">
          <cell r="F201">
            <v>1</v>
          </cell>
          <cell r="J201" t="str">
            <v>Alternative Rock</v>
          </cell>
        </row>
        <row r="202">
          <cell r="F202">
            <v>1</v>
          </cell>
          <cell r="J202" t="str">
            <v>Pop</v>
          </cell>
        </row>
        <row r="203">
          <cell r="F203">
            <v>1</v>
          </cell>
          <cell r="J203" t="str">
            <v>Pop</v>
          </cell>
        </row>
        <row r="204">
          <cell r="F204">
            <v>0</v>
          </cell>
          <cell r="J204" t="str">
            <v>Pop</v>
          </cell>
        </row>
        <row r="205">
          <cell r="F205">
            <v>0</v>
          </cell>
          <cell r="J205" t="str">
            <v>Pop</v>
          </cell>
        </row>
        <row r="206">
          <cell r="F206">
            <v>0</v>
          </cell>
          <cell r="J206" t="str">
            <v>Dance</v>
          </cell>
        </row>
        <row r="207">
          <cell r="F207">
            <v>0</v>
          </cell>
          <cell r="J207" t="str">
            <v>Reggae</v>
          </cell>
        </row>
        <row r="208">
          <cell r="F208">
            <v>0</v>
          </cell>
          <cell r="J208" t="str">
            <v>Pop</v>
          </cell>
        </row>
        <row r="209">
          <cell r="F209">
            <v>0</v>
          </cell>
          <cell r="J209" t="str">
            <v>Rock</v>
          </cell>
        </row>
        <row r="210">
          <cell r="F210">
            <v>1</v>
          </cell>
          <cell r="J210" t="str">
            <v>Pop</v>
          </cell>
        </row>
        <row r="211">
          <cell r="F211">
            <v>0</v>
          </cell>
          <cell r="J211" t="str">
            <v>R&amp;B</v>
          </cell>
        </row>
        <row r="212">
          <cell r="F212">
            <v>0</v>
          </cell>
          <cell r="J212" t="str">
            <v>Pop</v>
          </cell>
        </row>
        <row r="213">
          <cell r="F213">
            <v>1</v>
          </cell>
          <cell r="J213" t="str">
            <v>Alternative Rock</v>
          </cell>
        </row>
        <row r="214">
          <cell r="F214">
            <v>1</v>
          </cell>
          <cell r="J214" t="str">
            <v>Pop</v>
          </cell>
        </row>
        <row r="215">
          <cell r="F215">
            <v>0</v>
          </cell>
          <cell r="J215" t="str">
            <v>Hard Rock</v>
          </cell>
        </row>
        <row r="216">
          <cell r="F216">
            <v>1</v>
          </cell>
          <cell r="J216" t="str">
            <v>Alternative Rock</v>
          </cell>
        </row>
        <row r="217">
          <cell r="F217">
            <v>0</v>
          </cell>
          <cell r="J217" t="str">
            <v>Hard Rock</v>
          </cell>
        </row>
        <row r="218">
          <cell r="F218">
            <v>1</v>
          </cell>
          <cell r="J218" t="str">
            <v>Alternative Rock</v>
          </cell>
        </row>
        <row r="219">
          <cell r="F219">
            <v>0</v>
          </cell>
          <cell r="J219" t="str">
            <v>Alternative Rock</v>
          </cell>
        </row>
        <row r="220">
          <cell r="F220">
            <v>1</v>
          </cell>
          <cell r="J220" t="str">
            <v>Alternative Rock</v>
          </cell>
        </row>
        <row r="221">
          <cell r="F221">
            <v>0</v>
          </cell>
          <cell r="J221" t="str">
            <v>Alternative Rock</v>
          </cell>
        </row>
        <row r="222">
          <cell r="F222">
            <v>1</v>
          </cell>
          <cell r="J222" t="str">
            <v>Alternative Rock</v>
          </cell>
        </row>
        <row r="223">
          <cell r="F223">
            <v>1</v>
          </cell>
          <cell r="J223" t="str">
            <v>Alternative Rock</v>
          </cell>
        </row>
        <row r="224">
          <cell r="F224">
            <v>0</v>
          </cell>
          <cell r="J224" t="str">
            <v>Alternative Rock</v>
          </cell>
        </row>
        <row r="225">
          <cell r="F225">
            <v>0</v>
          </cell>
          <cell r="J225" t="str">
            <v>Alternative Rock</v>
          </cell>
        </row>
        <row r="226">
          <cell r="F226">
            <v>1</v>
          </cell>
          <cell r="J226" t="str">
            <v>Alternative Rock</v>
          </cell>
        </row>
        <row r="227">
          <cell r="F227">
            <v>1</v>
          </cell>
          <cell r="J227" t="str">
            <v>Hard Rock</v>
          </cell>
        </row>
        <row r="228">
          <cell r="F228">
            <v>0</v>
          </cell>
          <cell r="J228" t="str">
            <v>Hard Rock</v>
          </cell>
        </row>
        <row r="229">
          <cell r="F229">
            <v>1</v>
          </cell>
          <cell r="J229" t="str">
            <v>Hard Rock</v>
          </cell>
        </row>
        <row r="230">
          <cell r="F230">
            <v>0</v>
          </cell>
          <cell r="J230" t="str">
            <v>Hard Rock</v>
          </cell>
        </row>
        <row r="231">
          <cell r="F231">
            <v>0</v>
          </cell>
          <cell r="J231" t="str">
            <v>Hard Rock</v>
          </cell>
        </row>
        <row r="232">
          <cell r="F232">
            <v>0</v>
          </cell>
          <cell r="J232" t="str">
            <v>Hard Rock</v>
          </cell>
        </row>
        <row r="233">
          <cell r="F233">
            <v>1</v>
          </cell>
          <cell r="J233" t="str">
            <v>Hard Rock</v>
          </cell>
        </row>
        <row r="234">
          <cell r="F234">
            <v>1</v>
          </cell>
          <cell r="J234" t="str">
            <v>Hard Rock</v>
          </cell>
        </row>
        <row r="235">
          <cell r="F235">
            <v>1</v>
          </cell>
          <cell r="J235" t="str">
            <v>Hard Rock</v>
          </cell>
        </row>
        <row r="236">
          <cell r="F236">
            <v>1</v>
          </cell>
          <cell r="J236" t="str">
            <v>Rock</v>
          </cell>
        </row>
        <row r="237">
          <cell r="F237">
            <v>0</v>
          </cell>
          <cell r="J237" t="str">
            <v>R&amp;B</v>
          </cell>
        </row>
        <row r="238">
          <cell r="F238">
            <v>0</v>
          </cell>
          <cell r="J238" t="str">
            <v>R&amp;B</v>
          </cell>
        </row>
        <row r="239">
          <cell r="F239">
            <v>1</v>
          </cell>
          <cell r="J239" t="str">
            <v>R&amp;B</v>
          </cell>
        </row>
        <row r="240">
          <cell r="F240">
            <v>0</v>
          </cell>
          <cell r="J240" t="str">
            <v>Alternative Rock</v>
          </cell>
        </row>
        <row r="241">
          <cell r="F241">
            <v>1</v>
          </cell>
          <cell r="J241" t="str">
            <v>Alternative Rock</v>
          </cell>
        </row>
        <row r="242">
          <cell r="F242">
            <v>1</v>
          </cell>
          <cell r="J242" t="str">
            <v>Dance</v>
          </cell>
        </row>
        <row r="243">
          <cell r="F243">
            <v>1</v>
          </cell>
          <cell r="J243" t="str">
            <v>Dance</v>
          </cell>
        </row>
        <row r="244">
          <cell r="F244">
            <v>1</v>
          </cell>
          <cell r="J244" t="str">
            <v>Hard Rock</v>
          </cell>
        </row>
        <row r="245">
          <cell r="F245">
            <v>0</v>
          </cell>
          <cell r="J245" t="str">
            <v>Rap</v>
          </cell>
        </row>
        <row r="246">
          <cell r="F246">
            <v>1</v>
          </cell>
          <cell r="J246" t="str">
            <v>Heavy Metal</v>
          </cell>
        </row>
        <row r="247">
          <cell r="F247">
            <v>0</v>
          </cell>
          <cell r="J247" t="str">
            <v>Heavy Metal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tabs.ultimate-guitar.com/tab/avenged_sevenfold/unholy_confessions_tabs_132915" TargetMode="External"/><Relationship Id="rId21" Type="http://schemas.openxmlformats.org/officeDocument/2006/relationships/hyperlink" Target="http://tabs.ultimate-guitar.com/tab/led_zeppelin/kashmir_tabs_104407" TargetMode="External"/><Relationship Id="rId42" Type="http://schemas.openxmlformats.org/officeDocument/2006/relationships/hyperlink" Target="http://tabs.ultimate-guitar.com/tab/santana/smooth_tabs_2111" TargetMode="External"/><Relationship Id="rId63" Type="http://schemas.openxmlformats.org/officeDocument/2006/relationships/hyperlink" Target="http://tabs.ultimate-guitar.com/tab/the_animals/house_of_the_rising_sun_tabs_45131" TargetMode="External"/><Relationship Id="rId84" Type="http://schemas.openxmlformats.org/officeDocument/2006/relationships/hyperlink" Target="http://tabs.ultimate-guitar.com/tab/creedence_clearwater_revival/run_through_the_jungle_tabs_122534" TargetMode="External"/><Relationship Id="rId138" Type="http://schemas.openxmlformats.org/officeDocument/2006/relationships/hyperlink" Target="https://tabs.ultimate-guitar.com/tab/nirvana/the_man_who_sold_the_world_tabs_841950" TargetMode="External"/><Relationship Id="rId159" Type="http://schemas.openxmlformats.org/officeDocument/2006/relationships/hyperlink" Target="https://tabs.ultimate-guitar.com/tab/metallica/the_four_horsemen_tabs_161530" TargetMode="External"/><Relationship Id="rId170" Type="http://schemas.openxmlformats.org/officeDocument/2006/relationships/hyperlink" Target="https://www.songsterr.com/a/wsa/ac-dc-flick-of-the-switch-tab-s8697t1" TargetMode="External"/><Relationship Id="rId191" Type="http://schemas.openxmlformats.org/officeDocument/2006/relationships/hyperlink" Target="https://tabs.ultimate-guitar.com/tab/ed_sheeran/dont_tabs_1670346" TargetMode="External"/><Relationship Id="rId205" Type="http://schemas.openxmlformats.org/officeDocument/2006/relationships/hyperlink" Target="https://tabs.ultimate-guitar.com/tab/avenged_sevenfold/scream_tabs_593207" TargetMode="External"/><Relationship Id="rId226" Type="http://schemas.openxmlformats.org/officeDocument/2006/relationships/hyperlink" Target="https://tabs.ultimate-guitar.com/tab/queen/hammer_to_fall_tabs_272168" TargetMode="External"/><Relationship Id="rId247" Type="http://schemas.openxmlformats.org/officeDocument/2006/relationships/hyperlink" Target="https://tabs.ultimate-guitar.com/tab/the_strokes/reptilia_tabs_151364" TargetMode="External"/><Relationship Id="rId107" Type="http://schemas.openxmlformats.org/officeDocument/2006/relationships/hyperlink" Target="https://tabs.ultimate-guitar.com/tab/rush/yyz_tabs_55096" TargetMode="External"/><Relationship Id="rId11" Type="http://schemas.openxmlformats.org/officeDocument/2006/relationships/hyperlink" Target="http://tabs.ultimate-guitar.com/tab/aerosmith/walk_this_way_tabs_18826" TargetMode="External"/><Relationship Id="rId32" Type="http://schemas.openxmlformats.org/officeDocument/2006/relationships/hyperlink" Target="http://tabs.ultimate-guitar.com/tab/toto/hold_the_line_tabs_377115" TargetMode="External"/><Relationship Id="rId53" Type="http://schemas.openxmlformats.org/officeDocument/2006/relationships/hyperlink" Target="http://tabs.ultimate-guitar.com/tab/dire_straits/money_for_nothing_tabs_205208" TargetMode="External"/><Relationship Id="rId74" Type="http://schemas.openxmlformats.org/officeDocument/2006/relationships/hyperlink" Target="http://tabs.ultimate-guitar.com/tab/kansas/dust_in_the_wind_tabs_72957" TargetMode="External"/><Relationship Id="rId128" Type="http://schemas.openxmlformats.org/officeDocument/2006/relationships/hyperlink" Target="https://tabs.ultimate-guitar.com/tab/fall_out_boy/dance_dance_tabs_268744" TargetMode="External"/><Relationship Id="rId149" Type="http://schemas.openxmlformats.org/officeDocument/2006/relationships/hyperlink" Target="https://tabs.ultimate-guitar.com/tab/dream_theater/constant_motion_tabs_522612" TargetMode="External"/><Relationship Id="rId5" Type="http://schemas.openxmlformats.org/officeDocument/2006/relationships/hyperlink" Target="http://tabs.ultimate-guitar.com/tab/black_sabbath/paranoid_tabs_21813" TargetMode="External"/><Relationship Id="rId95" Type="http://schemas.openxmlformats.org/officeDocument/2006/relationships/hyperlink" Target="http://tabs.ultimate-guitar.com/tab/ozzy_osbourne/crazy_train_tabs_38622" TargetMode="External"/><Relationship Id="rId160" Type="http://schemas.openxmlformats.org/officeDocument/2006/relationships/hyperlink" Target="https://tabs.ultimate-guitar.com/tab/metallica/that_was_just_your_life_tabs_742158" TargetMode="External"/><Relationship Id="rId181" Type="http://schemas.openxmlformats.org/officeDocument/2006/relationships/hyperlink" Target="https://tabs.ultimate-guitar.com/tab/nirvana/heart_shaped_box_tabs_49219" TargetMode="External"/><Relationship Id="rId216" Type="http://schemas.openxmlformats.org/officeDocument/2006/relationships/hyperlink" Target="https://tabs.ultimate-guitar.com/tab/pearl_jam/once_tabs_166177" TargetMode="External"/><Relationship Id="rId237" Type="http://schemas.openxmlformats.org/officeDocument/2006/relationships/hyperlink" Target="https://tabs.ultimate-guitar.com/tab/kiss/black_diamond_tabs_10295" TargetMode="External"/><Relationship Id="rId258" Type="http://schemas.openxmlformats.org/officeDocument/2006/relationships/hyperlink" Target="https://tabs.ultimate-guitar.com/tab/the-blues-brothers/sweet-home-chicago-bass-417349" TargetMode="External"/><Relationship Id="rId22" Type="http://schemas.openxmlformats.org/officeDocument/2006/relationships/hyperlink" Target="http://tabs.ultimate-guitar.com/tab/bon_jovi/wanted_dead_or_alive_tabs_24420" TargetMode="External"/><Relationship Id="rId43" Type="http://schemas.openxmlformats.org/officeDocument/2006/relationships/hyperlink" Target="http://tabs.ultimate-guitar.com/tab/santana/smooth_tabs_2111" TargetMode="External"/><Relationship Id="rId64" Type="http://schemas.openxmlformats.org/officeDocument/2006/relationships/hyperlink" Target="http://tabs.ultimate-guitar.com/tab/jimi_hendrix/purple_haze_tabs_11715" TargetMode="External"/><Relationship Id="rId118" Type="http://schemas.openxmlformats.org/officeDocument/2006/relationships/hyperlink" Target="https://tabs.ultimate-guitar.com/tab/arctic_monkeys/do_i_wanna_know_tabs_1251886" TargetMode="External"/><Relationship Id="rId139" Type="http://schemas.openxmlformats.org/officeDocument/2006/relationships/hyperlink" Target="https://tabs.ultimate-guitar.com/tab/queens_of_the_stone_age/no_one_knows_tabs_37580" TargetMode="External"/><Relationship Id="rId85" Type="http://schemas.openxmlformats.org/officeDocument/2006/relationships/hyperlink" Target="http://tabs.ultimate-guitar.com/tab/the_cult/she_sells_sanctuary_tabs_787268" TargetMode="External"/><Relationship Id="rId150" Type="http://schemas.openxmlformats.org/officeDocument/2006/relationships/hyperlink" Target="https://www.songsterr.com/a/wsa/audioslave-like-a-stone-tab-s1859t0" TargetMode="External"/><Relationship Id="rId171" Type="http://schemas.openxmlformats.org/officeDocument/2006/relationships/hyperlink" Target="https://tabs.ultimate-guitar.com/tab/acdc/the_furor_tabs_757025" TargetMode="External"/><Relationship Id="rId192" Type="http://schemas.openxmlformats.org/officeDocument/2006/relationships/hyperlink" Target="https://tabs.ultimate-guitar.com/tab/linkin_park/points_of_authority_tabs_28068" TargetMode="External"/><Relationship Id="rId206" Type="http://schemas.openxmlformats.org/officeDocument/2006/relationships/hyperlink" Target="https://tabs.ultimate-guitar.com/tab/avenged_sevenfold/almost_easy_tabs_580086" TargetMode="External"/><Relationship Id="rId227" Type="http://schemas.openxmlformats.org/officeDocument/2006/relationships/hyperlink" Target="https://tabs.ultimate-guitar.com/tab/queen/we_will_rock_you_tabs_136085" TargetMode="External"/><Relationship Id="rId248" Type="http://schemas.openxmlformats.org/officeDocument/2006/relationships/hyperlink" Target="https://tabs.ultimate-guitar.com/tab/franz_ferdinand/take_me_out_tabs_106082" TargetMode="External"/><Relationship Id="rId12" Type="http://schemas.openxmlformats.org/officeDocument/2006/relationships/hyperlink" Target="http://tabs.ultimate-guitar.com/tab/blur/song_2_tabs_99059" TargetMode="External"/><Relationship Id="rId33" Type="http://schemas.openxmlformats.org/officeDocument/2006/relationships/hyperlink" Target="http://tabs.ultimate-guitar.com/tab/steppenwolf/born_to_be_wild_tabs_198034" TargetMode="External"/><Relationship Id="rId108" Type="http://schemas.openxmlformats.org/officeDocument/2006/relationships/hyperlink" Target="https://tabs.ultimate-guitar.com/tab/santana/samba_pa_ti_tabs_2121" TargetMode="External"/><Relationship Id="rId129" Type="http://schemas.openxmlformats.org/officeDocument/2006/relationships/hyperlink" Target="https://tabs.ultimate-guitar.com/tab/panic_at_the_disco/victorious_tabs_1770610" TargetMode="External"/><Relationship Id="rId54" Type="http://schemas.openxmlformats.org/officeDocument/2006/relationships/hyperlink" Target="http://tabs.ultimate-guitar.com/tab/guns_n_roses/sweet_child_o_mine_tabs_12657" TargetMode="External"/><Relationship Id="rId75" Type="http://schemas.openxmlformats.org/officeDocument/2006/relationships/hyperlink" Target="http://tabs.ultimate-guitar.com/tab/stevie_ray_vaughan_double_trouble/pride_and_joy_tabs_30829" TargetMode="External"/><Relationship Id="rId96" Type="http://schemas.openxmlformats.org/officeDocument/2006/relationships/hyperlink" Target="http://tabs.ultimate-guitar.com/tab/black_sabbath/iron_man_tabs_21301" TargetMode="External"/><Relationship Id="rId140" Type="http://schemas.openxmlformats.org/officeDocument/2006/relationships/hyperlink" Target="https://tabs.ultimate-guitar.com/tab/radiohead/my_iron_lung_tabs_1214341" TargetMode="External"/><Relationship Id="rId161" Type="http://schemas.openxmlformats.org/officeDocument/2006/relationships/hyperlink" Target="https://tabs.ultimate-guitar.com/tab/metallica/the_judas_kiss_tabs_728659" TargetMode="External"/><Relationship Id="rId182" Type="http://schemas.openxmlformats.org/officeDocument/2006/relationships/hyperlink" Target="https://tabs.ultimate-guitar.com/tab/nirvana/dumb_tabs_49513" TargetMode="External"/><Relationship Id="rId217" Type="http://schemas.openxmlformats.org/officeDocument/2006/relationships/hyperlink" Target="https://tabs.ultimate-guitar.com/tab/pearl_jam/go_tabs_79344" TargetMode="External"/><Relationship Id="rId1" Type="http://schemas.openxmlformats.org/officeDocument/2006/relationships/hyperlink" Target="http://tabs.ultimate-guitar.com/tab/deep_purple/smoke_on_the_water_tabs_57672" TargetMode="External"/><Relationship Id="rId6" Type="http://schemas.openxmlformats.org/officeDocument/2006/relationships/hyperlink" Target="http://tabs.ultimate-guitar.com/tab/acdc/back_in_black_tabs_18902" TargetMode="External"/><Relationship Id="rId212" Type="http://schemas.openxmlformats.org/officeDocument/2006/relationships/hyperlink" Target="https://tabs.ultimate-guitar.com/tab/john_mayer/slow_dancing_in_a_burning_room_tabs_449994" TargetMode="External"/><Relationship Id="rId233" Type="http://schemas.openxmlformats.org/officeDocument/2006/relationships/hyperlink" Target="https://tabs.ultimate-guitar.com/tab/alice_in_chains/lab_monkey_tabs_1251352" TargetMode="External"/><Relationship Id="rId238" Type="http://schemas.openxmlformats.org/officeDocument/2006/relationships/hyperlink" Target="https://tabs.ultimate-guitar.com/tab/kiss/strutter_tabs_276221" TargetMode="External"/><Relationship Id="rId254" Type="http://schemas.openxmlformats.org/officeDocument/2006/relationships/hyperlink" Target="https://tabs.ultimate-guitar.com/tab/the_offspring/the_kids_arent_alright_tabs_5908" TargetMode="External"/><Relationship Id="rId259" Type="http://schemas.openxmlformats.org/officeDocument/2006/relationships/hyperlink" Target="https://tabs.ultimate-guitar.com/tab/red-hot-chili-peppers/cant-stop-bass-1049084" TargetMode="External"/><Relationship Id="rId23" Type="http://schemas.openxmlformats.org/officeDocument/2006/relationships/hyperlink" Target="http://tabs.ultimate-guitar.com/tab/muse/hysteria_tabs_102487" TargetMode="External"/><Relationship Id="rId28" Type="http://schemas.openxmlformats.org/officeDocument/2006/relationships/hyperlink" Target="http://tabs.ultimate-guitar.com/tab/eric_clapton/layla_tabs_162968" TargetMode="External"/><Relationship Id="rId49" Type="http://schemas.openxmlformats.org/officeDocument/2006/relationships/hyperlink" Target="http://tabs.ultimate-guitar.com/tab/pantera/mouth_for_war_tabs_915741" TargetMode="External"/><Relationship Id="rId114" Type="http://schemas.openxmlformats.org/officeDocument/2006/relationships/hyperlink" Target="https://www.songsterr.com/a/wsa/doors-light-my-fire-tab-g-s5400" TargetMode="External"/><Relationship Id="rId119" Type="http://schemas.openxmlformats.org/officeDocument/2006/relationships/hyperlink" Target="https://tabs.ultimate-guitar.com/tab/arctic_monkeys/dancing_shoes_tabs_326771" TargetMode="External"/><Relationship Id="rId44" Type="http://schemas.openxmlformats.org/officeDocument/2006/relationships/hyperlink" Target="http://tabs.ultimate-guitar.com/tab/journey/dont_stop_believin_chords_275297" TargetMode="External"/><Relationship Id="rId60" Type="http://schemas.openxmlformats.org/officeDocument/2006/relationships/hyperlink" Target="http://tabs.ultimate-guitar.com/tab/a-ha/take_on_me_tabs_2402355" TargetMode="External"/><Relationship Id="rId65" Type="http://schemas.openxmlformats.org/officeDocument/2006/relationships/hyperlink" Target="http://tabs.ultimate-guitar.com/tab/7857" TargetMode="External"/><Relationship Id="rId81" Type="http://schemas.openxmlformats.org/officeDocument/2006/relationships/hyperlink" Target="http://tabs.ultimate-guitar.com/tab/muse/supermassive_black_hole_tabs_388216" TargetMode="External"/><Relationship Id="rId86" Type="http://schemas.openxmlformats.org/officeDocument/2006/relationships/hyperlink" Target="http://tabs.ultimate-guitar.com/tab/abba/gimme_gimme_gimme_tabs_102695" TargetMode="External"/><Relationship Id="rId130" Type="http://schemas.openxmlformats.org/officeDocument/2006/relationships/hyperlink" Target="https://tabs.ultimate-guitar.com/tab/paramore/still_into_you_tabs_1230568" TargetMode="External"/><Relationship Id="rId135" Type="http://schemas.openxmlformats.org/officeDocument/2006/relationships/hyperlink" Target="https://tabs.ultimate-guitar.com/tab/royal_blood/out_of_the_black_tabs_1664526" TargetMode="External"/><Relationship Id="rId151" Type="http://schemas.openxmlformats.org/officeDocument/2006/relationships/hyperlink" Target="https://tabs.ultimate-guitar.com/tab/megadeth/holy_wars_the_punishment_due_tabs_711368" TargetMode="External"/><Relationship Id="rId156" Type="http://schemas.openxmlformats.org/officeDocument/2006/relationships/hyperlink" Target="https://tabs.ultimate-guitar.com/tab/metallica/welcome_home_sanitarium_tabs_75014" TargetMode="External"/><Relationship Id="rId177" Type="http://schemas.openxmlformats.org/officeDocument/2006/relationships/hyperlink" Target="https://tabs.ultimate-guitar.com/tab/acdc/beating_around_the_bush_tabs_1801766" TargetMode="External"/><Relationship Id="rId198" Type="http://schemas.openxmlformats.org/officeDocument/2006/relationships/hyperlink" Target="https://tabs.ultimate-guitar.com/tab/system_of_a_down/byob_tabs_181733" TargetMode="External"/><Relationship Id="rId172" Type="http://schemas.openxmlformats.org/officeDocument/2006/relationships/hyperlink" Target="https://tabs.ultimate-guitar.com/tab/acdc/stand_up_tabs_277657" TargetMode="External"/><Relationship Id="rId193" Type="http://schemas.openxmlformats.org/officeDocument/2006/relationships/hyperlink" Target="https://www.songsterr.com/a/wsa/linkin-park-dont-stay-tab-s11964t0" TargetMode="External"/><Relationship Id="rId202" Type="http://schemas.openxmlformats.org/officeDocument/2006/relationships/hyperlink" Target="https://tabs.ultimate-guitar.com/tab/snow_patrol/chasing_cars_tabs_349718" TargetMode="External"/><Relationship Id="rId207" Type="http://schemas.openxmlformats.org/officeDocument/2006/relationships/hyperlink" Target="https://tabs.ultimate-guitar.com/tab/john_mayer/city_love_tabs_42723" TargetMode="External"/><Relationship Id="rId223" Type="http://schemas.openxmlformats.org/officeDocument/2006/relationships/hyperlink" Target="https://tabs.ultimate-guitar.com/tab/arctic_monkeys/knee_socks_tabs_1473317" TargetMode="External"/><Relationship Id="rId228" Type="http://schemas.openxmlformats.org/officeDocument/2006/relationships/hyperlink" Target="https://tabs.ultimate-guitar.com/tab/queen/bohemian_rhapsody_tabs_36759" TargetMode="External"/><Relationship Id="rId244" Type="http://schemas.openxmlformats.org/officeDocument/2006/relationships/hyperlink" Target="https://tabs.ultimate-guitar.com/tab/buddy_holly/words_of_love_tabs_991362" TargetMode="External"/><Relationship Id="rId249" Type="http://schemas.openxmlformats.org/officeDocument/2006/relationships/hyperlink" Target="https://tabs.ultimate-guitar.com/tab/radiohead/high_and_dry_chords_1067552" TargetMode="External"/><Relationship Id="rId13" Type="http://schemas.openxmlformats.org/officeDocument/2006/relationships/hyperlink" Target="http://tabs.ultimate-guitar.com/tab/nirvana/come_as_you_are_tabs_47319" TargetMode="External"/><Relationship Id="rId18" Type="http://schemas.openxmlformats.org/officeDocument/2006/relationships/hyperlink" Target="http://tabs.ultimate-guitar.com/tab/muse/plug_in_baby_tabs_23691" TargetMode="External"/><Relationship Id="rId39" Type="http://schemas.openxmlformats.org/officeDocument/2006/relationships/hyperlink" Target="http://tabs.ultimate-guitar.com/tab/eric_clapton/cocaine_tabs_213446" TargetMode="External"/><Relationship Id="rId109" Type="http://schemas.openxmlformats.org/officeDocument/2006/relationships/hyperlink" Target="https://tabs.ultimate-guitar.com/tab/dick_dale/misirlou_tabs_93843" TargetMode="External"/><Relationship Id="rId34" Type="http://schemas.openxmlformats.org/officeDocument/2006/relationships/hyperlink" Target="http://tabs.ultimate-guitar.com/tab/van_halen/jump_tabs_124525" TargetMode="External"/><Relationship Id="rId50" Type="http://schemas.openxmlformats.org/officeDocument/2006/relationships/hyperlink" Target="http://tabs.ultimate-guitar.com/tab/alice_in_chains/man_in_the_box_tabs_55850" TargetMode="External"/><Relationship Id="rId55" Type="http://schemas.openxmlformats.org/officeDocument/2006/relationships/hyperlink" Target="http://tabs.ultimate-guitar.com/tab/lynyrd_skynyrd/sweet_home_alabama_tabs_1071268" TargetMode="External"/><Relationship Id="rId76" Type="http://schemas.openxmlformats.org/officeDocument/2006/relationships/hyperlink" Target="http://tabs.ultimate-guitar.com/tab/pat_benatar/hit_me_with_your_best_shot_tabs_614563" TargetMode="External"/><Relationship Id="rId97" Type="http://schemas.openxmlformats.org/officeDocument/2006/relationships/hyperlink" Target="http://tabs.ultimate-guitar.com/tab/acdc/thunderstruck_tabs_47698" TargetMode="External"/><Relationship Id="rId104" Type="http://schemas.openxmlformats.org/officeDocument/2006/relationships/hyperlink" Target="https://tabs.ultimate-guitar.com/tab/metallica/nothing_else_matters_tabs_8519" TargetMode="External"/><Relationship Id="rId120" Type="http://schemas.openxmlformats.org/officeDocument/2006/relationships/hyperlink" Target="https://tabs.ultimate-guitar.com/tab/foo_fighters/all_my_life_tabs_35848" TargetMode="External"/><Relationship Id="rId125" Type="http://schemas.openxmlformats.org/officeDocument/2006/relationships/hyperlink" Target="https://tabs.ultimate-guitar.com/tab/black_sabbath/electric_funeral_tabs_24456" TargetMode="External"/><Relationship Id="rId141" Type="http://schemas.openxmlformats.org/officeDocument/2006/relationships/hyperlink" Target="https://tabs.ultimate-guitar.com/tab/linkin_park/papercut_tabs_9250" TargetMode="External"/><Relationship Id="rId146" Type="http://schemas.openxmlformats.org/officeDocument/2006/relationships/hyperlink" Target="https://tabs.ultimate-guitar.com/tab/rush/the_spirit_of_radio_tabs_55094" TargetMode="External"/><Relationship Id="rId167" Type="http://schemas.openxmlformats.org/officeDocument/2006/relationships/hyperlink" Target="https://tabs.ultimate-guitar.com/tab/metallica/sad_but_true_tabs_140973" TargetMode="External"/><Relationship Id="rId188" Type="http://schemas.openxmlformats.org/officeDocument/2006/relationships/hyperlink" Target="https://tabs.ultimate-guitar.com/tab/oasis/supersonic_tabs_89069" TargetMode="External"/><Relationship Id="rId7" Type="http://schemas.openxmlformats.org/officeDocument/2006/relationships/hyperlink" Target="http://tabs.ultimate-guitar.com/tab/the_white_stripes/seven_nation_army_tabs_55331" TargetMode="External"/><Relationship Id="rId71" Type="http://schemas.openxmlformats.org/officeDocument/2006/relationships/hyperlink" Target="http://tabs.ultimate-guitar.com/tab/lenny_kravitz/are_you_gonna_go_my_way_tabs_10141" TargetMode="External"/><Relationship Id="rId92" Type="http://schemas.openxmlformats.org/officeDocument/2006/relationships/hyperlink" Target="http://tabs.ultimate-guitar.com/tab/pearl_jam/even_flow_tabs_546491" TargetMode="External"/><Relationship Id="rId162" Type="http://schemas.openxmlformats.org/officeDocument/2006/relationships/hyperlink" Target="https://tabs.ultimate-guitar.com/tab/metallica/battery_tabs_54418" TargetMode="External"/><Relationship Id="rId183" Type="http://schemas.openxmlformats.org/officeDocument/2006/relationships/hyperlink" Target="https://tabs.ultimate-guitar.com/tab/nirvana/in_bloom_tabs_93559" TargetMode="External"/><Relationship Id="rId213" Type="http://schemas.openxmlformats.org/officeDocument/2006/relationships/hyperlink" Target="https://tabs.ultimate-guitar.com/tab/the_white_stripes/hello_operator_tabs_281652" TargetMode="External"/><Relationship Id="rId218" Type="http://schemas.openxmlformats.org/officeDocument/2006/relationships/hyperlink" Target="https://tabs.ultimate-guitar.com/tab/pearl_jam/daughter_tabs_129419" TargetMode="External"/><Relationship Id="rId234" Type="http://schemas.openxmlformats.org/officeDocument/2006/relationships/hyperlink" Target="https://tabs.ultimate-guitar.com/tab/alice_in_chains/dirt_tabs_18721" TargetMode="External"/><Relationship Id="rId239" Type="http://schemas.openxmlformats.org/officeDocument/2006/relationships/hyperlink" Target="https://tabs.ultimate-guitar.com/tab/kiss/firehouse_tabs_122923" TargetMode="External"/><Relationship Id="rId2" Type="http://schemas.openxmlformats.org/officeDocument/2006/relationships/hyperlink" Target="http://tabs.ultimate-guitar.com/tab/the_rolling_stones/i_cant_get_no_satisfaction_tabs_157608" TargetMode="External"/><Relationship Id="rId29" Type="http://schemas.openxmlformats.org/officeDocument/2006/relationships/hyperlink" Target="http://tabs.ultimate-guitar.com/tab/zz_top/la_grange_tabs_172497" TargetMode="External"/><Relationship Id="rId250" Type="http://schemas.openxmlformats.org/officeDocument/2006/relationships/hyperlink" Target="https://tabs.ultimate-guitar.com/tab/foo_fighters/let_it_die_tabs_582463" TargetMode="External"/><Relationship Id="rId255" Type="http://schemas.openxmlformats.org/officeDocument/2006/relationships/hyperlink" Target="https://tabs.ultimate-guitar.com/tab/muse/pressure_tabs_2480106" TargetMode="External"/><Relationship Id="rId24" Type="http://schemas.openxmlformats.org/officeDocument/2006/relationships/hyperlink" Target="http://tabs.ultimate-guitar.com/tab/the_beatles/day_tripper_tabs_21611" TargetMode="External"/><Relationship Id="rId40" Type="http://schemas.openxmlformats.org/officeDocument/2006/relationships/hyperlink" Target="http://tabs.ultimate-guitar.com/tab/scorpions/rock_you_like_a_hurricane_tabs_1706879" TargetMode="External"/><Relationship Id="rId45" Type="http://schemas.openxmlformats.org/officeDocument/2006/relationships/hyperlink" Target="http://tabs.ultimate-guitar.com/tab/elvis_presley/jailhouse_rock_tabs_41821" TargetMode="External"/><Relationship Id="rId66" Type="http://schemas.openxmlformats.org/officeDocument/2006/relationships/hyperlink" Target="http://tabs.ultimate-guitar.com/tab/46278" TargetMode="External"/><Relationship Id="rId87" Type="http://schemas.openxmlformats.org/officeDocument/2006/relationships/hyperlink" Target="http://tabs.ultimate-guitar.com/tab/red_hot_chili_peppers/californication_tabs_202766" TargetMode="External"/><Relationship Id="rId110" Type="http://schemas.openxmlformats.org/officeDocument/2006/relationships/hyperlink" Target="https://tabs.ultimate-guitar.com/tab/neil_zaza/im_alright_tabs_351613" TargetMode="External"/><Relationship Id="rId115" Type="http://schemas.openxmlformats.org/officeDocument/2006/relationships/hyperlink" Target="https://tabs.ultimate-guitar.com/tab/red_hot_chili_peppers/snow_hey_oh_tabs_360889" TargetMode="External"/><Relationship Id="rId131" Type="http://schemas.openxmlformats.org/officeDocument/2006/relationships/hyperlink" Target="https://tabs.ultimate-guitar.com/tab/green_day/american_idiot_tabs_130391" TargetMode="External"/><Relationship Id="rId136" Type="http://schemas.openxmlformats.org/officeDocument/2006/relationships/hyperlink" Target="https://tabs.ultimate-guitar.com/tab/cream/sunshine_of_your_love_tabs_30878" TargetMode="External"/><Relationship Id="rId157" Type="http://schemas.openxmlformats.org/officeDocument/2006/relationships/hyperlink" Target="https://tabs.ultimate-guitar.com/tab/metallica/harvester_of_sorrow_tabs_53538" TargetMode="External"/><Relationship Id="rId178" Type="http://schemas.openxmlformats.org/officeDocument/2006/relationships/hyperlink" Target="https://tabs.ultimate-guitar.com/tab/acdc/jailbreak_tabs_199710" TargetMode="External"/><Relationship Id="rId61" Type="http://schemas.openxmlformats.org/officeDocument/2006/relationships/hyperlink" Target="http://tabs.ultimate-guitar.com/tab/red_hot_chili_peppers/scar_tissue_tabs_20691" TargetMode="External"/><Relationship Id="rId82" Type="http://schemas.openxmlformats.org/officeDocument/2006/relationships/hyperlink" Target="http://tabs.ultimate-guitar.com/tab/ted_nugent/cat_scratch_fever_tabs_86221" TargetMode="External"/><Relationship Id="rId152" Type="http://schemas.openxmlformats.org/officeDocument/2006/relationships/hyperlink" Target="https://tabs.ultimate-guitar.com/tab/the_chainsmokers/something_just_like_this_chords_1953009" TargetMode="External"/><Relationship Id="rId173" Type="http://schemas.openxmlformats.org/officeDocument/2006/relationships/hyperlink" Target="https://tabs.ultimate-guitar.com/tab/acdc/the_razors_edge_tabs_59366" TargetMode="External"/><Relationship Id="rId194" Type="http://schemas.openxmlformats.org/officeDocument/2006/relationships/hyperlink" Target="https://tabs.ultimate-guitar.com/tab/linkin_park/lying_from_you_tabs_110172" TargetMode="External"/><Relationship Id="rId199" Type="http://schemas.openxmlformats.org/officeDocument/2006/relationships/hyperlink" Target="https://tabs.ultimate-guitar.com/tab/megadeth/hangar_18_tabs_328259" TargetMode="External"/><Relationship Id="rId203" Type="http://schemas.openxmlformats.org/officeDocument/2006/relationships/hyperlink" Target="https://tabs.ultimate-guitar.com/tab/marilyn_manson/beautiful_people_tabs_35085" TargetMode="External"/><Relationship Id="rId208" Type="http://schemas.openxmlformats.org/officeDocument/2006/relationships/hyperlink" Target="https://tabs.ultimate-guitar.com/tab/john_mayer/gravity_tabs_262224" TargetMode="External"/><Relationship Id="rId229" Type="http://schemas.openxmlformats.org/officeDocument/2006/relationships/hyperlink" Target="https://tabs.ultimate-guitar.com/tab/alice_in_chains/lesson_learned_tabs_878788" TargetMode="External"/><Relationship Id="rId19" Type="http://schemas.openxmlformats.org/officeDocument/2006/relationships/hyperlink" Target="http://tabs.ultimate-guitar.com/tab/red_hot_chili_peppers/under_the_bridge_tabs_3832" TargetMode="External"/><Relationship Id="rId224" Type="http://schemas.openxmlformats.org/officeDocument/2006/relationships/hyperlink" Target="https://tabs.ultimate-guitar.com/tab/pantera/by_demons_be_driven_tabs_78929" TargetMode="External"/><Relationship Id="rId240" Type="http://schemas.openxmlformats.org/officeDocument/2006/relationships/hyperlink" Target="https://tabs.ultimate-guitar.com/tab/stevie_ray_vaughan_double_trouble/testify_tabs_35400" TargetMode="External"/><Relationship Id="rId245" Type="http://schemas.openxmlformats.org/officeDocument/2006/relationships/hyperlink" Target="https://tabs.ultimate-guitar.com/tab/the_rolling_stones/gimme_shelter_tabs_3973" TargetMode="External"/><Relationship Id="rId14" Type="http://schemas.openxmlformats.org/officeDocument/2006/relationships/hyperlink" Target="http://tabs.ultimate-guitar.com/tab/david_bowie/rebel_rebel_tabs_97952" TargetMode="External"/><Relationship Id="rId30" Type="http://schemas.openxmlformats.org/officeDocument/2006/relationships/hyperlink" Target="http://tabs.ultimate-guitar.com/tab/acdc/you_shook_me_all_night_long_tabs_799392" TargetMode="External"/><Relationship Id="rId35" Type="http://schemas.openxmlformats.org/officeDocument/2006/relationships/hyperlink" Target="http://tabs.ultimate-guitar.com/tab/eric_clapton/wonderful_tonight_tabs_664886" TargetMode="External"/><Relationship Id="rId56" Type="http://schemas.openxmlformats.org/officeDocument/2006/relationships/hyperlink" Target="http://tabs.ultimate-guitar.com/tab/scorpions/still_loving_you_tabs_160055" TargetMode="External"/><Relationship Id="rId77" Type="http://schemas.openxmlformats.org/officeDocument/2006/relationships/hyperlink" Target="http://tabs.ultimate-guitar.com/tab/aerosmith/dream_on_tabs_111083" TargetMode="External"/><Relationship Id="rId100" Type="http://schemas.openxmlformats.org/officeDocument/2006/relationships/hyperlink" Target="https://tabs.ultimate-guitar.com/tab/ritchie_valens/la_bamba_tabs_442995" TargetMode="External"/><Relationship Id="rId105" Type="http://schemas.openxmlformats.org/officeDocument/2006/relationships/hyperlink" Target="https://tabs.ultimate-guitar.com/tab/jethro_tull/aqualung_tabs_193316" TargetMode="External"/><Relationship Id="rId126" Type="http://schemas.openxmlformats.org/officeDocument/2006/relationships/hyperlink" Target="https://tabs.ultimate-guitar.com/tab/pink_floyd/another_brick_in_the_wall_part_2_tabs_79176" TargetMode="External"/><Relationship Id="rId147" Type="http://schemas.openxmlformats.org/officeDocument/2006/relationships/hyperlink" Target="https://tabs.ultimate-guitar.com/tab/van_halen/hot_for_teacher_tabs_189680" TargetMode="External"/><Relationship Id="rId168" Type="http://schemas.openxmlformats.org/officeDocument/2006/relationships/hyperlink" Target="https://tabs.ultimate-guitar.com/tab/acdc/rock_n_roll_train_tabs_726341" TargetMode="External"/><Relationship Id="rId8" Type="http://schemas.openxmlformats.org/officeDocument/2006/relationships/hyperlink" Target="http://tabs.ultimate-guitar.com/tab/acdc/highway_to_hell_tabs_196860" TargetMode="External"/><Relationship Id="rId51" Type="http://schemas.openxmlformats.org/officeDocument/2006/relationships/hyperlink" Target="http://tabs.ultimate-guitar.com/tab/led_zeppelin/heartbreaker_tabs_116354" TargetMode="External"/><Relationship Id="rId72" Type="http://schemas.openxmlformats.org/officeDocument/2006/relationships/hyperlink" Target="http://tabs.ultimate-guitar.com/tab/roy_orbison/oh_pretty_woman_chords_810517" TargetMode="External"/><Relationship Id="rId93" Type="http://schemas.openxmlformats.org/officeDocument/2006/relationships/hyperlink" Target="http://tabs.ultimate-guitar.com/tab/pearl_jam/alive_tabs_24161" TargetMode="External"/><Relationship Id="rId98" Type="http://schemas.openxmlformats.org/officeDocument/2006/relationships/hyperlink" Target="https://tabs.ultimate-guitar.com/tab/the_police/message_in_a_bottle_tabs_79537" TargetMode="External"/><Relationship Id="rId121" Type="http://schemas.openxmlformats.org/officeDocument/2006/relationships/hyperlink" Target="https://tabs.ultimate-guitar.com/tab/red_hot_chili_peppers/dani_california_tabs_356587" TargetMode="External"/><Relationship Id="rId142" Type="http://schemas.openxmlformats.org/officeDocument/2006/relationships/hyperlink" Target="https://tabs.ultimate-guitar.com/tab/royal_blood/loose_change_bass_1665929" TargetMode="External"/><Relationship Id="rId163" Type="http://schemas.openxmlformats.org/officeDocument/2006/relationships/hyperlink" Target="https://tabs.ultimate-guitar.com/tab/metallica/fuel_tabs_90844" TargetMode="External"/><Relationship Id="rId184" Type="http://schemas.openxmlformats.org/officeDocument/2006/relationships/hyperlink" Target="https://tabs.ultimate-guitar.com/tab/nirvana/lithium_tabs_25788" TargetMode="External"/><Relationship Id="rId189" Type="http://schemas.openxmlformats.org/officeDocument/2006/relationships/hyperlink" Target="https://tabs.ultimate-guitar.com/tab/ed_sheeran/shape_of_you_tabs_1928603" TargetMode="External"/><Relationship Id="rId219" Type="http://schemas.openxmlformats.org/officeDocument/2006/relationships/hyperlink" Target="https://tabs.ultimate-guitar.com/tab/pearl_jam/rearviewmirror_tabs_356614" TargetMode="External"/><Relationship Id="rId3" Type="http://schemas.openxmlformats.org/officeDocument/2006/relationships/hyperlink" Target="http://tabs.ultimate-guitar.com/tab/michael_jackson/beat_it_tabs_35178" TargetMode="External"/><Relationship Id="rId214" Type="http://schemas.openxmlformats.org/officeDocument/2006/relationships/hyperlink" Target="https://tabs.ultimate-guitar.com/tab/the_white_stripes/ball_and_biscuit_tabs_403172" TargetMode="External"/><Relationship Id="rId230" Type="http://schemas.openxmlformats.org/officeDocument/2006/relationships/hyperlink" Target="https://tabs.ultimate-guitar.com/tab/alice_in_chains/again_tabs_155297" TargetMode="External"/><Relationship Id="rId235" Type="http://schemas.openxmlformats.org/officeDocument/2006/relationships/hyperlink" Target="https://tabs.ultimate-guitar.com/tab/alice_in_chains/i_know_something_tabs_155299" TargetMode="External"/><Relationship Id="rId251" Type="http://schemas.openxmlformats.org/officeDocument/2006/relationships/hyperlink" Target="https://tabs.ultimate-guitar.com/tab/radiohead/just_tabs_139010" TargetMode="External"/><Relationship Id="rId256" Type="http://schemas.openxmlformats.org/officeDocument/2006/relationships/hyperlink" Target="https://www.bigbasstabs.com/black_sabbath_bass_tabs/paranoid.html" TargetMode="External"/><Relationship Id="rId25" Type="http://schemas.openxmlformats.org/officeDocument/2006/relationships/hyperlink" Target="http://tabs.ultimate-guitar.com/tab/rainbow/man_on_the_silver_mountain_tabs_733999" TargetMode="External"/><Relationship Id="rId46" Type="http://schemas.openxmlformats.org/officeDocument/2006/relationships/hyperlink" Target="http://tabs.ultimate-guitar.com/tab/incubus/drive_tabs_20820" TargetMode="External"/><Relationship Id="rId67" Type="http://schemas.openxmlformats.org/officeDocument/2006/relationships/hyperlink" Target="http://tabs.ultimate-guitar.com/tab/metallica/fade_to_black_tabs_23218" TargetMode="External"/><Relationship Id="rId116" Type="http://schemas.openxmlformats.org/officeDocument/2006/relationships/hyperlink" Target="https://tabs.ultimate-guitar.com/tab/jerryc/canon_rock_tabs_319905" TargetMode="External"/><Relationship Id="rId137" Type="http://schemas.openxmlformats.org/officeDocument/2006/relationships/hyperlink" Target="https://www.songsterr.com/a/wsa/zz-top-my-heads-in-mississippi-tab-s58828t0" TargetMode="External"/><Relationship Id="rId158" Type="http://schemas.openxmlformats.org/officeDocument/2006/relationships/hyperlink" Target="https://tabs.ultimate-guitar.com/tab/metallica/and_justice_for_all_tabs_202703" TargetMode="External"/><Relationship Id="rId20" Type="http://schemas.openxmlformats.org/officeDocument/2006/relationships/hyperlink" Target="http://www.guitartabsexplorer.com/rage-against-the-machine-Tabs/killing-in-the-name-tab.php" TargetMode="External"/><Relationship Id="rId41" Type="http://schemas.openxmlformats.org/officeDocument/2006/relationships/hyperlink" Target="http://tabs.ultimate-guitar.com/tab/dio/rainbow_in_the_dark_tabs_162743" TargetMode="External"/><Relationship Id="rId62" Type="http://schemas.openxmlformats.org/officeDocument/2006/relationships/hyperlink" Target="http://tabs.ultimate-guitar.com/tab/acdc/hells_bells_tabs_52908" TargetMode="External"/><Relationship Id="rId83" Type="http://schemas.openxmlformats.org/officeDocument/2006/relationships/hyperlink" Target="http://tabs.ultimate-guitar.com/tab/david_bowie/ziggy_stardust_tabs_61266" TargetMode="External"/><Relationship Id="rId88" Type="http://schemas.openxmlformats.org/officeDocument/2006/relationships/hyperlink" Target="http://tabs.ultimate-guitar.com/tab/eagles/hotel_california_tabs_14288" TargetMode="External"/><Relationship Id="rId111" Type="http://schemas.openxmlformats.org/officeDocument/2006/relationships/hyperlink" Target="https://tabs.ultimate-guitar.com/tab/coheed_and_cambria/welcome_home_tabs_197788" TargetMode="External"/><Relationship Id="rId132" Type="http://schemas.openxmlformats.org/officeDocument/2006/relationships/hyperlink" Target="https://tabs.ultimate-guitar.com/tab/u2/until_the_end_of_the_world_tabs_340474" TargetMode="External"/><Relationship Id="rId153" Type="http://schemas.openxmlformats.org/officeDocument/2006/relationships/hyperlink" Target="https://tabs.ultimate-guitar.com/tab/the_smiths/girl_afraid_tabs_1817648" TargetMode="External"/><Relationship Id="rId174" Type="http://schemas.openxmlformats.org/officeDocument/2006/relationships/hyperlink" Target="https://tabs.ultimate-guitar.com/tab/acdc/tnt_tabs_136884" TargetMode="External"/><Relationship Id="rId179" Type="http://schemas.openxmlformats.org/officeDocument/2006/relationships/hyperlink" Target="https://tabs.ultimate-guitar.com/tab/acdc/given_the_dog_a_bone_tabs_161662" TargetMode="External"/><Relationship Id="rId195" Type="http://schemas.openxmlformats.org/officeDocument/2006/relationships/hyperlink" Target="https://tabs.ultimate-guitar.com/tab/linkin_park/what_ive_done_tabs_531286" TargetMode="External"/><Relationship Id="rId209" Type="http://schemas.openxmlformats.org/officeDocument/2006/relationships/hyperlink" Target="https://tabs.ultimate-guitar.com/tab/john_mayer/i_dont_need_no_doctor_tabs_714357" TargetMode="External"/><Relationship Id="rId190" Type="http://schemas.openxmlformats.org/officeDocument/2006/relationships/hyperlink" Target="https://tabs.ultimate-guitar.com/tab/ed_sheeran/thinking_out_loud_tabs_1517140" TargetMode="External"/><Relationship Id="rId204" Type="http://schemas.openxmlformats.org/officeDocument/2006/relationships/hyperlink" Target="https://tabs.ultimate-guitar.com/tab/avenged_sevenfold/welcome_to_the_family_tabs_1020097" TargetMode="External"/><Relationship Id="rId220" Type="http://schemas.openxmlformats.org/officeDocument/2006/relationships/hyperlink" Target="https://tabs.ultimate-guitar.com/tab/pearl_jam/better_man_tabs_160724" TargetMode="External"/><Relationship Id="rId225" Type="http://schemas.openxmlformats.org/officeDocument/2006/relationships/hyperlink" Target="https://tabs.ultimate-guitar.com/tab/van_morrison/brown_eyed_girl_tabs_179799" TargetMode="External"/><Relationship Id="rId241" Type="http://schemas.openxmlformats.org/officeDocument/2006/relationships/hyperlink" Target="https://tabs.ultimate-guitar.com/tab/stevie_ray_vaughan_double_trouble/the_house_is_rockin_tabs_464651" TargetMode="External"/><Relationship Id="rId246" Type="http://schemas.openxmlformats.org/officeDocument/2006/relationships/hyperlink" Target="https://tabs.ultimate-guitar.com/tab/jet/are_you_gonna_be_my_girl_tabs_202618" TargetMode="External"/><Relationship Id="rId15" Type="http://schemas.openxmlformats.org/officeDocument/2006/relationships/hyperlink" Target="http://tabs.ultimate-guitar.com/tab/foo_fighters/everlong_tabs_100106" TargetMode="External"/><Relationship Id="rId36" Type="http://schemas.openxmlformats.org/officeDocument/2006/relationships/hyperlink" Target="http://tabs.ultimate-guitar.com/tab/r_e_m_/one_i_love_tabs_545867" TargetMode="External"/><Relationship Id="rId57" Type="http://schemas.openxmlformats.org/officeDocument/2006/relationships/hyperlink" Target="http://tabs.ultimate-guitar.com/tab/van_halen/aint_talkin_bout_love_tabs_23613" TargetMode="External"/><Relationship Id="rId106" Type="http://schemas.openxmlformats.org/officeDocument/2006/relationships/hyperlink" Target="https://www.youtube.com/watch?v=p32b5nNq1zw" TargetMode="External"/><Relationship Id="rId127" Type="http://schemas.openxmlformats.org/officeDocument/2006/relationships/hyperlink" Target="https://tabs.ultimate-guitar.com/tab/aerosmith/same_old_song_and_dance_tabs_18812" TargetMode="External"/><Relationship Id="rId10" Type="http://schemas.openxmlformats.org/officeDocument/2006/relationships/hyperlink" Target="http://tabs.ultimate-guitar.com/tab/metallica/enter_sandman_tabs_29727" TargetMode="External"/><Relationship Id="rId31" Type="http://schemas.openxmlformats.org/officeDocument/2006/relationships/hyperlink" Target="http://tabs.ultimate-guitar.com/tab/free/all_right_now_tabs_271789" TargetMode="External"/><Relationship Id="rId52" Type="http://schemas.openxmlformats.org/officeDocument/2006/relationships/hyperlink" Target="http://tabs.ultimate-guitar.com/tab/muse/uprising_tabs_876472" TargetMode="External"/><Relationship Id="rId73" Type="http://schemas.openxmlformats.org/officeDocument/2006/relationships/hyperlink" Target="http://tabs.ultimate-guitar.com/tab/mr_big/to_be_with_you_chords_38105" TargetMode="External"/><Relationship Id="rId78" Type="http://schemas.openxmlformats.org/officeDocument/2006/relationships/hyperlink" Target="http://tabs.ultimate-guitar.com/tab/eagles/life_in_the_fast_lane_tabs_354867" TargetMode="External"/><Relationship Id="rId94" Type="http://schemas.openxmlformats.org/officeDocument/2006/relationships/hyperlink" Target="http://tabs.ultimate-guitar.com/tab/rush/tom_sawyer_tabs_55095" TargetMode="External"/><Relationship Id="rId99" Type="http://schemas.openxmlformats.org/officeDocument/2006/relationships/hyperlink" Target="https://tabs.ultimate-guitar.com/tab/led_zeppelin/stairway_to_heaven_tabs_9488" TargetMode="External"/><Relationship Id="rId101" Type="http://schemas.openxmlformats.org/officeDocument/2006/relationships/hyperlink" Target="https://tabs.ultimate-guitar.com/tab/kansas/carry_on_wayward_son_tabs_441987" TargetMode="External"/><Relationship Id="rId122" Type="http://schemas.openxmlformats.org/officeDocument/2006/relationships/hyperlink" Target="https://tabs.ultimate-guitar.com/tab/the_beatles/twist_and_shout_chords_489173" TargetMode="External"/><Relationship Id="rId143" Type="http://schemas.openxmlformats.org/officeDocument/2006/relationships/hyperlink" Target="https://tabs.ultimate-guitar.com/tab/arctic_monkeys/r_u_mine_tabs_1134108" TargetMode="External"/><Relationship Id="rId148" Type="http://schemas.openxmlformats.org/officeDocument/2006/relationships/hyperlink" Target="https://tabs.ultimate-guitar.com/tab/system_of_a_down/chop_suey_tabs_2926" TargetMode="External"/><Relationship Id="rId164" Type="http://schemas.openxmlformats.org/officeDocument/2006/relationships/hyperlink" Target="https://tabs.ultimate-guitar.com/tab/metallica/some_kind_of_monster_tabs_53434" TargetMode="External"/><Relationship Id="rId169" Type="http://schemas.openxmlformats.org/officeDocument/2006/relationships/hyperlink" Target="https://tabs.ultimate-guitar.com/tab/acdc/have_a_drink_on_me_tabs_168695" TargetMode="External"/><Relationship Id="rId185" Type="http://schemas.openxmlformats.org/officeDocument/2006/relationships/hyperlink" Target="https://tabs.ultimate-guitar.com/tab/oasis/cigarettes_and_alcohol_tabs_159141" TargetMode="External"/><Relationship Id="rId4" Type="http://schemas.openxmlformats.org/officeDocument/2006/relationships/hyperlink" Target="http://tabs.ultimate-guitar.com/tab/survivor/eye_of_the_tiger_tabs_50888" TargetMode="External"/><Relationship Id="rId9" Type="http://schemas.openxmlformats.org/officeDocument/2006/relationships/hyperlink" Target="http://tabs.ultimate-guitar.com/tab/queen/another_one_bites_the_dust_tabs_80603" TargetMode="External"/><Relationship Id="rId180" Type="http://schemas.openxmlformats.org/officeDocument/2006/relationships/hyperlink" Target="https://tabs.ultimate-guitar.com/tab/nirvana/all_apologies_tabs_112704" TargetMode="External"/><Relationship Id="rId210" Type="http://schemas.openxmlformats.org/officeDocument/2006/relationships/hyperlink" Target="https://tabs.ultimate-guitar.com/tab/john_mayer/neon_tabs_48164" TargetMode="External"/><Relationship Id="rId215" Type="http://schemas.openxmlformats.org/officeDocument/2006/relationships/hyperlink" Target="https://tabs.ultimate-guitar.com/tab/the_white_stripes/blue_orchid_tabs_178937" TargetMode="External"/><Relationship Id="rId236" Type="http://schemas.openxmlformats.org/officeDocument/2006/relationships/hyperlink" Target="https://tabs.ultimate-guitar.com/tab/alice_in_chains/sunshine_tabs_18745" TargetMode="External"/><Relationship Id="rId257" Type="http://schemas.openxmlformats.org/officeDocument/2006/relationships/hyperlink" Target="https://www.bigbasstabs.com/booker_t_and_the_mgs_bass_tabs/green_onions_ver_3.html" TargetMode="External"/><Relationship Id="rId26" Type="http://schemas.openxmlformats.org/officeDocument/2006/relationships/hyperlink" Target="http://tabs.ultimate-guitar.com/tab/queen/tie_your_mother_down_tabs_4718" TargetMode="External"/><Relationship Id="rId231" Type="http://schemas.openxmlformats.org/officeDocument/2006/relationships/hyperlink" Target="https://tabs.ultimate-guitar.com/tab/alice_in_chains/it_aint_like_that_tabs_159177" TargetMode="External"/><Relationship Id="rId252" Type="http://schemas.openxmlformats.org/officeDocument/2006/relationships/hyperlink" Target="https://tabs.ultimate-guitar.com/tab/radiohead/my_iron_lung_tabs_1214341" TargetMode="External"/><Relationship Id="rId47" Type="http://schemas.openxmlformats.org/officeDocument/2006/relationships/hyperlink" Target="http://tabs.ultimate-guitar.com/tab/joan_jett/i_love_rock_n_roll_tabs_666050" TargetMode="External"/><Relationship Id="rId68" Type="http://schemas.openxmlformats.org/officeDocument/2006/relationships/hyperlink" Target="http://tabs.ultimate-guitar.com/tab/megadeth/symphony_of_destruction_tabs_45204" TargetMode="External"/><Relationship Id="rId89" Type="http://schemas.openxmlformats.org/officeDocument/2006/relationships/hyperlink" Target="http://tabs.ultimate-guitar.com/tab/nirvana/smells_like_teen_spirit_tabs_202727" TargetMode="External"/><Relationship Id="rId112" Type="http://schemas.openxmlformats.org/officeDocument/2006/relationships/hyperlink" Target="https://tabs.ultimate-guitar.com/tab/john_petrucci/glasgow_kiss_tabs_58422" TargetMode="External"/><Relationship Id="rId133" Type="http://schemas.openxmlformats.org/officeDocument/2006/relationships/hyperlink" Target="https://tabs.ultimate-guitar.com/tab/led_zeppelin/moby_dick_tabs_54524" TargetMode="External"/><Relationship Id="rId154" Type="http://schemas.openxmlformats.org/officeDocument/2006/relationships/hyperlink" Target="https://tabs.ultimate-guitar.com/tab/disturbed/guarded_tabs_193415" TargetMode="External"/><Relationship Id="rId175" Type="http://schemas.openxmlformats.org/officeDocument/2006/relationships/hyperlink" Target="https://tabs.ultimate-guitar.com/tab/acdc/let_there_be_rock_tabs_51696" TargetMode="External"/><Relationship Id="rId196" Type="http://schemas.openxmlformats.org/officeDocument/2006/relationships/hyperlink" Target="https://tabs.ultimate-guitar.com/tab/linkin_park/new_divide_tabs_828006" TargetMode="External"/><Relationship Id="rId200" Type="http://schemas.openxmlformats.org/officeDocument/2006/relationships/hyperlink" Target="https://tabs.ultimate-guitar.com/tab/megadeth/peace_sells_tabs_521851" TargetMode="External"/><Relationship Id="rId16" Type="http://schemas.openxmlformats.org/officeDocument/2006/relationships/hyperlink" Target="http://tabs.ultimate-guitar.com/tab/eric_clapton/tears_in_heaven_tabs_16131" TargetMode="External"/><Relationship Id="rId221" Type="http://schemas.openxmlformats.org/officeDocument/2006/relationships/hyperlink" Target="https://tabs.ultimate-guitar.com/tab/arctic_monkeys/when_the_sun_goes_down_tabs_329694" TargetMode="External"/><Relationship Id="rId242" Type="http://schemas.openxmlformats.org/officeDocument/2006/relationships/hyperlink" Target="https://tabs.ultimate-guitar.com/tab/led_zeppelin/the_wanton_song_tabs_689216" TargetMode="External"/><Relationship Id="rId37" Type="http://schemas.openxmlformats.org/officeDocument/2006/relationships/hyperlink" Target="http://tabs.ultimate-guitar.com/tab/michael_jackson/billie_jean_tabs_1481746" TargetMode="External"/><Relationship Id="rId58" Type="http://schemas.openxmlformats.org/officeDocument/2006/relationships/hyperlink" Target="http://tabs.ultimate-guitar.com/tab/the_police/every_breath_you_take_tabs_43141" TargetMode="External"/><Relationship Id="rId79" Type="http://schemas.openxmlformats.org/officeDocument/2006/relationships/hyperlink" Target="https://www.songsterr.com/a/wsa/opeth-bleak-tab-s15099t0" TargetMode="External"/><Relationship Id="rId102" Type="http://schemas.openxmlformats.org/officeDocument/2006/relationships/hyperlink" Target="https://tabs.ultimate-guitar.com/tab/metallica/master_of_puppets_tabs_47673" TargetMode="External"/><Relationship Id="rId123" Type="http://schemas.openxmlformats.org/officeDocument/2006/relationships/hyperlink" Target="https://tabs.ultimate-guitar.com/tab/the_beatles/dizzy_miss_lizzy_tabs_740234" TargetMode="External"/><Relationship Id="rId144" Type="http://schemas.openxmlformats.org/officeDocument/2006/relationships/hyperlink" Target="https://tabs.ultimate-guitar.com/tab/slash/gotten_tabs_942357" TargetMode="External"/><Relationship Id="rId90" Type="http://schemas.openxmlformats.org/officeDocument/2006/relationships/hyperlink" Target="http://tabs.ultimate-guitar.com/tab/guns_n_roses/welcome_to_the_jungle_tabs_577140" TargetMode="External"/><Relationship Id="rId165" Type="http://schemas.openxmlformats.org/officeDocument/2006/relationships/hyperlink" Target="https://www.songsterr.com/a/wsa/metallica-king-nothing-tab-s12147t1" TargetMode="External"/><Relationship Id="rId186" Type="http://schemas.openxmlformats.org/officeDocument/2006/relationships/hyperlink" Target="https://tabs.ultimate-guitar.com/tab/oasis/wonderwall_tabs_165916" TargetMode="External"/><Relationship Id="rId211" Type="http://schemas.openxmlformats.org/officeDocument/2006/relationships/hyperlink" Target="https://tabs.ultimate-guitar.com/tab/john_mayer/who_did_you_think_i_was_tabs_790844" TargetMode="External"/><Relationship Id="rId232" Type="http://schemas.openxmlformats.org/officeDocument/2006/relationships/hyperlink" Target="https://tabs.ultimate-guitar.com/tab/alice_in_chains/put_you_down_tabs_200296" TargetMode="External"/><Relationship Id="rId253" Type="http://schemas.openxmlformats.org/officeDocument/2006/relationships/hyperlink" Target="https://tabs.ultimate-guitar.com/tab/the_offspring/come_out_and_play_tabs_149379" TargetMode="External"/><Relationship Id="rId27" Type="http://schemas.openxmlformats.org/officeDocument/2006/relationships/hyperlink" Target="http://tabs.ultimate-guitar.com/tab/metallica/seek_and_destroy_tabs_24413" TargetMode="External"/><Relationship Id="rId48" Type="http://schemas.openxmlformats.org/officeDocument/2006/relationships/hyperlink" Target="http://tabs.ultimate-guitar.com/tab/slayer/raining_blood_tabs_29266" TargetMode="External"/><Relationship Id="rId69" Type="http://schemas.openxmlformats.org/officeDocument/2006/relationships/hyperlink" Target="http://tabs.ultimate-guitar.com/tab/the_offspring/pretty_fly_for_a_white_guy_tabs_42776" TargetMode="External"/><Relationship Id="rId113" Type="http://schemas.openxmlformats.org/officeDocument/2006/relationships/hyperlink" Target="https://tabs.ultimate-guitar.com/tab/iron_maiden/the_trooper_tabs_71439" TargetMode="External"/><Relationship Id="rId134" Type="http://schemas.openxmlformats.org/officeDocument/2006/relationships/hyperlink" Target="https://tabs.ultimate-guitar.com/tab/rise_against/savior_tabs_746060" TargetMode="External"/><Relationship Id="rId80" Type="http://schemas.openxmlformats.org/officeDocument/2006/relationships/hyperlink" Target="http://tabs.ultimate-guitar.com/tab/jimi_hendrix/foxy_lady_tabs_28416" TargetMode="External"/><Relationship Id="rId155" Type="http://schemas.openxmlformats.org/officeDocument/2006/relationships/hyperlink" Target="https://tabs.ultimate-guitar.com/tab/rammstein/engel_tabs_26284" TargetMode="External"/><Relationship Id="rId176" Type="http://schemas.openxmlformats.org/officeDocument/2006/relationships/hyperlink" Target="https://www.youtube.com/watch?v=mybLzpJPnKY" TargetMode="External"/><Relationship Id="rId197" Type="http://schemas.openxmlformats.org/officeDocument/2006/relationships/hyperlink" Target="https://tabs.ultimate-guitar.com/tab/system_of_a_down/toxicity_tabs_2919" TargetMode="External"/><Relationship Id="rId201" Type="http://schemas.openxmlformats.org/officeDocument/2006/relationships/hyperlink" Target="https://tabs.ultimate-guitar.com/tab/megadeth/mastermind_tabs_163606" TargetMode="External"/><Relationship Id="rId222" Type="http://schemas.openxmlformats.org/officeDocument/2006/relationships/hyperlink" Target="https://tabs.ultimate-guitar.com/tab/arctic_monkeys/fake_tales_of_san_francisco_tabs_267552" TargetMode="External"/><Relationship Id="rId243" Type="http://schemas.openxmlformats.org/officeDocument/2006/relationships/hyperlink" Target="https://tabs.ultimate-guitar.com/tab/led_zeppelin/immigrant_song_tabs_94985" TargetMode="External"/><Relationship Id="rId17" Type="http://schemas.openxmlformats.org/officeDocument/2006/relationships/hyperlink" Target="http://tabs.ultimate-guitar.com/tab/europe/the_final_countdown_tabs_67384" TargetMode="External"/><Relationship Id="rId38" Type="http://schemas.openxmlformats.org/officeDocument/2006/relationships/hyperlink" Target="http://tabs.ultimate-guitar.com/tab/eurythmics/sweet_dreams_are_made_of_this_tabs_1012978" TargetMode="External"/><Relationship Id="rId59" Type="http://schemas.openxmlformats.org/officeDocument/2006/relationships/hyperlink" Target="http://tabs.ultimate-guitar.com/tab/foo_fighters/learn_to_fly_tabs_45213" TargetMode="External"/><Relationship Id="rId103" Type="http://schemas.openxmlformats.org/officeDocument/2006/relationships/hyperlink" Target="https://tabs.ultimate-guitar.com/tab/pantera/cemetery_gates_tabs_156251" TargetMode="External"/><Relationship Id="rId124" Type="http://schemas.openxmlformats.org/officeDocument/2006/relationships/hyperlink" Target="https://tabs.ultimate-guitar.com/tab/the_beatles/come_together_tabs_30081" TargetMode="External"/><Relationship Id="rId70" Type="http://schemas.openxmlformats.org/officeDocument/2006/relationships/hyperlink" Target="http://tabs.ultimate-guitar.com/tab/bob_dylan/knockin_on_heavens_door_chords_66587" TargetMode="External"/><Relationship Id="rId91" Type="http://schemas.openxmlformats.org/officeDocument/2006/relationships/hyperlink" Target="http://tabs.ultimate-guitar.com/tab/red_hot_chili_peppers/give_it_away_tabs_321969" TargetMode="External"/><Relationship Id="rId145" Type="http://schemas.openxmlformats.org/officeDocument/2006/relationships/hyperlink" Target="https://tabs.ultimate-guitar.com/tab/van_halen/panama_tabs_170836" TargetMode="External"/><Relationship Id="rId166" Type="http://schemas.openxmlformats.org/officeDocument/2006/relationships/hyperlink" Target="https://tabs.ultimate-guitar.com/tab/metallica/for_whom_the_bell_tolls_tabs_390313" TargetMode="External"/><Relationship Id="rId187" Type="http://schemas.openxmlformats.org/officeDocument/2006/relationships/hyperlink" Target="https://tabs.ultimate-guitar.com/tab/oasis/dont_look_back_in_anger_tabs_14262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U34"/>
  <sheetViews>
    <sheetView topLeftCell="D1" workbookViewId="0">
      <selection activeCell="N17" sqref="N17"/>
    </sheetView>
  </sheetViews>
  <sheetFormatPr defaultColWidth="8.85546875" defaultRowHeight="15"/>
  <cols>
    <col min="1" max="1" width="6.140625" customWidth="1"/>
    <col min="2" max="2" width="23.42578125" bestFit="1" customWidth="1"/>
    <col min="3" max="3" width="36.140625" bestFit="1" customWidth="1"/>
    <col min="5" max="5" width="15.28515625" customWidth="1"/>
    <col min="6" max="6" width="10.28515625" customWidth="1"/>
    <col min="7" max="7" width="10.28515625" bestFit="1" customWidth="1"/>
    <col min="8" max="8" width="9.7109375" bestFit="1" customWidth="1"/>
    <col min="14" max="14" width="11.5703125" bestFit="1" customWidth="1"/>
    <col min="17" max="17" width="11.7109375" bestFit="1" customWidth="1"/>
    <col min="20" max="20" width="14.7109375" customWidth="1"/>
    <col min="21" max="21" width="27.28515625" customWidth="1"/>
  </cols>
  <sheetData>
    <row r="1" spans="1:21">
      <c r="A1" s="28" t="s">
        <v>9</v>
      </c>
      <c r="B1" s="32"/>
      <c r="C1" s="29"/>
      <c r="E1" s="28" t="s">
        <v>30</v>
      </c>
      <c r="F1" s="32"/>
      <c r="G1" s="33"/>
      <c r="H1" s="34" t="s">
        <v>916</v>
      </c>
      <c r="I1" s="31" t="s">
        <v>917</v>
      </c>
      <c r="J1" s="34" t="s">
        <v>919</v>
      </c>
      <c r="K1" s="34" t="s">
        <v>918</v>
      </c>
      <c r="M1" s="28" t="s">
        <v>1</v>
      </c>
      <c r="N1" s="29"/>
      <c r="S1" s="28" t="s">
        <v>2575</v>
      </c>
      <c r="T1" s="32"/>
      <c r="U1" s="29"/>
    </row>
    <row r="2" spans="1:21">
      <c r="A2" s="2">
        <v>1</v>
      </c>
      <c r="B2" s="2" t="s">
        <v>76</v>
      </c>
      <c r="C2" s="2" t="s">
        <v>606</v>
      </c>
      <c r="E2" s="2" t="s">
        <v>10</v>
      </c>
      <c r="F2" s="2" t="s">
        <v>751</v>
      </c>
      <c r="G2" s="23"/>
      <c r="H2" s="2">
        <f>COUNTIF(QuickGuitarRiffs!K:K, E2)</f>
        <v>90</v>
      </c>
      <c r="I2" s="2">
        <f>COUNTIFS(QuickGuitarRiffs!K:K, E2, QuickGuitarRiffs!G:G, 0)</f>
        <v>41</v>
      </c>
      <c r="J2" s="2">
        <v>21</v>
      </c>
      <c r="K2" s="2">
        <f>I2-J2</f>
        <v>20</v>
      </c>
      <c r="M2" s="2">
        <v>1</v>
      </c>
      <c r="N2" s="2" t="s">
        <v>31</v>
      </c>
      <c r="S2" s="2">
        <v>1</v>
      </c>
      <c r="T2" s="2" t="s">
        <v>76</v>
      </c>
      <c r="U2" s="2" t="s">
        <v>2576</v>
      </c>
    </row>
    <row r="3" spans="1:21">
      <c r="A3" s="2">
        <v>2</v>
      </c>
      <c r="B3" s="2" t="s">
        <v>77</v>
      </c>
      <c r="C3" s="2" t="s">
        <v>607</v>
      </c>
      <c r="E3" s="2" t="s">
        <v>13</v>
      </c>
      <c r="F3" s="2" t="s">
        <v>786</v>
      </c>
      <c r="G3" s="26"/>
      <c r="H3" s="2">
        <f>COUNTIF(QuickGuitarRiffs!K:K, E3)</f>
        <v>127</v>
      </c>
      <c r="I3" s="2">
        <f>COUNTIFS(QuickGuitarRiffs!K:K, E3, QuickGuitarRiffs!G:G, 0)</f>
        <v>56</v>
      </c>
      <c r="J3" s="2">
        <v>21</v>
      </c>
      <c r="K3" s="2">
        <f t="shared" ref="K3:K25" si="0">I3-J3</f>
        <v>35</v>
      </c>
      <c r="M3" s="2">
        <v>2</v>
      </c>
      <c r="N3" s="2" t="s">
        <v>32</v>
      </c>
      <c r="S3" s="2">
        <v>2</v>
      </c>
      <c r="T3" s="2" t="s">
        <v>77</v>
      </c>
      <c r="U3" s="2" t="s">
        <v>2577</v>
      </c>
    </row>
    <row r="4" spans="1:21">
      <c r="A4" s="2">
        <v>3</v>
      </c>
      <c r="B4" s="2" t="s">
        <v>617</v>
      </c>
      <c r="C4" s="2" t="s">
        <v>616</v>
      </c>
      <c r="E4" s="2" t="s">
        <v>17</v>
      </c>
      <c r="F4" s="2" t="s">
        <v>785</v>
      </c>
      <c r="G4" s="25"/>
      <c r="H4" s="2">
        <f>COUNTIF(QuickGuitarRiffs!K:K, E4)</f>
        <v>3</v>
      </c>
      <c r="I4" s="2">
        <f>COUNTIFS(QuickGuitarRiffs!K:K, E4, QuickGuitarRiffs!G:G, 0)</f>
        <v>1</v>
      </c>
      <c r="J4" s="2">
        <v>1</v>
      </c>
      <c r="K4" s="2">
        <f t="shared" si="0"/>
        <v>0</v>
      </c>
      <c r="M4" s="2">
        <v>3</v>
      </c>
      <c r="N4" s="2" t="s">
        <v>33</v>
      </c>
      <c r="S4" s="2">
        <v>3</v>
      </c>
      <c r="T4" s="2" t="s">
        <v>617</v>
      </c>
      <c r="U4" s="2" t="s">
        <v>2578</v>
      </c>
    </row>
    <row r="5" spans="1:21">
      <c r="A5" s="2">
        <v>4</v>
      </c>
      <c r="B5" s="2" t="s">
        <v>621</v>
      </c>
      <c r="C5" s="2" t="s">
        <v>622</v>
      </c>
      <c r="E5" s="2" t="s">
        <v>14</v>
      </c>
      <c r="F5" s="2" t="s">
        <v>745</v>
      </c>
      <c r="G5" s="17"/>
      <c r="H5" s="2">
        <f>COUNTIF(QuickGuitarRiffs!K:K, E5)</f>
        <v>13</v>
      </c>
      <c r="I5" s="2">
        <f>COUNTIFS(QuickGuitarRiffs!K:K, E5, QuickGuitarRiffs!G:G, 0)</f>
        <v>7</v>
      </c>
      <c r="J5" s="2">
        <v>4</v>
      </c>
      <c r="K5" s="2">
        <f t="shared" si="0"/>
        <v>3</v>
      </c>
      <c r="S5" s="2">
        <v>4</v>
      </c>
      <c r="T5" s="2" t="s">
        <v>2579</v>
      </c>
      <c r="U5" s="2" t="s">
        <v>2579</v>
      </c>
    </row>
    <row r="6" spans="1:21">
      <c r="A6" s="2">
        <v>5</v>
      </c>
      <c r="B6" s="2" t="s">
        <v>624</v>
      </c>
      <c r="C6" s="2" t="s">
        <v>625</v>
      </c>
      <c r="E6" s="2" t="s">
        <v>11</v>
      </c>
      <c r="F6" s="2" t="s">
        <v>746</v>
      </c>
      <c r="G6" s="18"/>
      <c r="H6" s="2">
        <f>COUNTIF(QuickGuitarRiffs!K:K, E6)</f>
        <v>27</v>
      </c>
      <c r="I6" s="2">
        <f>COUNTIFS(QuickGuitarRiffs!K:K, E6, QuickGuitarRiffs!G:G, 0)</f>
        <v>14</v>
      </c>
      <c r="J6" s="2">
        <v>6</v>
      </c>
      <c r="K6" s="2">
        <f t="shared" si="0"/>
        <v>8</v>
      </c>
      <c r="M6" s="2"/>
      <c r="N6" s="34" t="s">
        <v>1506</v>
      </c>
      <c r="O6" s="34" t="s">
        <v>1507</v>
      </c>
      <c r="P6" s="34" t="s">
        <v>1507</v>
      </c>
      <c r="Q6" s="34" t="s">
        <v>921</v>
      </c>
    </row>
    <row r="7" spans="1:21">
      <c r="A7" s="10">
        <v>6</v>
      </c>
      <c r="B7" s="10" t="s">
        <v>628</v>
      </c>
      <c r="C7" s="10" t="s">
        <v>629</v>
      </c>
      <c r="E7" s="2" t="s">
        <v>20</v>
      </c>
      <c r="F7" s="2" t="s">
        <v>747</v>
      </c>
      <c r="G7" s="19"/>
      <c r="H7" s="2">
        <f>COUNTIF(QuickGuitarRiffs!K:K, E7)</f>
        <v>1</v>
      </c>
      <c r="I7" s="2">
        <f>COUNTIFS(QuickGuitarRiffs!K:K, E7, QuickGuitarRiffs!G:G, 0)</f>
        <v>1</v>
      </c>
      <c r="J7" s="2">
        <v>1</v>
      </c>
      <c r="K7" s="2">
        <f t="shared" si="0"/>
        <v>0</v>
      </c>
      <c r="M7" s="35" t="s">
        <v>917</v>
      </c>
      <c r="N7" s="2">
        <v>100</v>
      </c>
      <c r="O7" s="2">
        <v>40</v>
      </c>
      <c r="P7" s="2">
        <v>134</v>
      </c>
      <c r="Q7" s="2">
        <f>SUM(N7:P7)</f>
        <v>274</v>
      </c>
    </row>
    <row r="8" spans="1:21">
      <c r="A8" s="10">
        <v>7</v>
      </c>
      <c r="B8" s="10" t="s">
        <v>631</v>
      </c>
      <c r="C8" s="10" t="s">
        <v>632</v>
      </c>
      <c r="E8" s="2" t="s">
        <v>12</v>
      </c>
      <c r="F8" s="2" t="s">
        <v>748</v>
      </c>
      <c r="G8" s="20"/>
      <c r="H8" s="2">
        <f>COUNTIF(QuickGuitarRiffs!K:K, E8)</f>
        <v>4</v>
      </c>
      <c r="I8" s="2">
        <f>COUNTIFS(QuickGuitarRiffs!K:K, E8, QuickGuitarRiffs!G:G, 0)</f>
        <v>2</v>
      </c>
      <c r="J8" s="2">
        <v>2</v>
      </c>
      <c r="K8" s="2">
        <f t="shared" si="0"/>
        <v>0</v>
      </c>
      <c r="M8" s="35" t="s">
        <v>75</v>
      </c>
      <c r="N8" s="2">
        <v>130</v>
      </c>
      <c r="O8" s="2">
        <v>60</v>
      </c>
      <c r="P8" s="2">
        <v>110</v>
      </c>
      <c r="Q8" s="2">
        <f>SUM(N8:P8)</f>
        <v>300</v>
      </c>
    </row>
    <row r="9" spans="1:21">
      <c r="A9" s="10">
        <v>8</v>
      </c>
      <c r="B9" s="10" t="s">
        <v>634</v>
      </c>
      <c r="C9" s="10" t="s">
        <v>635</v>
      </c>
      <c r="E9" s="2" t="s">
        <v>21</v>
      </c>
      <c r="F9" s="2" t="s">
        <v>749</v>
      </c>
      <c r="G9" s="21"/>
      <c r="H9" s="2">
        <f>COUNTIF(QuickGuitarRiffs!K:K, E9)</f>
        <v>21</v>
      </c>
      <c r="I9" s="2">
        <f>COUNTIFS(QuickGuitarRiffs!K:K, E9, QuickGuitarRiffs!G:G, 0)</f>
        <v>10</v>
      </c>
      <c r="J9" s="2">
        <v>3</v>
      </c>
      <c r="K9" s="2">
        <f t="shared" si="0"/>
        <v>7</v>
      </c>
      <c r="M9" s="83"/>
    </row>
    <row r="10" spans="1:21">
      <c r="A10" s="2">
        <v>9</v>
      </c>
      <c r="B10" s="2" t="s">
        <v>826</v>
      </c>
      <c r="C10" s="2" t="s">
        <v>933</v>
      </c>
      <c r="E10" s="2" t="s">
        <v>26</v>
      </c>
      <c r="F10" s="2" t="s">
        <v>74</v>
      </c>
      <c r="G10" s="9"/>
      <c r="H10" s="2">
        <f>COUNTIF(QuickGuitarRiffs!K:K, E10)</f>
        <v>2</v>
      </c>
      <c r="I10" s="2">
        <f>COUNTIFS(QuickGuitarRiffs!K:K, E10, QuickGuitarRiffs!G:G, 0)</f>
        <v>1</v>
      </c>
      <c r="J10" s="2">
        <v>1</v>
      </c>
      <c r="K10" s="2">
        <f t="shared" si="0"/>
        <v>0</v>
      </c>
    </row>
    <row r="11" spans="1:21">
      <c r="A11" s="2">
        <v>10</v>
      </c>
      <c r="B11" s="2" t="s">
        <v>81</v>
      </c>
      <c r="C11" s="2" t="s">
        <v>831</v>
      </c>
      <c r="E11" s="2" t="s">
        <v>22</v>
      </c>
      <c r="F11" s="2" t="s">
        <v>750</v>
      </c>
      <c r="G11" s="22"/>
      <c r="H11" s="2">
        <f>COUNTIF(QuickGuitarRiffs!K:K, E11)</f>
        <v>5</v>
      </c>
      <c r="I11" s="2">
        <f>COUNTIFS(QuickGuitarRiffs!K:K, E11, QuickGuitarRiffs!G:G, 0)</f>
        <v>2</v>
      </c>
      <c r="J11" s="2">
        <v>2</v>
      </c>
      <c r="K11" s="2">
        <f t="shared" si="0"/>
        <v>0</v>
      </c>
    </row>
    <row r="12" spans="1:21">
      <c r="A12" s="2">
        <v>11</v>
      </c>
      <c r="B12" s="2" t="s">
        <v>880</v>
      </c>
      <c r="C12" s="2" t="s">
        <v>881</v>
      </c>
      <c r="E12" s="2" t="s">
        <v>372</v>
      </c>
      <c r="F12" s="2" t="s">
        <v>787</v>
      </c>
      <c r="G12" s="27"/>
      <c r="H12" s="2">
        <f>COUNTIF(QuickGuitarRiffs!K:K, E12)</f>
        <v>11</v>
      </c>
      <c r="I12" s="2">
        <f>COUNTIFS(QuickGuitarRiffs!K:K, E12, QuickGuitarRiffs!G:G, 0)</f>
        <v>6</v>
      </c>
      <c r="J12" s="2">
        <v>6</v>
      </c>
      <c r="K12" s="2">
        <f t="shared" si="0"/>
        <v>0</v>
      </c>
    </row>
    <row r="13" spans="1:21">
      <c r="A13" s="10">
        <v>12</v>
      </c>
      <c r="B13" s="10" t="s">
        <v>887</v>
      </c>
      <c r="C13" s="10" t="s">
        <v>888</v>
      </c>
      <c r="E13" s="2" t="s">
        <v>23</v>
      </c>
      <c r="F13" s="2" t="s">
        <v>739</v>
      </c>
      <c r="G13" s="11"/>
      <c r="H13" s="2">
        <f>COUNTIF(QuickGuitarRiffs!K:K, E13)</f>
        <v>3</v>
      </c>
      <c r="I13" s="2">
        <f>COUNTIFS(QuickGuitarRiffs!K:K, E13, QuickGuitarRiffs!G:G, 0)</f>
        <v>1</v>
      </c>
      <c r="J13" s="2">
        <v>1</v>
      </c>
      <c r="K13" s="2">
        <f t="shared" si="0"/>
        <v>0</v>
      </c>
    </row>
    <row r="14" spans="1:21">
      <c r="A14" s="10">
        <v>13</v>
      </c>
      <c r="B14" s="10" t="s">
        <v>911</v>
      </c>
      <c r="C14" s="10" t="s">
        <v>912</v>
      </c>
      <c r="E14" s="2" t="s">
        <v>24</v>
      </c>
      <c r="F14" s="2" t="s">
        <v>739</v>
      </c>
      <c r="G14" s="11"/>
      <c r="H14" s="2">
        <f>COUNTIF(QuickGuitarRiffs!K:K, E14)</f>
        <v>3</v>
      </c>
      <c r="I14" s="2">
        <f>COUNTIFS(QuickGuitarRiffs!K:K, E14, QuickGuitarRiffs!G:G, 0)</f>
        <v>1</v>
      </c>
      <c r="J14" s="2">
        <v>1</v>
      </c>
      <c r="K14" s="2">
        <f t="shared" si="0"/>
        <v>0</v>
      </c>
    </row>
    <row r="15" spans="1:21">
      <c r="A15" s="10">
        <v>14</v>
      </c>
      <c r="B15" s="10" t="s">
        <v>915</v>
      </c>
      <c r="C15" s="10" t="s">
        <v>915</v>
      </c>
      <c r="E15" s="2" t="s">
        <v>27</v>
      </c>
      <c r="F15" s="2" t="s">
        <v>740</v>
      </c>
      <c r="G15" s="12"/>
      <c r="H15" s="2">
        <f>COUNTIF(QuickGuitarRiffs!K:K, E15)</f>
        <v>18</v>
      </c>
      <c r="I15" s="2">
        <f>COUNTIFS(QuickGuitarRiffs!K:K, E15, QuickGuitarRiffs!G:G, 0)</f>
        <v>8</v>
      </c>
      <c r="J15" s="2">
        <v>5</v>
      </c>
      <c r="K15" s="2">
        <f t="shared" si="0"/>
        <v>3</v>
      </c>
    </row>
    <row r="16" spans="1:21">
      <c r="A16" s="10">
        <v>15</v>
      </c>
      <c r="B16" s="10" t="s">
        <v>1438</v>
      </c>
      <c r="C16" s="10" t="s">
        <v>1438</v>
      </c>
      <c r="E16" s="2" t="s">
        <v>29</v>
      </c>
      <c r="F16" s="2" t="s">
        <v>741</v>
      </c>
      <c r="G16" s="13"/>
      <c r="H16" s="2">
        <f>COUNTIF(QuickGuitarRiffs!K:K, E16)</f>
        <v>11</v>
      </c>
      <c r="I16" s="2">
        <f>COUNTIFS(QuickGuitarRiffs!K:K, E16, QuickGuitarRiffs!G:G, 0)</f>
        <v>5</v>
      </c>
      <c r="J16" s="2">
        <v>2</v>
      </c>
      <c r="K16" s="2">
        <f t="shared" si="0"/>
        <v>3</v>
      </c>
    </row>
    <row r="17" spans="1:11">
      <c r="A17" s="10">
        <v>16</v>
      </c>
      <c r="B17" s="10" t="s">
        <v>1472</v>
      </c>
      <c r="C17" s="10" t="s">
        <v>1473</v>
      </c>
      <c r="E17" s="2" t="s">
        <v>15</v>
      </c>
      <c r="F17" s="2" t="s">
        <v>752</v>
      </c>
      <c r="G17" s="24"/>
      <c r="H17" s="2">
        <f>COUNTIF(QuickGuitarRiffs!K:K, E17)</f>
        <v>85</v>
      </c>
      <c r="I17" s="2">
        <f>COUNTIFS(QuickGuitarRiffs!K:K, E17, QuickGuitarRiffs!G:G, 0)</f>
        <v>38</v>
      </c>
      <c r="J17" s="2">
        <v>16</v>
      </c>
      <c r="K17" s="2">
        <f t="shared" si="0"/>
        <v>22</v>
      </c>
    </row>
    <row r="18" spans="1:11">
      <c r="A18" s="10">
        <v>17</v>
      </c>
      <c r="B18" s="10" t="s">
        <v>1489</v>
      </c>
      <c r="C18" s="10" t="s">
        <v>1489</v>
      </c>
      <c r="E18" s="2" t="s">
        <v>25</v>
      </c>
      <c r="F18" s="2" t="s">
        <v>752</v>
      </c>
      <c r="G18" s="24"/>
      <c r="H18" s="2">
        <f>COUNTIF(QuickGuitarRiffs!K:K, E18)</f>
        <v>2</v>
      </c>
      <c r="I18" s="2">
        <f>COUNTIFS(QuickGuitarRiffs!K:K, E18, QuickGuitarRiffs!G:G, 0)</f>
        <v>1</v>
      </c>
      <c r="J18" s="2">
        <v>1</v>
      </c>
      <c r="K18" s="2">
        <f t="shared" si="0"/>
        <v>0</v>
      </c>
    </row>
    <row r="19" spans="1:11">
      <c r="E19" s="2" t="s">
        <v>16</v>
      </c>
      <c r="F19" s="2" t="s">
        <v>752</v>
      </c>
      <c r="G19" s="24"/>
      <c r="H19" s="2">
        <f>COUNTIF(QuickGuitarRiffs!K:K, E19)</f>
        <v>1</v>
      </c>
      <c r="I19" s="2">
        <f>COUNTIFS(QuickGuitarRiffs!K:K, E19, QuickGuitarRiffs!G:G, 0)</f>
        <v>0</v>
      </c>
      <c r="J19" s="2">
        <v>0</v>
      </c>
      <c r="K19" s="2">
        <f t="shared" si="0"/>
        <v>0</v>
      </c>
    </row>
    <row r="20" spans="1:11">
      <c r="E20" s="2" t="s">
        <v>18</v>
      </c>
      <c r="F20" s="2" t="s">
        <v>742</v>
      </c>
      <c r="G20" s="14"/>
      <c r="H20" s="2">
        <f>COUNTIF(QuickGuitarRiffs!K:K, E20)</f>
        <v>1</v>
      </c>
      <c r="I20" s="2">
        <f>COUNTIFS(QuickGuitarRiffs!K:K, E20, QuickGuitarRiffs!G:G, 0)</f>
        <v>0</v>
      </c>
      <c r="J20" s="2">
        <v>0</v>
      </c>
      <c r="K20" s="2">
        <f t="shared" si="0"/>
        <v>0</v>
      </c>
    </row>
    <row r="21" spans="1:11">
      <c r="E21" s="2" t="s">
        <v>19</v>
      </c>
      <c r="F21" s="2" t="s">
        <v>743</v>
      </c>
      <c r="G21" s="15"/>
      <c r="H21" s="2">
        <f>COUNTIF(QuickGuitarRiffs!K:K, E21)</f>
        <v>16</v>
      </c>
      <c r="I21" s="2">
        <f>COUNTIFS(QuickGuitarRiffs!K:K, E21, QuickGuitarRiffs!G:G, 0)</f>
        <v>8</v>
      </c>
      <c r="J21" s="2">
        <v>4</v>
      </c>
      <c r="K21" s="2">
        <f t="shared" si="0"/>
        <v>4</v>
      </c>
    </row>
    <row r="22" spans="1:11">
      <c r="E22" s="2" t="s">
        <v>28</v>
      </c>
      <c r="F22" s="2" t="s">
        <v>744</v>
      </c>
      <c r="G22" s="16"/>
      <c r="H22" s="2">
        <f>COUNTIF(QuickGuitarRiffs!K:K, E22)</f>
        <v>6</v>
      </c>
      <c r="I22" s="2">
        <f>COUNTIFS(QuickGuitarRiffs!K:K, E22, QuickGuitarRiffs!G:G, 0)</f>
        <v>3</v>
      </c>
      <c r="J22" s="2">
        <v>1</v>
      </c>
      <c r="K22" s="2">
        <f t="shared" si="0"/>
        <v>2</v>
      </c>
    </row>
    <row r="23" spans="1:11">
      <c r="E23" s="10" t="s">
        <v>371</v>
      </c>
      <c r="F23" s="2" t="s">
        <v>744</v>
      </c>
      <c r="G23" s="16"/>
      <c r="H23" s="2">
        <f>COUNTIF(QuickGuitarRiffs!K:K, E23)</f>
        <v>21</v>
      </c>
      <c r="I23" s="2">
        <f>COUNTIFS(QuickGuitarRiffs!K:K, E23, QuickGuitarRiffs!G:G, 0)</f>
        <v>12</v>
      </c>
      <c r="J23" s="2">
        <v>1</v>
      </c>
      <c r="K23" s="2">
        <f t="shared" si="0"/>
        <v>11</v>
      </c>
    </row>
    <row r="24" spans="1:11">
      <c r="E24" s="10" t="s">
        <v>370</v>
      </c>
      <c r="F24" s="2" t="s">
        <v>744</v>
      </c>
      <c r="G24" s="16"/>
      <c r="H24" s="2">
        <f>COUNTIF(QuickGuitarRiffs!K:K, E24)</f>
        <v>10</v>
      </c>
      <c r="I24" s="2">
        <f>COUNTIFS(QuickGuitarRiffs!K:K, E24, QuickGuitarRiffs!G:G, 0)</f>
        <v>3</v>
      </c>
      <c r="J24" s="2">
        <v>0</v>
      </c>
      <c r="K24" s="2">
        <f t="shared" si="0"/>
        <v>3</v>
      </c>
    </row>
    <row r="25" spans="1:11">
      <c r="E25" s="10" t="s">
        <v>373</v>
      </c>
      <c r="F25" s="2" t="s">
        <v>744</v>
      </c>
      <c r="G25" s="16"/>
      <c r="H25" s="2">
        <f>COUNTIF(QuickGuitarRiffs!K:K, E25)</f>
        <v>1</v>
      </c>
      <c r="I25" s="2">
        <f>COUNTIFS(QuickGuitarRiffs!K:K, E25, QuickGuitarRiffs!G:G, 0)</f>
        <v>0</v>
      </c>
      <c r="J25" s="2">
        <v>0</v>
      </c>
      <c r="K25" s="2">
        <f t="shared" si="0"/>
        <v>0</v>
      </c>
    </row>
    <row r="26" spans="1:11">
      <c r="E26" s="10" t="s">
        <v>1253</v>
      </c>
      <c r="F26" s="2" t="s">
        <v>744</v>
      </c>
      <c r="G26" s="16"/>
      <c r="H26" s="2">
        <f>COUNTIF(QuickGuitarRiffs!K:K, E26)</f>
        <v>22</v>
      </c>
      <c r="I26" s="2">
        <f>COUNTIFS(QuickGuitarRiffs!K:K, E26, QuickGuitarRiffs!G:G, 0)</f>
        <v>12</v>
      </c>
      <c r="J26" s="2">
        <v>0</v>
      </c>
      <c r="K26" s="2">
        <f t="shared" ref="K26:K32" si="1">I26-J26</f>
        <v>12</v>
      </c>
    </row>
    <row r="27" spans="1:11">
      <c r="E27" s="2" t="s">
        <v>1617</v>
      </c>
      <c r="F27" s="2" t="s">
        <v>748</v>
      </c>
      <c r="G27" s="20"/>
      <c r="H27" s="2" t="e">
        <f>COUNTIF([1]QuickBassRiffs!J:J, E27)</f>
        <v>#VALUE!</v>
      </c>
      <c r="I27" s="2" t="e">
        <f>COUNTIFS([1]QuickBassRiffs!J:J, E27, [1]QuickBassRiffs!F:F, 0)</f>
        <v>#VALUE!</v>
      </c>
      <c r="J27" s="2">
        <v>6</v>
      </c>
      <c r="K27" s="2" t="e">
        <f t="shared" si="1"/>
        <v>#VALUE!</v>
      </c>
    </row>
    <row r="28" spans="1:11">
      <c r="E28" s="10" t="s">
        <v>1587</v>
      </c>
      <c r="F28" s="2" t="s">
        <v>744</v>
      </c>
      <c r="G28" s="16"/>
      <c r="H28" s="2" t="e">
        <f>COUNTIF([1]QuickBassRiffs!J:J, E28)</f>
        <v>#VALUE!</v>
      </c>
      <c r="I28" s="2" t="e">
        <f>COUNTIFS([1]QuickBassRiffs!J:J, E28, [1]QuickBassRiffs!F:F, 0)</f>
        <v>#VALUE!</v>
      </c>
      <c r="J28" s="2">
        <v>7</v>
      </c>
      <c r="K28" s="2" t="e">
        <f t="shared" si="1"/>
        <v>#VALUE!</v>
      </c>
    </row>
    <row r="29" spans="1:11">
      <c r="E29" s="2" t="s">
        <v>2308</v>
      </c>
      <c r="F29" s="2" t="s">
        <v>747</v>
      </c>
      <c r="G29" s="19"/>
      <c r="H29" s="2" t="e">
        <f>COUNTIF([1]QuickBassRiffs!J:J, E29)</f>
        <v>#VALUE!</v>
      </c>
      <c r="I29" s="2" t="e">
        <f>COUNTIFS([1]QuickBassRiffs!J:J, E29, [1]QuickBassRiffs!F:F, 0)</f>
        <v>#VALUE!</v>
      </c>
      <c r="J29" s="2">
        <v>1</v>
      </c>
      <c r="K29" s="2" t="e">
        <f t="shared" si="1"/>
        <v>#VALUE!</v>
      </c>
    </row>
    <row r="30" spans="1:11">
      <c r="E30" s="2" t="s">
        <v>1641</v>
      </c>
      <c r="F30" s="2" t="s">
        <v>742</v>
      </c>
      <c r="G30" s="14"/>
      <c r="H30" s="2" t="e">
        <f>COUNTIF([1]QuickBassRiffs!J:J, E30)</f>
        <v>#VALUE!</v>
      </c>
      <c r="I30" s="2" t="e">
        <f>COUNTIFS([1]QuickBassRiffs!J:J, E30, [1]QuickBassRiffs!F:F, 0)</f>
        <v>#VALUE!</v>
      </c>
      <c r="J30" s="2">
        <v>20</v>
      </c>
      <c r="K30" s="2" t="e">
        <f t="shared" si="1"/>
        <v>#VALUE!</v>
      </c>
    </row>
    <row r="31" spans="1:11">
      <c r="E31" s="2" t="s">
        <v>1666</v>
      </c>
      <c r="F31" s="2" t="s">
        <v>74</v>
      </c>
      <c r="G31" s="9"/>
      <c r="H31" s="2" t="e">
        <f>COUNTIF([1]QuickBassRiffs!J:J, E31)</f>
        <v>#VALUE!</v>
      </c>
      <c r="I31" s="2" t="e">
        <f>COUNTIFS([1]QuickBassRiffs!J:J, E31, [1]QuickBassRiffs!F:F, 0)</f>
        <v>#VALUE!</v>
      </c>
      <c r="J31" s="2">
        <v>3</v>
      </c>
      <c r="K31" s="2" t="e">
        <f t="shared" si="1"/>
        <v>#VALUE!</v>
      </c>
    </row>
    <row r="32" spans="1:11">
      <c r="E32" s="2" t="s">
        <v>1676</v>
      </c>
      <c r="F32" s="2" t="s">
        <v>740</v>
      </c>
      <c r="G32" s="12"/>
      <c r="H32" s="2" t="e">
        <f>COUNTIF([1]QuickBassRiffs!J:J, E32)</f>
        <v>#VALUE!</v>
      </c>
      <c r="I32" s="2" t="e">
        <f>COUNTIFS([1]QuickBassRiffs!J:J, E32, [1]QuickBassRiffs!F:F, 0)</f>
        <v>#VALUE!</v>
      </c>
      <c r="J32" s="2">
        <v>4</v>
      </c>
      <c r="K32" s="2" t="e">
        <f t="shared" si="1"/>
        <v>#VALUE!</v>
      </c>
    </row>
    <row r="33" spans="8:9">
      <c r="H33">
        <f>SUM(H2:H25)</f>
        <v>482</v>
      </c>
      <c r="I33">
        <f>SUM(I2:I26)</f>
        <v>233</v>
      </c>
    </row>
    <row r="34" spans="8:9">
      <c r="I34">
        <v>140</v>
      </c>
    </row>
  </sheetData>
  <sortState xmlns:xlrd2="http://schemas.microsoft.com/office/spreadsheetml/2017/richdata2" ref="F32:F78">
    <sortCondition ref="F31"/>
  </sortState>
  <conditionalFormatting sqref="K2:K25">
    <cfRule type="cellIs" dxfId="7" priority="8" operator="equal">
      <formula>0</formula>
    </cfRule>
  </conditionalFormatting>
  <conditionalFormatting sqref="K26">
    <cfRule type="cellIs" dxfId="6" priority="7" operator="equal">
      <formula>0</formula>
    </cfRule>
  </conditionalFormatting>
  <conditionalFormatting sqref="K27">
    <cfRule type="cellIs" dxfId="5" priority="6" operator="equal">
      <formula>0</formula>
    </cfRule>
  </conditionalFormatting>
  <conditionalFormatting sqref="K28">
    <cfRule type="cellIs" dxfId="4" priority="5" operator="equal">
      <formula>0</formula>
    </cfRule>
  </conditionalFormatting>
  <conditionalFormatting sqref="K29">
    <cfRule type="cellIs" dxfId="3" priority="4" operator="equal">
      <formula>0</formula>
    </cfRule>
  </conditionalFormatting>
  <conditionalFormatting sqref="K30">
    <cfRule type="cellIs" dxfId="2" priority="3" operator="equal">
      <formula>0</formula>
    </cfRule>
  </conditionalFormatting>
  <conditionalFormatting sqref="K31">
    <cfRule type="cellIs" dxfId="1" priority="2" operator="equal">
      <formula>0</formula>
    </cfRule>
  </conditionalFormatting>
  <conditionalFormatting sqref="K32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portGuitar">
                <anchor moveWithCells="1" sizeWithCells="1">
                  <from>
                    <xdr:col>12</xdr:col>
                    <xdr:colOff>133350</xdr:colOff>
                    <xdr:row>9</xdr:row>
                    <xdr:rowOff>47625</xdr:rowOff>
                  </from>
                  <to>
                    <xdr:col>13</xdr:col>
                    <xdr:colOff>647700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R36"/>
  <sheetViews>
    <sheetView workbookViewId="0">
      <selection activeCell="D38" sqref="D38"/>
    </sheetView>
  </sheetViews>
  <sheetFormatPr defaultRowHeight="15"/>
  <cols>
    <col min="1" max="1" width="15.42578125" bestFit="1" customWidth="1"/>
    <col min="2" max="9" width="6.28515625" customWidth="1"/>
  </cols>
  <sheetData>
    <row r="1" spans="1:18">
      <c r="B1">
        <v>0</v>
      </c>
      <c r="G1">
        <v>1</v>
      </c>
      <c r="J1">
        <f>SUM(J5:J28)</f>
        <v>351</v>
      </c>
    </row>
    <row r="2" spans="1:18">
      <c r="A2" s="37"/>
      <c r="B2" s="109" t="s">
        <v>917</v>
      </c>
      <c r="C2" s="109"/>
      <c r="D2" s="109"/>
      <c r="E2" s="110"/>
      <c r="F2" s="106" t="s">
        <v>920</v>
      </c>
      <c r="G2" s="107"/>
      <c r="H2" s="107"/>
      <c r="I2" s="108"/>
      <c r="J2" s="97" t="s">
        <v>925</v>
      </c>
      <c r="K2" s="98"/>
      <c r="L2" s="99"/>
      <c r="M2" s="95" t="s">
        <v>1</v>
      </c>
      <c r="N2" s="95"/>
      <c r="O2" s="95"/>
      <c r="P2" s="95"/>
      <c r="Q2" s="95"/>
      <c r="R2" s="95"/>
    </row>
    <row r="3" spans="1:18">
      <c r="A3" s="34"/>
      <c r="B3" s="40" t="s">
        <v>374</v>
      </c>
      <c r="C3" s="40" t="s">
        <v>375</v>
      </c>
      <c r="D3" s="39" t="s">
        <v>376</v>
      </c>
      <c r="E3" s="102" t="s">
        <v>921</v>
      </c>
      <c r="F3" s="38" t="s">
        <v>374</v>
      </c>
      <c r="G3" s="38" t="s">
        <v>375</v>
      </c>
      <c r="H3" s="38" t="s">
        <v>376</v>
      </c>
      <c r="I3" s="104" t="s">
        <v>921</v>
      </c>
      <c r="J3" s="100" t="s">
        <v>921</v>
      </c>
      <c r="K3" s="100" t="s">
        <v>922</v>
      </c>
      <c r="L3" s="100" t="s">
        <v>923</v>
      </c>
      <c r="M3" s="96" t="s">
        <v>924</v>
      </c>
      <c r="N3" s="96" t="s">
        <v>926</v>
      </c>
      <c r="O3" s="96" t="s">
        <v>927</v>
      </c>
      <c r="P3" s="96" t="s">
        <v>928</v>
      </c>
      <c r="Q3" s="96" t="s">
        <v>929</v>
      </c>
      <c r="R3" s="96" t="s">
        <v>930</v>
      </c>
    </row>
    <row r="4" spans="1:18">
      <c r="A4" s="2"/>
      <c r="B4" s="40">
        <v>1</v>
      </c>
      <c r="C4" s="40">
        <v>2</v>
      </c>
      <c r="D4" s="40">
        <v>3</v>
      </c>
      <c r="E4" s="103"/>
      <c r="F4" s="38">
        <v>1</v>
      </c>
      <c r="G4" s="38">
        <v>2</v>
      </c>
      <c r="H4" s="38">
        <v>3</v>
      </c>
      <c r="I4" s="105"/>
      <c r="J4" s="101"/>
      <c r="K4" s="101"/>
      <c r="L4" s="101"/>
      <c r="M4" s="96"/>
      <c r="N4" s="96"/>
      <c r="O4" s="96"/>
      <c r="P4" s="96"/>
      <c r="Q4" s="96"/>
      <c r="R4" s="96"/>
    </row>
    <row r="5" spans="1:18">
      <c r="A5" s="35" t="s">
        <v>10</v>
      </c>
      <c r="B5" s="41">
        <f>COUNTIFS(QuickGuitarRiffs!$K:$K, $A5, QuickGuitarRiffs!$G:$G, $B$1, QuickGuitarRiffs!$C:$C, B$4)</f>
        <v>14</v>
      </c>
      <c r="C5" s="41">
        <f>COUNTIFS(QuickGuitarRiffs!$K:$K, $A5, QuickGuitarRiffs!$G:$G, $B$1, QuickGuitarRiffs!$C:$C, C$4)</f>
        <v>21</v>
      </c>
      <c r="D5" s="41">
        <f>COUNTIFS(QuickGuitarRiffs!$K:$K, $A5, QuickGuitarRiffs!$G:$G, $B$1, QuickGuitarRiffs!$C:$C, D$4)</f>
        <v>6</v>
      </c>
      <c r="E5" s="41">
        <f>SUM(B5:D5)</f>
        <v>41</v>
      </c>
      <c r="F5" s="9">
        <f>COUNTIFS(QuickGuitarRiffs!$K:$K, $A5, QuickGuitarRiffs!$G:$G, $G$1, QuickGuitarRiffs!$C:$C, F$4)</f>
        <v>12</v>
      </c>
      <c r="G5" s="9">
        <f>COUNTIFS(QuickGuitarRiffs!$K:$K, $A5, QuickGuitarRiffs!$G:$G, $G$1, QuickGuitarRiffs!$C:$C, G$4)</f>
        <v>11</v>
      </c>
      <c r="H5" s="9">
        <f>COUNTIFS(QuickGuitarRiffs!$K:$K, $A5, QuickGuitarRiffs!$G:$G, $G$1, QuickGuitarRiffs!$C:$C, H$4)</f>
        <v>5</v>
      </c>
      <c r="I5" s="9">
        <f>SUM(F5:H5)</f>
        <v>28</v>
      </c>
      <c r="J5" s="42">
        <f>E5+I5</f>
        <v>69</v>
      </c>
      <c r="K5" s="42">
        <f>IF(J5=0, 0, E5/J5)</f>
        <v>0.59420289855072461</v>
      </c>
      <c r="L5" s="42">
        <f>IF(I5=0, 0, E5/I5)</f>
        <v>1.4642857142857142</v>
      </c>
      <c r="M5" s="43">
        <f>B5+F5</f>
        <v>26</v>
      </c>
      <c r="N5" s="43">
        <f t="shared" ref="N5" si="0">C5+G5</f>
        <v>32</v>
      </c>
      <c r="O5" s="43">
        <f>D5+H5</f>
        <v>11</v>
      </c>
      <c r="P5" s="43">
        <f>IF(M5=0, 0, B5/M5)</f>
        <v>0.53846153846153844</v>
      </c>
      <c r="Q5" s="43">
        <f>IF(N5=0, 0, C5/N5)</f>
        <v>0.65625</v>
      </c>
      <c r="R5" s="43">
        <f>IF(O5=0, 0, D5/O5)</f>
        <v>0.54545454545454541</v>
      </c>
    </row>
    <row r="6" spans="1:18">
      <c r="A6" s="35" t="s">
        <v>13</v>
      </c>
      <c r="B6" s="41">
        <f>COUNTIFS(QuickGuitarRiffs!$K:$K, $A6, QuickGuitarRiffs!$G:$G, $B$1, QuickGuitarRiffs!$C:$C, B$4)</f>
        <v>20</v>
      </c>
      <c r="C6" s="41">
        <f>COUNTIFS(QuickGuitarRiffs!$K:$K, $A6, QuickGuitarRiffs!$G:$G, $B$1, QuickGuitarRiffs!$C:$C, C$4)</f>
        <v>26</v>
      </c>
      <c r="D6" s="41">
        <f>COUNTIFS(QuickGuitarRiffs!$K:$K, $A6, QuickGuitarRiffs!$G:$G, $B$1, QuickGuitarRiffs!$C:$C, D$4)</f>
        <v>10</v>
      </c>
      <c r="E6" s="41">
        <f t="shared" ref="E6:E28" si="1">SUM(B6:D6)</f>
        <v>56</v>
      </c>
      <c r="F6" s="9">
        <f>COUNTIFS(QuickGuitarRiffs!$K:$K, $A6, QuickGuitarRiffs!$G:$G, $G$1, QuickGuitarRiffs!$C:$C, F$4)</f>
        <v>12</v>
      </c>
      <c r="G6" s="9">
        <f>COUNTIFS(QuickGuitarRiffs!$K:$K, $A6, QuickGuitarRiffs!$G:$G, $G$1, QuickGuitarRiffs!$C:$C, G$4)</f>
        <v>13</v>
      </c>
      <c r="H6" s="9">
        <f>COUNTIFS(QuickGuitarRiffs!$K:$K, $A6, QuickGuitarRiffs!$G:$G, $G$1, QuickGuitarRiffs!$C:$C, H$4)</f>
        <v>2</v>
      </c>
      <c r="I6" s="9">
        <f t="shared" ref="I6:I28" si="2">SUM(F6:H6)</f>
        <v>27</v>
      </c>
      <c r="J6" s="42">
        <f t="shared" ref="J6:J28" si="3">E6+I6</f>
        <v>83</v>
      </c>
      <c r="K6" s="42">
        <f t="shared" ref="K6:K28" si="4">IF(J6=0, 0, E6/J6)</f>
        <v>0.67469879518072284</v>
      </c>
      <c r="L6" s="42">
        <f t="shared" ref="L6:L28" si="5">IF(I6=0, 0, E6/I6)</f>
        <v>2.074074074074074</v>
      </c>
      <c r="M6" s="43">
        <f t="shared" ref="M6:M28" si="6">B6+F6</f>
        <v>32</v>
      </c>
      <c r="N6" s="43">
        <f t="shared" ref="N6:N28" si="7">C6+G6</f>
        <v>39</v>
      </c>
      <c r="O6" s="43">
        <f t="shared" ref="O6:O28" si="8">D6+H6</f>
        <v>12</v>
      </c>
      <c r="P6" s="43">
        <f t="shared" ref="P6:P28" si="9">IF(M6=0, 0, B6/M6)</f>
        <v>0.625</v>
      </c>
      <c r="Q6" s="43">
        <f t="shared" ref="Q6:Q28" si="10">IF(N6=0, 0, C6/N6)</f>
        <v>0.66666666666666663</v>
      </c>
      <c r="R6" s="43">
        <f t="shared" ref="R6:R28" si="11">IF(O6=0, 0, D6/O6)</f>
        <v>0.83333333333333337</v>
      </c>
    </row>
    <row r="7" spans="1:18">
      <c r="A7" s="35" t="s">
        <v>17</v>
      </c>
      <c r="B7" s="41">
        <f>COUNTIFS(QuickGuitarRiffs!$K:$K, $A7, QuickGuitarRiffs!$G:$G, $B$1, QuickGuitarRiffs!$C:$C, B$4)</f>
        <v>1</v>
      </c>
      <c r="C7" s="41">
        <f>COUNTIFS(QuickGuitarRiffs!$K:$K, $A7, QuickGuitarRiffs!$G:$G, $B$1, QuickGuitarRiffs!$C:$C, C$4)</f>
        <v>0</v>
      </c>
      <c r="D7" s="41">
        <f>COUNTIFS(QuickGuitarRiffs!$K:$K, $A7, QuickGuitarRiffs!$G:$G, $B$1, QuickGuitarRiffs!$C:$C, D$4)</f>
        <v>0</v>
      </c>
      <c r="E7" s="41">
        <f t="shared" si="1"/>
        <v>1</v>
      </c>
      <c r="F7" s="9">
        <f>COUNTIFS(QuickGuitarRiffs!$K:$K, $A7, QuickGuitarRiffs!$G:$G, $G$1, QuickGuitarRiffs!$C:$C, F$4)</f>
        <v>1</v>
      </c>
      <c r="G7" s="9">
        <f>COUNTIFS(QuickGuitarRiffs!$K:$K, $A7, QuickGuitarRiffs!$G:$G, $G$1, QuickGuitarRiffs!$C:$C, G$4)</f>
        <v>1</v>
      </c>
      <c r="H7" s="9">
        <f>COUNTIFS(QuickGuitarRiffs!$K:$K, $A7, QuickGuitarRiffs!$G:$G, $G$1, QuickGuitarRiffs!$C:$C, H$4)</f>
        <v>0</v>
      </c>
      <c r="I7" s="9">
        <f t="shared" si="2"/>
        <v>2</v>
      </c>
      <c r="J7" s="42">
        <f t="shared" si="3"/>
        <v>3</v>
      </c>
      <c r="K7" s="42">
        <f t="shared" si="4"/>
        <v>0.33333333333333331</v>
      </c>
      <c r="L7" s="42">
        <f t="shared" si="5"/>
        <v>0.5</v>
      </c>
      <c r="M7" s="43">
        <f t="shared" si="6"/>
        <v>2</v>
      </c>
      <c r="N7" s="43">
        <f t="shared" si="7"/>
        <v>1</v>
      </c>
      <c r="O7" s="43">
        <f t="shared" si="8"/>
        <v>0</v>
      </c>
      <c r="P7" s="43">
        <f t="shared" si="9"/>
        <v>0.5</v>
      </c>
      <c r="Q7" s="43">
        <f t="shared" si="10"/>
        <v>0</v>
      </c>
      <c r="R7" s="43">
        <f t="shared" si="11"/>
        <v>0</v>
      </c>
    </row>
    <row r="8" spans="1:18">
      <c r="A8" s="35" t="s">
        <v>14</v>
      </c>
      <c r="B8" s="41">
        <f>COUNTIFS(QuickGuitarRiffs!$K:$K, $A8, QuickGuitarRiffs!$G:$G, $B$1, QuickGuitarRiffs!$C:$C, B$4)</f>
        <v>5</v>
      </c>
      <c r="C8" s="41">
        <f>COUNTIFS(QuickGuitarRiffs!$K:$K, $A8, QuickGuitarRiffs!$G:$G, $B$1, QuickGuitarRiffs!$C:$C, C$4)</f>
        <v>1</v>
      </c>
      <c r="D8" s="41">
        <f>COUNTIFS(QuickGuitarRiffs!$K:$K, $A8, QuickGuitarRiffs!$G:$G, $B$1, QuickGuitarRiffs!$C:$C, D$4)</f>
        <v>1</v>
      </c>
      <c r="E8" s="41">
        <f t="shared" si="1"/>
        <v>7</v>
      </c>
      <c r="F8" s="9">
        <f>COUNTIFS(QuickGuitarRiffs!$K:$K, $A8, QuickGuitarRiffs!$G:$G, $G$1, QuickGuitarRiffs!$C:$C, F$4)</f>
        <v>3</v>
      </c>
      <c r="G8" s="9">
        <f>COUNTIFS(QuickGuitarRiffs!$K:$K, $A8, QuickGuitarRiffs!$G:$G, $G$1, QuickGuitarRiffs!$C:$C, G$4)</f>
        <v>0</v>
      </c>
      <c r="H8" s="9">
        <f>COUNTIFS(QuickGuitarRiffs!$K:$K, $A8, QuickGuitarRiffs!$G:$G, $G$1, QuickGuitarRiffs!$C:$C, H$4)</f>
        <v>1</v>
      </c>
      <c r="I8" s="9">
        <f t="shared" si="2"/>
        <v>4</v>
      </c>
      <c r="J8" s="42">
        <f t="shared" si="3"/>
        <v>11</v>
      </c>
      <c r="K8" s="42">
        <f t="shared" si="4"/>
        <v>0.63636363636363635</v>
      </c>
      <c r="L8" s="42">
        <f t="shared" si="5"/>
        <v>1.75</v>
      </c>
      <c r="M8" s="43">
        <f t="shared" si="6"/>
        <v>8</v>
      </c>
      <c r="N8" s="43">
        <f t="shared" si="7"/>
        <v>1</v>
      </c>
      <c r="O8" s="43">
        <f t="shared" si="8"/>
        <v>2</v>
      </c>
      <c r="P8" s="43">
        <f t="shared" si="9"/>
        <v>0.625</v>
      </c>
      <c r="Q8" s="43">
        <f t="shared" si="10"/>
        <v>1</v>
      </c>
      <c r="R8" s="43">
        <f t="shared" si="11"/>
        <v>0.5</v>
      </c>
    </row>
    <row r="9" spans="1:18">
      <c r="A9" s="35" t="s">
        <v>11</v>
      </c>
      <c r="B9" s="41">
        <f>COUNTIFS(QuickGuitarRiffs!$K:$K, $A9, QuickGuitarRiffs!$G:$G, $B$1, QuickGuitarRiffs!$C:$C, B$4)</f>
        <v>6</v>
      </c>
      <c r="C9" s="41">
        <f>COUNTIFS(QuickGuitarRiffs!$K:$K, $A9, QuickGuitarRiffs!$G:$G, $B$1, QuickGuitarRiffs!$C:$C, C$4)</f>
        <v>6</v>
      </c>
      <c r="D9" s="41">
        <f>COUNTIFS(QuickGuitarRiffs!$K:$K, $A9, QuickGuitarRiffs!$G:$G, $B$1, QuickGuitarRiffs!$C:$C, D$4)</f>
        <v>2</v>
      </c>
      <c r="E9" s="41">
        <f t="shared" si="1"/>
        <v>14</v>
      </c>
      <c r="F9" s="9">
        <f>COUNTIFS(QuickGuitarRiffs!$K:$K, $A9, QuickGuitarRiffs!$G:$G, $G$1, QuickGuitarRiffs!$C:$C, F$4)</f>
        <v>6</v>
      </c>
      <c r="G9" s="9">
        <f>COUNTIFS(QuickGuitarRiffs!$K:$K, $A9, QuickGuitarRiffs!$G:$G, $G$1, QuickGuitarRiffs!$C:$C, G$4)</f>
        <v>2</v>
      </c>
      <c r="H9" s="9">
        <f>COUNTIFS(QuickGuitarRiffs!$K:$K, $A9, QuickGuitarRiffs!$G:$G, $G$1, QuickGuitarRiffs!$C:$C, H$4)</f>
        <v>0</v>
      </c>
      <c r="I9" s="9">
        <f t="shared" si="2"/>
        <v>8</v>
      </c>
      <c r="J9" s="42">
        <f t="shared" si="3"/>
        <v>22</v>
      </c>
      <c r="K9" s="42">
        <f t="shared" si="4"/>
        <v>0.63636363636363635</v>
      </c>
      <c r="L9" s="42">
        <f t="shared" si="5"/>
        <v>1.75</v>
      </c>
      <c r="M9" s="43">
        <f t="shared" si="6"/>
        <v>12</v>
      </c>
      <c r="N9" s="43">
        <f t="shared" si="7"/>
        <v>8</v>
      </c>
      <c r="O9" s="43">
        <f t="shared" si="8"/>
        <v>2</v>
      </c>
      <c r="P9" s="43">
        <f t="shared" si="9"/>
        <v>0.5</v>
      </c>
      <c r="Q9" s="43">
        <f t="shared" si="10"/>
        <v>0.75</v>
      </c>
      <c r="R9" s="43">
        <f t="shared" si="11"/>
        <v>1</v>
      </c>
    </row>
    <row r="10" spans="1:18">
      <c r="A10" s="35" t="s">
        <v>20</v>
      </c>
      <c r="B10" s="41">
        <f>COUNTIFS(QuickGuitarRiffs!$K:$K, $A10, QuickGuitarRiffs!$G:$G, $B$1, QuickGuitarRiffs!$C:$C, B$4)</f>
        <v>0</v>
      </c>
      <c r="C10" s="41">
        <f>COUNTIFS(QuickGuitarRiffs!$K:$K, $A10, QuickGuitarRiffs!$G:$G, $B$1, QuickGuitarRiffs!$C:$C, C$4)</f>
        <v>1</v>
      </c>
      <c r="D10" s="41">
        <f>COUNTIFS(QuickGuitarRiffs!$K:$K, $A10, QuickGuitarRiffs!$G:$G, $B$1, QuickGuitarRiffs!$C:$C, D$4)</f>
        <v>0</v>
      </c>
      <c r="E10" s="41">
        <f t="shared" si="1"/>
        <v>1</v>
      </c>
      <c r="F10" s="9">
        <f>COUNTIFS(QuickGuitarRiffs!$K:$K, $A10, QuickGuitarRiffs!$G:$G, $G$1, QuickGuitarRiffs!$C:$C, F$4)</f>
        <v>0</v>
      </c>
      <c r="G10" s="9">
        <f>COUNTIFS(QuickGuitarRiffs!$K:$K, $A10, QuickGuitarRiffs!$G:$G, $G$1, QuickGuitarRiffs!$C:$C, G$4)</f>
        <v>0</v>
      </c>
      <c r="H10" s="9">
        <f>COUNTIFS(QuickGuitarRiffs!$K:$K, $A10, QuickGuitarRiffs!$G:$G, $G$1, QuickGuitarRiffs!$C:$C, H$4)</f>
        <v>0</v>
      </c>
      <c r="I10" s="9">
        <f t="shared" si="2"/>
        <v>0</v>
      </c>
      <c r="J10" s="42">
        <f t="shared" si="3"/>
        <v>1</v>
      </c>
      <c r="K10" s="42">
        <f t="shared" si="4"/>
        <v>1</v>
      </c>
      <c r="L10" s="42">
        <f t="shared" si="5"/>
        <v>0</v>
      </c>
      <c r="M10" s="43">
        <f t="shared" si="6"/>
        <v>0</v>
      </c>
      <c r="N10" s="43">
        <f t="shared" si="7"/>
        <v>1</v>
      </c>
      <c r="O10" s="43">
        <f t="shared" si="8"/>
        <v>0</v>
      </c>
      <c r="P10" s="43">
        <f t="shared" si="9"/>
        <v>0</v>
      </c>
      <c r="Q10" s="43">
        <f t="shared" si="10"/>
        <v>1</v>
      </c>
      <c r="R10" s="43">
        <f t="shared" si="11"/>
        <v>0</v>
      </c>
    </row>
    <row r="11" spans="1:18">
      <c r="A11" s="35" t="s">
        <v>12</v>
      </c>
      <c r="B11" s="41">
        <f>COUNTIFS(QuickGuitarRiffs!$K:$K, $A11, QuickGuitarRiffs!$G:$G, $B$1, QuickGuitarRiffs!$C:$C, B$4)</f>
        <v>1</v>
      </c>
      <c r="C11" s="41">
        <f>COUNTIFS(QuickGuitarRiffs!$K:$K, $A11, QuickGuitarRiffs!$G:$G, $B$1, QuickGuitarRiffs!$C:$C, C$4)</f>
        <v>1</v>
      </c>
      <c r="D11" s="41">
        <f>COUNTIFS(QuickGuitarRiffs!$K:$K, $A11, QuickGuitarRiffs!$G:$G, $B$1, QuickGuitarRiffs!$C:$C, D$4)</f>
        <v>0</v>
      </c>
      <c r="E11" s="41">
        <f t="shared" si="1"/>
        <v>2</v>
      </c>
      <c r="F11" s="9">
        <f>COUNTIFS(QuickGuitarRiffs!$K:$K, $A11, QuickGuitarRiffs!$G:$G, $G$1, QuickGuitarRiffs!$C:$C, F$4)</f>
        <v>1</v>
      </c>
      <c r="G11" s="9">
        <f>COUNTIFS(QuickGuitarRiffs!$K:$K, $A11, QuickGuitarRiffs!$G:$G, $G$1, QuickGuitarRiffs!$C:$C, G$4)</f>
        <v>0</v>
      </c>
      <c r="H11" s="9">
        <f>COUNTIFS(QuickGuitarRiffs!$K:$K, $A11, QuickGuitarRiffs!$G:$G, $G$1, QuickGuitarRiffs!$C:$C, H$4)</f>
        <v>1</v>
      </c>
      <c r="I11" s="9">
        <f t="shared" si="2"/>
        <v>2</v>
      </c>
      <c r="J11" s="42">
        <f t="shared" si="3"/>
        <v>4</v>
      </c>
      <c r="K11" s="42">
        <f t="shared" si="4"/>
        <v>0.5</v>
      </c>
      <c r="L11" s="42">
        <f t="shared" si="5"/>
        <v>1</v>
      </c>
      <c r="M11" s="43">
        <f t="shared" si="6"/>
        <v>2</v>
      </c>
      <c r="N11" s="43">
        <f t="shared" si="7"/>
        <v>1</v>
      </c>
      <c r="O11" s="43">
        <f t="shared" si="8"/>
        <v>1</v>
      </c>
      <c r="P11" s="43">
        <f t="shared" si="9"/>
        <v>0.5</v>
      </c>
      <c r="Q11" s="43">
        <f t="shared" si="10"/>
        <v>1</v>
      </c>
      <c r="R11" s="43">
        <f t="shared" si="11"/>
        <v>0</v>
      </c>
    </row>
    <row r="12" spans="1:18">
      <c r="A12" s="35" t="s">
        <v>21</v>
      </c>
      <c r="B12" s="41">
        <f>COUNTIFS(QuickGuitarRiffs!$K:$K, $A12, QuickGuitarRiffs!$G:$G, $B$1, QuickGuitarRiffs!$C:$C, B$4)</f>
        <v>2</v>
      </c>
      <c r="C12" s="41">
        <f>COUNTIFS(QuickGuitarRiffs!$K:$K, $A12, QuickGuitarRiffs!$G:$G, $B$1, QuickGuitarRiffs!$C:$C, C$4)</f>
        <v>6</v>
      </c>
      <c r="D12" s="41">
        <f>COUNTIFS(QuickGuitarRiffs!$K:$K, $A12, QuickGuitarRiffs!$G:$G, $B$1, QuickGuitarRiffs!$C:$C, D$4)</f>
        <v>2</v>
      </c>
      <c r="E12" s="41">
        <f t="shared" si="1"/>
        <v>10</v>
      </c>
      <c r="F12" s="9">
        <f>COUNTIFS(QuickGuitarRiffs!$K:$K, $A12, QuickGuitarRiffs!$G:$G, $G$1, QuickGuitarRiffs!$C:$C, F$4)</f>
        <v>1</v>
      </c>
      <c r="G12" s="9">
        <f>COUNTIFS(QuickGuitarRiffs!$K:$K, $A12, QuickGuitarRiffs!$G:$G, $G$1, QuickGuitarRiffs!$C:$C, G$4)</f>
        <v>0</v>
      </c>
      <c r="H12" s="9">
        <f>COUNTIFS(QuickGuitarRiffs!$K:$K, $A12, QuickGuitarRiffs!$G:$G, $G$1, QuickGuitarRiffs!$C:$C, H$4)</f>
        <v>2</v>
      </c>
      <c r="I12" s="9">
        <f t="shared" si="2"/>
        <v>3</v>
      </c>
      <c r="J12" s="42">
        <f t="shared" si="3"/>
        <v>13</v>
      </c>
      <c r="K12" s="42">
        <f t="shared" si="4"/>
        <v>0.76923076923076927</v>
      </c>
      <c r="L12" s="42">
        <f t="shared" si="5"/>
        <v>3.3333333333333335</v>
      </c>
      <c r="M12" s="43">
        <f t="shared" si="6"/>
        <v>3</v>
      </c>
      <c r="N12" s="43">
        <f t="shared" si="7"/>
        <v>6</v>
      </c>
      <c r="O12" s="43">
        <f t="shared" si="8"/>
        <v>4</v>
      </c>
      <c r="P12" s="43">
        <f t="shared" si="9"/>
        <v>0.66666666666666663</v>
      </c>
      <c r="Q12" s="43">
        <f t="shared" si="10"/>
        <v>1</v>
      </c>
      <c r="R12" s="43">
        <f t="shared" si="11"/>
        <v>0.5</v>
      </c>
    </row>
    <row r="13" spans="1:18">
      <c r="A13" s="35" t="s">
        <v>26</v>
      </c>
      <c r="B13" s="41">
        <f>COUNTIFS(QuickGuitarRiffs!$K:$K, $A13, QuickGuitarRiffs!$G:$G, $B$1, QuickGuitarRiffs!$C:$C, B$4)</f>
        <v>0</v>
      </c>
      <c r="C13" s="41">
        <f>COUNTIFS(QuickGuitarRiffs!$K:$K, $A13, QuickGuitarRiffs!$G:$G, $B$1, QuickGuitarRiffs!$C:$C, C$4)</f>
        <v>0</v>
      </c>
      <c r="D13" s="41">
        <f>COUNTIFS(QuickGuitarRiffs!$K:$K, $A13, QuickGuitarRiffs!$G:$G, $B$1, QuickGuitarRiffs!$C:$C, D$4)</f>
        <v>1</v>
      </c>
      <c r="E13" s="41">
        <f t="shared" si="1"/>
        <v>1</v>
      </c>
      <c r="F13" s="9">
        <f>COUNTIFS(QuickGuitarRiffs!$K:$K, $A13, QuickGuitarRiffs!$G:$G, $G$1, QuickGuitarRiffs!$C:$C, F$4)</f>
        <v>0</v>
      </c>
      <c r="G13" s="9">
        <f>COUNTIFS(QuickGuitarRiffs!$K:$K, $A13, QuickGuitarRiffs!$G:$G, $G$1, QuickGuitarRiffs!$C:$C, G$4)</f>
        <v>1</v>
      </c>
      <c r="H13" s="9">
        <f>COUNTIFS(QuickGuitarRiffs!$K:$K, $A13, QuickGuitarRiffs!$G:$G, $G$1, QuickGuitarRiffs!$C:$C, H$4)</f>
        <v>0</v>
      </c>
      <c r="I13" s="9">
        <f t="shared" si="2"/>
        <v>1</v>
      </c>
      <c r="J13" s="42">
        <f t="shared" si="3"/>
        <v>2</v>
      </c>
      <c r="K13" s="42">
        <f t="shared" si="4"/>
        <v>0.5</v>
      </c>
      <c r="L13" s="42">
        <f t="shared" si="5"/>
        <v>1</v>
      </c>
      <c r="M13" s="43">
        <f t="shared" si="6"/>
        <v>0</v>
      </c>
      <c r="N13" s="43">
        <f t="shared" si="7"/>
        <v>1</v>
      </c>
      <c r="O13" s="43">
        <f t="shared" si="8"/>
        <v>1</v>
      </c>
      <c r="P13" s="43">
        <f t="shared" si="9"/>
        <v>0</v>
      </c>
      <c r="Q13" s="43">
        <f t="shared" si="10"/>
        <v>0</v>
      </c>
      <c r="R13" s="43">
        <f t="shared" si="11"/>
        <v>1</v>
      </c>
    </row>
    <row r="14" spans="1:18">
      <c r="A14" s="35" t="s">
        <v>22</v>
      </c>
      <c r="B14" s="41">
        <f>COUNTIFS(QuickGuitarRiffs!$K:$K, $A14, QuickGuitarRiffs!$G:$G, $B$1, QuickGuitarRiffs!$C:$C, B$4)</f>
        <v>0</v>
      </c>
      <c r="C14" s="41">
        <f>COUNTIFS(QuickGuitarRiffs!$K:$K, $A14, QuickGuitarRiffs!$G:$G, $B$1, QuickGuitarRiffs!$C:$C, C$4)</f>
        <v>1</v>
      </c>
      <c r="D14" s="41">
        <f>COUNTIFS(QuickGuitarRiffs!$K:$K, $A14, QuickGuitarRiffs!$G:$G, $B$1, QuickGuitarRiffs!$C:$C, D$4)</f>
        <v>1</v>
      </c>
      <c r="E14" s="41">
        <f t="shared" si="1"/>
        <v>2</v>
      </c>
      <c r="F14" s="9">
        <f>COUNTIFS(QuickGuitarRiffs!$K:$K, $A14, QuickGuitarRiffs!$G:$G, $G$1, QuickGuitarRiffs!$C:$C, F$4)</f>
        <v>1</v>
      </c>
      <c r="G14" s="9">
        <f>COUNTIFS(QuickGuitarRiffs!$K:$K, $A14, QuickGuitarRiffs!$G:$G, $G$1, QuickGuitarRiffs!$C:$C, G$4)</f>
        <v>2</v>
      </c>
      <c r="H14" s="9">
        <f>COUNTIFS(QuickGuitarRiffs!$K:$K, $A14, QuickGuitarRiffs!$G:$G, $G$1, QuickGuitarRiffs!$C:$C, H$4)</f>
        <v>0</v>
      </c>
      <c r="I14" s="9">
        <f t="shared" si="2"/>
        <v>3</v>
      </c>
      <c r="J14" s="42">
        <f t="shared" si="3"/>
        <v>5</v>
      </c>
      <c r="K14" s="42">
        <f t="shared" si="4"/>
        <v>0.4</v>
      </c>
      <c r="L14" s="42">
        <f t="shared" si="5"/>
        <v>0.66666666666666663</v>
      </c>
      <c r="M14" s="43">
        <f t="shared" si="6"/>
        <v>1</v>
      </c>
      <c r="N14" s="43">
        <f t="shared" si="7"/>
        <v>3</v>
      </c>
      <c r="O14" s="43">
        <f t="shared" si="8"/>
        <v>1</v>
      </c>
      <c r="P14" s="43">
        <f t="shared" si="9"/>
        <v>0</v>
      </c>
      <c r="Q14" s="43">
        <f t="shared" si="10"/>
        <v>0.33333333333333331</v>
      </c>
      <c r="R14" s="43">
        <f t="shared" si="11"/>
        <v>1</v>
      </c>
    </row>
    <row r="15" spans="1:18">
      <c r="A15" s="35" t="s">
        <v>372</v>
      </c>
      <c r="B15" s="41">
        <f>COUNTIFS(QuickGuitarRiffs!$K:$K, $A15, QuickGuitarRiffs!$G:$G, $B$1, QuickGuitarRiffs!$C:$C, B$4)</f>
        <v>3</v>
      </c>
      <c r="C15" s="41">
        <f>COUNTIFS(QuickGuitarRiffs!$K:$K, $A15, QuickGuitarRiffs!$G:$G, $B$1, QuickGuitarRiffs!$C:$C, C$4)</f>
        <v>3</v>
      </c>
      <c r="D15" s="41">
        <f>COUNTIFS(QuickGuitarRiffs!$K:$K, $A15, QuickGuitarRiffs!$G:$G, $B$1, QuickGuitarRiffs!$C:$C, D$4)</f>
        <v>0</v>
      </c>
      <c r="E15" s="41">
        <f t="shared" si="1"/>
        <v>6</v>
      </c>
      <c r="F15" s="9">
        <f>COUNTIFS(QuickGuitarRiffs!$K:$K, $A15, QuickGuitarRiffs!$G:$G, $G$1, QuickGuitarRiffs!$C:$C, F$4)</f>
        <v>1</v>
      </c>
      <c r="G15" s="9">
        <f>COUNTIFS(QuickGuitarRiffs!$K:$K, $A15, QuickGuitarRiffs!$G:$G, $G$1, QuickGuitarRiffs!$C:$C, G$4)</f>
        <v>4</v>
      </c>
      <c r="H15" s="9">
        <f>COUNTIFS(QuickGuitarRiffs!$K:$K, $A15, QuickGuitarRiffs!$G:$G, $G$1, QuickGuitarRiffs!$C:$C, H$4)</f>
        <v>0</v>
      </c>
      <c r="I15" s="9">
        <f t="shared" si="2"/>
        <v>5</v>
      </c>
      <c r="J15" s="42">
        <f t="shared" si="3"/>
        <v>11</v>
      </c>
      <c r="K15" s="42">
        <f t="shared" si="4"/>
        <v>0.54545454545454541</v>
      </c>
      <c r="L15" s="42">
        <f t="shared" si="5"/>
        <v>1.2</v>
      </c>
      <c r="M15" s="43">
        <f t="shared" si="6"/>
        <v>4</v>
      </c>
      <c r="N15" s="43">
        <f t="shared" si="7"/>
        <v>7</v>
      </c>
      <c r="O15" s="43">
        <f t="shared" si="8"/>
        <v>0</v>
      </c>
      <c r="P15" s="43">
        <f t="shared" si="9"/>
        <v>0.75</v>
      </c>
      <c r="Q15" s="43">
        <f t="shared" si="10"/>
        <v>0.42857142857142855</v>
      </c>
      <c r="R15" s="43">
        <f t="shared" si="11"/>
        <v>0</v>
      </c>
    </row>
    <row r="16" spans="1:18">
      <c r="A16" s="35" t="s">
        <v>23</v>
      </c>
      <c r="B16" s="41">
        <f>COUNTIFS(QuickGuitarRiffs!$K:$K, $A16, QuickGuitarRiffs!$G:$G, $B$1, QuickGuitarRiffs!$C:$C, B$4)</f>
        <v>0</v>
      </c>
      <c r="C16" s="41">
        <f>COUNTIFS(QuickGuitarRiffs!$K:$K, $A16, QuickGuitarRiffs!$G:$G, $B$1, QuickGuitarRiffs!$C:$C, C$4)</f>
        <v>1</v>
      </c>
      <c r="D16" s="41">
        <f>COUNTIFS(QuickGuitarRiffs!$K:$K, $A16, QuickGuitarRiffs!$G:$G, $B$1, QuickGuitarRiffs!$C:$C, D$4)</f>
        <v>0</v>
      </c>
      <c r="E16" s="41">
        <f t="shared" si="1"/>
        <v>1</v>
      </c>
      <c r="F16" s="9">
        <f>COUNTIFS(QuickGuitarRiffs!$K:$K, $A16, QuickGuitarRiffs!$G:$G, $G$1, QuickGuitarRiffs!$C:$C, F$4)</f>
        <v>0</v>
      </c>
      <c r="G16" s="9">
        <f>COUNTIFS(QuickGuitarRiffs!$K:$K, $A16, QuickGuitarRiffs!$G:$G, $G$1, QuickGuitarRiffs!$C:$C, G$4)</f>
        <v>0</v>
      </c>
      <c r="H16" s="9">
        <f>COUNTIFS(QuickGuitarRiffs!$K:$K, $A16, QuickGuitarRiffs!$G:$G, $G$1, QuickGuitarRiffs!$C:$C, H$4)</f>
        <v>1</v>
      </c>
      <c r="I16" s="9">
        <f t="shared" si="2"/>
        <v>1</v>
      </c>
      <c r="J16" s="42">
        <f t="shared" si="3"/>
        <v>2</v>
      </c>
      <c r="K16" s="42">
        <f t="shared" si="4"/>
        <v>0.5</v>
      </c>
      <c r="L16" s="42">
        <f t="shared" si="5"/>
        <v>1</v>
      </c>
      <c r="M16" s="43">
        <f t="shared" si="6"/>
        <v>0</v>
      </c>
      <c r="N16" s="43">
        <f t="shared" si="7"/>
        <v>1</v>
      </c>
      <c r="O16" s="43">
        <f t="shared" si="8"/>
        <v>1</v>
      </c>
      <c r="P16" s="43">
        <f t="shared" si="9"/>
        <v>0</v>
      </c>
      <c r="Q16" s="43">
        <f t="shared" si="10"/>
        <v>1</v>
      </c>
      <c r="R16" s="43">
        <f t="shared" si="11"/>
        <v>0</v>
      </c>
    </row>
    <row r="17" spans="1:18">
      <c r="A17" s="35" t="s">
        <v>24</v>
      </c>
      <c r="B17" s="41">
        <f>COUNTIFS(QuickGuitarRiffs!$K:$K, $A17, QuickGuitarRiffs!$G:$G, $B$1, QuickGuitarRiffs!$C:$C, B$4)</f>
        <v>0</v>
      </c>
      <c r="C17" s="41">
        <f>COUNTIFS(QuickGuitarRiffs!$K:$K, $A17, QuickGuitarRiffs!$G:$G, $B$1, QuickGuitarRiffs!$C:$C, C$4)</f>
        <v>1</v>
      </c>
      <c r="D17" s="41">
        <f>COUNTIFS(QuickGuitarRiffs!$K:$K, $A17, QuickGuitarRiffs!$G:$G, $B$1, QuickGuitarRiffs!$C:$C, D$4)</f>
        <v>0</v>
      </c>
      <c r="E17" s="41">
        <f t="shared" si="1"/>
        <v>1</v>
      </c>
      <c r="F17" s="9">
        <f>COUNTIFS(QuickGuitarRiffs!$K:$K, $A17, QuickGuitarRiffs!$G:$G, $G$1, QuickGuitarRiffs!$C:$C, F$4)</f>
        <v>0</v>
      </c>
      <c r="G17" s="9">
        <f>COUNTIFS(QuickGuitarRiffs!$K:$K, $A17, QuickGuitarRiffs!$G:$G, $G$1, QuickGuitarRiffs!$C:$C, G$4)</f>
        <v>2</v>
      </c>
      <c r="H17" s="9">
        <f>COUNTIFS(QuickGuitarRiffs!$K:$K, $A17, QuickGuitarRiffs!$G:$G, $G$1, QuickGuitarRiffs!$C:$C, H$4)</f>
        <v>0</v>
      </c>
      <c r="I17" s="9">
        <f t="shared" si="2"/>
        <v>2</v>
      </c>
      <c r="J17" s="42">
        <f t="shared" si="3"/>
        <v>3</v>
      </c>
      <c r="K17" s="42">
        <f t="shared" si="4"/>
        <v>0.33333333333333331</v>
      </c>
      <c r="L17" s="42">
        <f t="shared" si="5"/>
        <v>0.5</v>
      </c>
      <c r="M17" s="43">
        <f t="shared" si="6"/>
        <v>0</v>
      </c>
      <c r="N17" s="43">
        <f t="shared" si="7"/>
        <v>3</v>
      </c>
      <c r="O17" s="43">
        <f t="shared" si="8"/>
        <v>0</v>
      </c>
      <c r="P17" s="43">
        <f t="shared" si="9"/>
        <v>0</v>
      </c>
      <c r="Q17" s="43">
        <f t="shared" si="10"/>
        <v>0.33333333333333331</v>
      </c>
      <c r="R17" s="43">
        <f t="shared" si="11"/>
        <v>0</v>
      </c>
    </row>
    <row r="18" spans="1:18">
      <c r="A18" s="35" t="s">
        <v>27</v>
      </c>
      <c r="B18" s="41">
        <f>COUNTIFS(QuickGuitarRiffs!$K:$K, $A18, QuickGuitarRiffs!$G:$G, $B$1, QuickGuitarRiffs!$C:$C, B$4)</f>
        <v>3</v>
      </c>
      <c r="C18" s="41">
        <f>COUNTIFS(QuickGuitarRiffs!$K:$K, $A18, QuickGuitarRiffs!$G:$G, $B$1, QuickGuitarRiffs!$C:$C, C$4)</f>
        <v>4</v>
      </c>
      <c r="D18" s="41">
        <f>COUNTIFS(QuickGuitarRiffs!$K:$K, $A18, QuickGuitarRiffs!$G:$G, $B$1, QuickGuitarRiffs!$C:$C, D$4)</f>
        <v>1</v>
      </c>
      <c r="E18" s="41">
        <f t="shared" si="1"/>
        <v>8</v>
      </c>
      <c r="F18" s="9">
        <f>COUNTIFS(QuickGuitarRiffs!$K:$K, $A18, QuickGuitarRiffs!$G:$G, $G$1, QuickGuitarRiffs!$C:$C, F$4)</f>
        <v>4</v>
      </c>
      <c r="G18" s="9">
        <f>COUNTIFS(QuickGuitarRiffs!$K:$K, $A18, QuickGuitarRiffs!$G:$G, $G$1, QuickGuitarRiffs!$C:$C, G$4)</f>
        <v>2</v>
      </c>
      <c r="H18" s="9">
        <f>COUNTIFS(QuickGuitarRiffs!$K:$K, $A18, QuickGuitarRiffs!$G:$G, $G$1, QuickGuitarRiffs!$C:$C, H$4)</f>
        <v>0</v>
      </c>
      <c r="I18" s="9">
        <f t="shared" si="2"/>
        <v>6</v>
      </c>
      <c r="J18" s="42">
        <f t="shared" si="3"/>
        <v>14</v>
      </c>
      <c r="K18" s="42">
        <f t="shared" si="4"/>
        <v>0.5714285714285714</v>
      </c>
      <c r="L18" s="42">
        <f t="shared" si="5"/>
        <v>1.3333333333333333</v>
      </c>
      <c r="M18" s="43">
        <f t="shared" si="6"/>
        <v>7</v>
      </c>
      <c r="N18" s="43">
        <f t="shared" si="7"/>
        <v>6</v>
      </c>
      <c r="O18" s="43">
        <f t="shared" si="8"/>
        <v>1</v>
      </c>
      <c r="P18" s="43">
        <f t="shared" si="9"/>
        <v>0.42857142857142855</v>
      </c>
      <c r="Q18" s="43">
        <f t="shared" si="10"/>
        <v>0.66666666666666663</v>
      </c>
      <c r="R18" s="43">
        <f t="shared" si="11"/>
        <v>1</v>
      </c>
    </row>
    <row r="19" spans="1:18">
      <c r="A19" s="35" t="s">
        <v>29</v>
      </c>
      <c r="B19" s="41">
        <f>COUNTIFS(QuickGuitarRiffs!$K:$K, $A19, QuickGuitarRiffs!$G:$G, $B$1, QuickGuitarRiffs!$C:$C, B$4)</f>
        <v>1</v>
      </c>
      <c r="C19" s="41">
        <f>COUNTIFS(QuickGuitarRiffs!$K:$K, $A19, QuickGuitarRiffs!$G:$G, $B$1, QuickGuitarRiffs!$C:$C, C$4)</f>
        <v>4</v>
      </c>
      <c r="D19" s="41">
        <f>COUNTIFS(QuickGuitarRiffs!$K:$K, $A19, QuickGuitarRiffs!$G:$G, $B$1, QuickGuitarRiffs!$C:$C, D$4)</f>
        <v>0</v>
      </c>
      <c r="E19" s="41">
        <f t="shared" si="1"/>
        <v>5</v>
      </c>
      <c r="F19" s="9">
        <f>COUNTIFS(QuickGuitarRiffs!$K:$K, $A19, QuickGuitarRiffs!$G:$G, $G$1, QuickGuitarRiffs!$C:$C, F$4)</f>
        <v>0</v>
      </c>
      <c r="G19" s="9">
        <f>COUNTIFS(QuickGuitarRiffs!$K:$K, $A19, QuickGuitarRiffs!$G:$G, $G$1, QuickGuitarRiffs!$C:$C, G$4)</f>
        <v>2</v>
      </c>
      <c r="H19" s="9">
        <f>COUNTIFS(QuickGuitarRiffs!$K:$K, $A19, QuickGuitarRiffs!$G:$G, $G$1, QuickGuitarRiffs!$C:$C, H$4)</f>
        <v>0</v>
      </c>
      <c r="I19" s="9">
        <f t="shared" si="2"/>
        <v>2</v>
      </c>
      <c r="J19" s="42">
        <f t="shared" si="3"/>
        <v>7</v>
      </c>
      <c r="K19" s="42">
        <f t="shared" si="4"/>
        <v>0.7142857142857143</v>
      </c>
      <c r="L19" s="42">
        <f t="shared" si="5"/>
        <v>2.5</v>
      </c>
      <c r="M19" s="43">
        <f t="shared" si="6"/>
        <v>1</v>
      </c>
      <c r="N19" s="43">
        <f t="shared" si="7"/>
        <v>6</v>
      </c>
      <c r="O19" s="43">
        <f t="shared" si="8"/>
        <v>0</v>
      </c>
      <c r="P19" s="43">
        <f t="shared" si="9"/>
        <v>1</v>
      </c>
      <c r="Q19" s="43">
        <f t="shared" si="10"/>
        <v>0.66666666666666663</v>
      </c>
      <c r="R19" s="43">
        <f t="shared" si="11"/>
        <v>0</v>
      </c>
    </row>
    <row r="20" spans="1:18">
      <c r="A20" s="35" t="s">
        <v>15</v>
      </c>
      <c r="B20" s="41">
        <f>COUNTIFS(QuickGuitarRiffs!$K:$K, $A20, QuickGuitarRiffs!$G:$G, $B$1, QuickGuitarRiffs!$C:$C, B$4)</f>
        <v>10</v>
      </c>
      <c r="C20" s="41">
        <f>COUNTIFS(QuickGuitarRiffs!$K:$K, $A20, QuickGuitarRiffs!$G:$G, $B$1, QuickGuitarRiffs!$C:$C, C$4)</f>
        <v>15</v>
      </c>
      <c r="D20" s="41">
        <f>COUNTIFS(QuickGuitarRiffs!$K:$K, $A20, QuickGuitarRiffs!$G:$G, $B$1, QuickGuitarRiffs!$C:$C, D$4)</f>
        <v>13</v>
      </c>
      <c r="E20" s="41">
        <f t="shared" si="1"/>
        <v>38</v>
      </c>
      <c r="F20" s="9">
        <f>COUNTIFS(QuickGuitarRiffs!$K:$K, $A20, QuickGuitarRiffs!$G:$G, $G$1, QuickGuitarRiffs!$C:$C, F$4)</f>
        <v>9</v>
      </c>
      <c r="G20" s="9">
        <f>COUNTIFS(QuickGuitarRiffs!$K:$K, $A20, QuickGuitarRiffs!$G:$G, $G$1, QuickGuitarRiffs!$C:$C, G$4)</f>
        <v>6</v>
      </c>
      <c r="H20" s="9">
        <f>COUNTIFS(QuickGuitarRiffs!$K:$K, $A20, QuickGuitarRiffs!$G:$G, $G$1, QuickGuitarRiffs!$C:$C, H$4)</f>
        <v>7</v>
      </c>
      <c r="I20" s="9">
        <f t="shared" si="2"/>
        <v>22</v>
      </c>
      <c r="J20" s="42">
        <f t="shared" si="3"/>
        <v>60</v>
      </c>
      <c r="K20" s="42">
        <f t="shared" si="4"/>
        <v>0.6333333333333333</v>
      </c>
      <c r="L20" s="42">
        <f t="shared" si="5"/>
        <v>1.7272727272727273</v>
      </c>
      <c r="M20" s="43">
        <f t="shared" si="6"/>
        <v>19</v>
      </c>
      <c r="N20" s="43">
        <f t="shared" si="7"/>
        <v>21</v>
      </c>
      <c r="O20" s="43">
        <f t="shared" si="8"/>
        <v>20</v>
      </c>
      <c r="P20" s="43">
        <f t="shared" si="9"/>
        <v>0.52631578947368418</v>
      </c>
      <c r="Q20" s="43">
        <f t="shared" si="10"/>
        <v>0.7142857142857143</v>
      </c>
      <c r="R20" s="43">
        <f t="shared" si="11"/>
        <v>0.65</v>
      </c>
    </row>
    <row r="21" spans="1:18">
      <c r="A21" s="35" t="s">
        <v>25</v>
      </c>
      <c r="B21" s="41">
        <f>COUNTIFS(QuickGuitarRiffs!$K:$K, $A21, QuickGuitarRiffs!$G:$G, $B$1, QuickGuitarRiffs!$C:$C, B$4)</f>
        <v>0</v>
      </c>
      <c r="C21" s="41">
        <f>COUNTIFS(QuickGuitarRiffs!$K:$K, $A21, QuickGuitarRiffs!$G:$G, $B$1, QuickGuitarRiffs!$C:$C, C$4)</f>
        <v>0</v>
      </c>
      <c r="D21" s="41">
        <f>COUNTIFS(QuickGuitarRiffs!$K:$K, $A21, QuickGuitarRiffs!$G:$G, $B$1, QuickGuitarRiffs!$C:$C, D$4)</f>
        <v>1</v>
      </c>
      <c r="E21" s="41">
        <f t="shared" si="1"/>
        <v>1</v>
      </c>
      <c r="F21" s="9">
        <f>COUNTIFS(QuickGuitarRiffs!$K:$K, $A21, QuickGuitarRiffs!$G:$G, $G$1, QuickGuitarRiffs!$C:$C, F$4)</f>
        <v>1</v>
      </c>
      <c r="G21" s="9">
        <f>COUNTIFS(QuickGuitarRiffs!$K:$K, $A21, QuickGuitarRiffs!$G:$G, $G$1, QuickGuitarRiffs!$C:$C, G$4)</f>
        <v>0</v>
      </c>
      <c r="H21" s="9">
        <f>COUNTIFS(QuickGuitarRiffs!$K:$K, $A21, QuickGuitarRiffs!$G:$G, $G$1, QuickGuitarRiffs!$C:$C, H$4)</f>
        <v>0</v>
      </c>
      <c r="I21" s="9">
        <f t="shared" si="2"/>
        <v>1</v>
      </c>
      <c r="J21" s="42">
        <f t="shared" si="3"/>
        <v>2</v>
      </c>
      <c r="K21" s="42">
        <f t="shared" si="4"/>
        <v>0.5</v>
      </c>
      <c r="L21" s="42">
        <f t="shared" si="5"/>
        <v>1</v>
      </c>
      <c r="M21" s="43">
        <f t="shared" si="6"/>
        <v>1</v>
      </c>
      <c r="N21" s="43">
        <f t="shared" si="7"/>
        <v>0</v>
      </c>
      <c r="O21" s="43">
        <f t="shared" si="8"/>
        <v>1</v>
      </c>
      <c r="P21" s="43">
        <f t="shared" si="9"/>
        <v>0</v>
      </c>
      <c r="Q21" s="43">
        <f t="shared" si="10"/>
        <v>0</v>
      </c>
      <c r="R21" s="43">
        <f t="shared" si="11"/>
        <v>1</v>
      </c>
    </row>
    <row r="22" spans="1:18">
      <c r="A22" s="35" t="s">
        <v>16</v>
      </c>
      <c r="B22" s="41">
        <f>COUNTIFS(QuickGuitarRiffs!$K:$K, $A22, QuickGuitarRiffs!$G:$G, $B$1, QuickGuitarRiffs!$C:$C, B$4)</f>
        <v>0</v>
      </c>
      <c r="C22" s="41">
        <f>COUNTIFS(QuickGuitarRiffs!$K:$K, $A22, QuickGuitarRiffs!$G:$G, $B$1, QuickGuitarRiffs!$C:$C, C$4)</f>
        <v>0</v>
      </c>
      <c r="D22" s="41">
        <f>COUNTIFS(QuickGuitarRiffs!$K:$K, $A22, QuickGuitarRiffs!$G:$G, $B$1, QuickGuitarRiffs!$C:$C, D$4)</f>
        <v>0</v>
      </c>
      <c r="E22" s="41">
        <f t="shared" si="1"/>
        <v>0</v>
      </c>
      <c r="F22" s="9">
        <f>COUNTIFS(QuickGuitarRiffs!$K:$K, $A22, QuickGuitarRiffs!$G:$G, $G$1, QuickGuitarRiffs!$C:$C, F$4)</f>
        <v>0</v>
      </c>
      <c r="G22" s="9">
        <f>COUNTIFS(QuickGuitarRiffs!$K:$K, $A22, QuickGuitarRiffs!$G:$G, $G$1, QuickGuitarRiffs!$C:$C, G$4)</f>
        <v>1</v>
      </c>
      <c r="H22" s="9">
        <f>COUNTIFS(QuickGuitarRiffs!$K:$K, $A22, QuickGuitarRiffs!$G:$G, $G$1, QuickGuitarRiffs!$C:$C, H$4)</f>
        <v>0</v>
      </c>
      <c r="I22" s="9">
        <f t="shared" si="2"/>
        <v>1</v>
      </c>
      <c r="J22" s="42">
        <f t="shared" si="3"/>
        <v>1</v>
      </c>
      <c r="K22" s="42">
        <f t="shared" si="4"/>
        <v>0</v>
      </c>
      <c r="L22" s="42">
        <f t="shared" si="5"/>
        <v>0</v>
      </c>
      <c r="M22" s="43">
        <f t="shared" si="6"/>
        <v>0</v>
      </c>
      <c r="N22" s="43">
        <f t="shared" si="7"/>
        <v>1</v>
      </c>
      <c r="O22" s="43">
        <f t="shared" si="8"/>
        <v>0</v>
      </c>
      <c r="P22" s="43">
        <f t="shared" si="9"/>
        <v>0</v>
      </c>
      <c r="Q22" s="43">
        <f t="shared" si="10"/>
        <v>0</v>
      </c>
      <c r="R22" s="43">
        <f t="shared" si="11"/>
        <v>0</v>
      </c>
    </row>
    <row r="23" spans="1:18">
      <c r="A23" s="35" t="s">
        <v>18</v>
      </c>
      <c r="B23" s="41">
        <f>COUNTIFS(QuickGuitarRiffs!$K:$K, $A23, QuickGuitarRiffs!$G:$G, $B$1, QuickGuitarRiffs!$C:$C, B$4)</f>
        <v>0</v>
      </c>
      <c r="C23" s="41">
        <f>COUNTIFS(QuickGuitarRiffs!$K:$K, $A23, QuickGuitarRiffs!$G:$G, $B$1, QuickGuitarRiffs!$C:$C, C$4)</f>
        <v>0</v>
      </c>
      <c r="D23" s="41">
        <f>COUNTIFS(QuickGuitarRiffs!$K:$K, $A23, QuickGuitarRiffs!$G:$G, $B$1, QuickGuitarRiffs!$C:$C, D$4)</f>
        <v>0</v>
      </c>
      <c r="E23" s="41">
        <f t="shared" si="1"/>
        <v>0</v>
      </c>
      <c r="F23" s="9">
        <f>COUNTIFS(QuickGuitarRiffs!$K:$K, $A23, QuickGuitarRiffs!$G:$G, $G$1, QuickGuitarRiffs!$C:$C, F$4)</f>
        <v>0</v>
      </c>
      <c r="G23" s="9">
        <f>COUNTIFS(QuickGuitarRiffs!$K:$K, $A23, QuickGuitarRiffs!$G:$G, $G$1, QuickGuitarRiffs!$C:$C, G$4)</f>
        <v>0</v>
      </c>
      <c r="H23" s="9">
        <f>COUNTIFS(QuickGuitarRiffs!$K:$K, $A23, QuickGuitarRiffs!$G:$G, $G$1, QuickGuitarRiffs!$C:$C, H$4)</f>
        <v>1</v>
      </c>
      <c r="I23" s="9">
        <f t="shared" si="2"/>
        <v>1</v>
      </c>
      <c r="J23" s="42">
        <f t="shared" si="3"/>
        <v>1</v>
      </c>
      <c r="K23" s="42">
        <f t="shared" si="4"/>
        <v>0</v>
      </c>
      <c r="L23" s="42">
        <f t="shared" si="5"/>
        <v>0</v>
      </c>
      <c r="M23" s="43">
        <f t="shared" si="6"/>
        <v>0</v>
      </c>
      <c r="N23" s="43">
        <f t="shared" si="7"/>
        <v>0</v>
      </c>
      <c r="O23" s="43">
        <f t="shared" si="8"/>
        <v>1</v>
      </c>
      <c r="P23" s="43">
        <f t="shared" si="9"/>
        <v>0</v>
      </c>
      <c r="Q23" s="43">
        <f t="shared" si="10"/>
        <v>0</v>
      </c>
      <c r="R23" s="43">
        <f t="shared" si="11"/>
        <v>0</v>
      </c>
    </row>
    <row r="24" spans="1:18">
      <c r="A24" s="35" t="s">
        <v>19</v>
      </c>
      <c r="B24" s="41">
        <f>COUNTIFS(QuickGuitarRiffs!$K:$K, $A24, QuickGuitarRiffs!$G:$G, $B$1, QuickGuitarRiffs!$C:$C, B$4)</f>
        <v>1</v>
      </c>
      <c r="C24" s="41">
        <f>COUNTIFS(QuickGuitarRiffs!$K:$K, $A24, QuickGuitarRiffs!$G:$G, $B$1, QuickGuitarRiffs!$C:$C, C$4)</f>
        <v>3</v>
      </c>
      <c r="D24" s="41">
        <f>COUNTIFS(QuickGuitarRiffs!$K:$K, $A24, QuickGuitarRiffs!$G:$G, $B$1, QuickGuitarRiffs!$C:$C, D$4)</f>
        <v>4</v>
      </c>
      <c r="E24" s="41">
        <f t="shared" si="1"/>
        <v>8</v>
      </c>
      <c r="F24" s="9">
        <f>COUNTIFS(QuickGuitarRiffs!$K:$K, $A24, QuickGuitarRiffs!$G:$G, $G$1, QuickGuitarRiffs!$C:$C, F$4)</f>
        <v>0</v>
      </c>
      <c r="G24" s="9">
        <f>COUNTIFS(QuickGuitarRiffs!$K:$K, $A24, QuickGuitarRiffs!$G:$G, $G$1, QuickGuitarRiffs!$C:$C, G$4)</f>
        <v>3</v>
      </c>
      <c r="H24" s="9">
        <f>COUNTIFS(QuickGuitarRiffs!$K:$K, $A24, QuickGuitarRiffs!$G:$G, $G$1, QuickGuitarRiffs!$C:$C, H$4)</f>
        <v>3</v>
      </c>
      <c r="I24" s="9">
        <f t="shared" si="2"/>
        <v>6</v>
      </c>
      <c r="J24" s="42">
        <f t="shared" si="3"/>
        <v>14</v>
      </c>
      <c r="K24" s="42">
        <f t="shared" si="4"/>
        <v>0.5714285714285714</v>
      </c>
      <c r="L24" s="42">
        <f t="shared" si="5"/>
        <v>1.3333333333333333</v>
      </c>
      <c r="M24" s="43">
        <f t="shared" si="6"/>
        <v>1</v>
      </c>
      <c r="N24" s="43">
        <f t="shared" si="7"/>
        <v>6</v>
      </c>
      <c r="O24" s="43">
        <f t="shared" si="8"/>
        <v>7</v>
      </c>
      <c r="P24" s="43">
        <f t="shared" si="9"/>
        <v>1</v>
      </c>
      <c r="Q24" s="43">
        <f t="shared" si="10"/>
        <v>0.5</v>
      </c>
      <c r="R24" s="43">
        <f t="shared" si="11"/>
        <v>0.5714285714285714</v>
      </c>
    </row>
    <row r="25" spans="1:18">
      <c r="A25" s="35" t="s">
        <v>28</v>
      </c>
      <c r="B25" s="41">
        <f>COUNTIFS(QuickGuitarRiffs!$K:$K, $A25, QuickGuitarRiffs!$G:$G, $B$1, QuickGuitarRiffs!$C:$C, B$4)</f>
        <v>0</v>
      </c>
      <c r="C25" s="41">
        <f>COUNTIFS(QuickGuitarRiffs!$K:$K, $A25, QuickGuitarRiffs!$G:$G, $B$1, QuickGuitarRiffs!$C:$C, C$4)</f>
        <v>2</v>
      </c>
      <c r="D25" s="41">
        <f>COUNTIFS(QuickGuitarRiffs!$K:$K, $A25, QuickGuitarRiffs!$G:$G, $B$1, QuickGuitarRiffs!$C:$C, D$4)</f>
        <v>1</v>
      </c>
      <c r="E25" s="41">
        <f t="shared" si="1"/>
        <v>3</v>
      </c>
      <c r="F25" s="9">
        <f>COUNTIFS(QuickGuitarRiffs!$K:$K, $A25, QuickGuitarRiffs!$G:$G, $G$1, QuickGuitarRiffs!$C:$C, F$4)</f>
        <v>1</v>
      </c>
      <c r="G25" s="9">
        <f>COUNTIFS(QuickGuitarRiffs!$K:$K, $A25, QuickGuitarRiffs!$G:$G, $G$1, QuickGuitarRiffs!$C:$C, G$4)</f>
        <v>0</v>
      </c>
      <c r="H25" s="9">
        <f>COUNTIFS(QuickGuitarRiffs!$K:$K, $A25, QuickGuitarRiffs!$G:$G, $G$1, QuickGuitarRiffs!$C:$C, H$4)</f>
        <v>0</v>
      </c>
      <c r="I25" s="9">
        <f t="shared" si="2"/>
        <v>1</v>
      </c>
      <c r="J25" s="42">
        <f t="shared" si="3"/>
        <v>4</v>
      </c>
      <c r="K25" s="42">
        <f t="shared" si="4"/>
        <v>0.75</v>
      </c>
      <c r="L25" s="42">
        <f t="shared" si="5"/>
        <v>3</v>
      </c>
      <c r="M25" s="43">
        <f t="shared" si="6"/>
        <v>1</v>
      </c>
      <c r="N25" s="43">
        <f t="shared" si="7"/>
        <v>2</v>
      </c>
      <c r="O25" s="43">
        <f t="shared" si="8"/>
        <v>1</v>
      </c>
      <c r="P25" s="43">
        <f t="shared" si="9"/>
        <v>0</v>
      </c>
      <c r="Q25" s="43">
        <f t="shared" si="10"/>
        <v>1</v>
      </c>
      <c r="R25" s="43">
        <f t="shared" si="11"/>
        <v>1</v>
      </c>
    </row>
    <row r="26" spans="1:18">
      <c r="A26" s="36" t="s">
        <v>371</v>
      </c>
      <c r="B26" s="41">
        <f>COUNTIFS(QuickGuitarRiffs!$K:$K, $A26, QuickGuitarRiffs!$G:$G, $B$1, QuickGuitarRiffs!$C:$C, B$4)</f>
        <v>4</v>
      </c>
      <c r="C26" s="41">
        <f>COUNTIFS(QuickGuitarRiffs!$K:$K, $A26, QuickGuitarRiffs!$G:$G, $B$1, QuickGuitarRiffs!$C:$C, C$4)</f>
        <v>7</v>
      </c>
      <c r="D26" s="41">
        <f>COUNTIFS(QuickGuitarRiffs!$K:$K, $A26, QuickGuitarRiffs!$G:$G, $B$1, QuickGuitarRiffs!$C:$C, D$4)</f>
        <v>1</v>
      </c>
      <c r="E26" s="41">
        <f t="shared" si="1"/>
        <v>12</v>
      </c>
      <c r="F26" s="9">
        <f>COUNTIFS(QuickGuitarRiffs!$K:$K, $A26, QuickGuitarRiffs!$G:$G, $G$1, QuickGuitarRiffs!$C:$C, F$4)</f>
        <v>1</v>
      </c>
      <c r="G26" s="9">
        <f>COUNTIFS(QuickGuitarRiffs!$K:$K, $A26, QuickGuitarRiffs!$G:$G, $G$1, QuickGuitarRiffs!$C:$C, G$4)</f>
        <v>1</v>
      </c>
      <c r="H26" s="9">
        <f>COUNTIFS(QuickGuitarRiffs!$K:$K, $A26, QuickGuitarRiffs!$G:$G, $G$1, QuickGuitarRiffs!$C:$C, H$4)</f>
        <v>0</v>
      </c>
      <c r="I26" s="9">
        <f t="shared" si="2"/>
        <v>2</v>
      </c>
      <c r="J26" s="42">
        <f t="shared" si="3"/>
        <v>14</v>
      </c>
      <c r="K26" s="42">
        <f t="shared" si="4"/>
        <v>0.8571428571428571</v>
      </c>
      <c r="L26" s="42">
        <f t="shared" si="5"/>
        <v>6</v>
      </c>
      <c r="M26" s="43">
        <f t="shared" si="6"/>
        <v>5</v>
      </c>
      <c r="N26" s="43">
        <f t="shared" si="7"/>
        <v>8</v>
      </c>
      <c r="O26" s="43">
        <f t="shared" si="8"/>
        <v>1</v>
      </c>
      <c r="P26" s="43">
        <f t="shared" si="9"/>
        <v>0.8</v>
      </c>
      <c r="Q26" s="43">
        <f t="shared" si="10"/>
        <v>0.875</v>
      </c>
      <c r="R26" s="43">
        <f t="shared" si="11"/>
        <v>1</v>
      </c>
    </row>
    <row r="27" spans="1:18">
      <c r="A27" s="36" t="s">
        <v>370</v>
      </c>
      <c r="B27" s="41">
        <f>COUNTIFS(QuickGuitarRiffs!$K:$K, $A27, QuickGuitarRiffs!$G:$G, $B$1, QuickGuitarRiffs!$C:$C, B$4)</f>
        <v>2</v>
      </c>
      <c r="C27" s="41">
        <f>COUNTIFS(QuickGuitarRiffs!$K:$K, $A27, QuickGuitarRiffs!$G:$G, $B$1, QuickGuitarRiffs!$C:$C, C$4)</f>
        <v>0</v>
      </c>
      <c r="D27" s="41">
        <f>COUNTIFS(QuickGuitarRiffs!$K:$K, $A27, QuickGuitarRiffs!$G:$G, $B$1, QuickGuitarRiffs!$C:$C, D$4)</f>
        <v>1</v>
      </c>
      <c r="E27" s="41">
        <f t="shared" si="1"/>
        <v>3</v>
      </c>
      <c r="F27" s="9">
        <f>COUNTIFS(QuickGuitarRiffs!$K:$K, $A27, QuickGuitarRiffs!$G:$G, $G$1, QuickGuitarRiffs!$C:$C, F$4)</f>
        <v>1</v>
      </c>
      <c r="G27" s="9">
        <f>COUNTIFS(QuickGuitarRiffs!$K:$K, $A27, QuickGuitarRiffs!$G:$G, $G$1, QuickGuitarRiffs!$C:$C, G$4)</f>
        <v>0</v>
      </c>
      <c r="H27" s="9">
        <f>COUNTIFS(QuickGuitarRiffs!$K:$K, $A27, QuickGuitarRiffs!$G:$G, $G$1, QuickGuitarRiffs!$C:$C, H$4)</f>
        <v>0</v>
      </c>
      <c r="I27" s="9">
        <f t="shared" si="2"/>
        <v>1</v>
      </c>
      <c r="J27" s="42">
        <f t="shared" si="3"/>
        <v>4</v>
      </c>
      <c r="K27" s="42">
        <f t="shared" si="4"/>
        <v>0.75</v>
      </c>
      <c r="L27" s="42">
        <f t="shared" si="5"/>
        <v>3</v>
      </c>
      <c r="M27" s="43">
        <f t="shared" si="6"/>
        <v>3</v>
      </c>
      <c r="N27" s="43">
        <f t="shared" si="7"/>
        <v>0</v>
      </c>
      <c r="O27" s="43">
        <f t="shared" si="8"/>
        <v>1</v>
      </c>
      <c r="P27" s="43">
        <f t="shared" si="9"/>
        <v>0.66666666666666663</v>
      </c>
      <c r="Q27" s="43">
        <f t="shared" si="10"/>
        <v>0</v>
      </c>
      <c r="R27" s="43">
        <f t="shared" si="11"/>
        <v>1</v>
      </c>
    </row>
    <row r="28" spans="1:18">
      <c r="A28" s="36" t="s">
        <v>373</v>
      </c>
      <c r="B28" s="41">
        <f>COUNTIFS(QuickGuitarRiffs!$K:$K, $A28, QuickGuitarRiffs!$G:$G, $B$1, QuickGuitarRiffs!$C:$C, B$4)</f>
        <v>0</v>
      </c>
      <c r="C28" s="41">
        <f>COUNTIFS(QuickGuitarRiffs!$K:$K, $A28, QuickGuitarRiffs!$G:$G, $B$1, QuickGuitarRiffs!$C:$C, C$4)</f>
        <v>0</v>
      </c>
      <c r="D28" s="41">
        <f>COUNTIFS(QuickGuitarRiffs!$K:$K, $A28, QuickGuitarRiffs!$G:$G, $B$1, QuickGuitarRiffs!$C:$C, D$4)</f>
        <v>0</v>
      </c>
      <c r="E28" s="41">
        <f t="shared" si="1"/>
        <v>0</v>
      </c>
      <c r="F28" s="9">
        <f>COUNTIFS(QuickGuitarRiffs!$K:$K, $A28, QuickGuitarRiffs!$G:$G, $G$1, QuickGuitarRiffs!$C:$C, F$4)</f>
        <v>0</v>
      </c>
      <c r="G28" s="9">
        <f>COUNTIFS(QuickGuitarRiffs!$K:$K, $A28, QuickGuitarRiffs!$G:$G, $G$1, QuickGuitarRiffs!$C:$C, G$4)</f>
        <v>1</v>
      </c>
      <c r="H28" s="9">
        <f>COUNTIFS(QuickGuitarRiffs!$K:$K, $A28, QuickGuitarRiffs!$G:$G, $G$1, QuickGuitarRiffs!$C:$C, H$4)</f>
        <v>0</v>
      </c>
      <c r="I28" s="9">
        <f t="shared" si="2"/>
        <v>1</v>
      </c>
      <c r="J28" s="42">
        <f t="shared" si="3"/>
        <v>1</v>
      </c>
      <c r="K28" s="42">
        <f t="shared" si="4"/>
        <v>0</v>
      </c>
      <c r="L28" s="42">
        <f t="shared" si="5"/>
        <v>0</v>
      </c>
      <c r="M28" s="43">
        <f t="shared" si="6"/>
        <v>0</v>
      </c>
      <c r="N28" s="43">
        <f t="shared" si="7"/>
        <v>1</v>
      </c>
      <c r="O28" s="43">
        <f t="shared" si="8"/>
        <v>0</v>
      </c>
      <c r="P28" s="43">
        <f t="shared" si="9"/>
        <v>0</v>
      </c>
      <c r="Q28" s="43">
        <f t="shared" si="10"/>
        <v>0</v>
      </c>
      <c r="R28" s="43">
        <f t="shared" si="11"/>
        <v>0</v>
      </c>
    </row>
    <row r="29" spans="1:18">
      <c r="A29" s="36" t="s">
        <v>1253</v>
      </c>
      <c r="B29" s="41">
        <f>COUNTIFS(QuickGuitarRiffs!$K:$K, $A29, QuickGuitarRiffs!$G:$G, $B$1, QuickGuitarRiffs!$C:$C, B$4)</f>
        <v>5</v>
      </c>
      <c r="C29" s="41">
        <f>COUNTIFS(QuickGuitarRiffs!$K:$K, $A29, QuickGuitarRiffs!$G:$G, $B$1, QuickGuitarRiffs!$C:$C, C$4)</f>
        <v>7</v>
      </c>
      <c r="D29" s="41">
        <f>COUNTIFS(QuickGuitarRiffs!$K:$K, $A29, QuickGuitarRiffs!$G:$G, $B$1, QuickGuitarRiffs!$C:$C, D$4)</f>
        <v>0</v>
      </c>
      <c r="E29" s="41">
        <f t="shared" ref="E29" si="12">SUM(B29:D29)</f>
        <v>12</v>
      </c>
      <c r="F29" s="9">
        <f>COUNTIFS(QuickGuitarRiffs!$K:$K, $A29, QuickGuitarRiffs!$G:$G, $G$1, QuickGuitarRiffs!$C:$C, F$4)</f>
        <v>0</v>
      </c>
      <c r="G29" s="9">
        <f>COUNTIFS(QuickGuitarRiffs!$K:$K, $A29, QuickGuitarRiffs!$G:$G, $G$1, QuickGuitarRiffs!$C:$C, G$4)</f>
        <v>0</v>
      </c>
      <c r="H29" s="9">
        <f>COUNTIFS(QuickGuitarRiffs!$K:$K, $A29, QuickGuitarRiffs!$G:$G, $G$1, QuickGuitarRiffs!$C:$C, H$4)</f>
        <v>0</v>
      </c>
      <c r="I29" s="9">
        <f t="shared" ref="I29" si="13">SUM(F29:H29)</f>
        <v>0</v>
      </c>
      <c r="J29" s="42">
        <f t="shared" ref="J29" si="14">E29+I29</f>
        <v>12</v>
      </c>
      <c r="K29" s="42">
        <f t="shared" ref="K29" si="15">IF(J29=0, 0, E29/J29)</f>
        <v>1</v>
      </c>
      <c r="L29" s="42">
        <f t="shared" ref="L29" si="16">IF(I29=0, 0, E29/I29)</f>
        <v>0</v>
      </c>
      <c r="M29" s="43">
        <f t="shared" ref="M29" si="17">B29+F29</f>
        <v>5</v>
      </c>
      <c r="N29" s="43">
        <f t="shared" ref="N29" si="18">C29+G29</f>
        <v>7</v>
      </c>
      <c r="O29" s="43">
        <f t="shared" ref="O29" si="19">D29+H29</f>
        <v>0</v>
      </c>
      <c r="P29" s="43">
        <f t="shared" ref="P29" si="20">IF(M29=0, 0, B29/M29)</f>
        <v>1</v>
      </c>
      <c r="Q29" s="43">
        <f t="shared" ref="Q29" si="21">IF(N29=0, 0, C29/N29)</f>
        <v>1</v>
      </c>
      <c r="R29" s="43">
        <f t="shared" ref="R29" si="22">IF(O29=0, 0, D29/O29)</f>
        <v>0</v>
      </c>
    </row>
    <row r="30" spans="1:18">
      <c r="P30" t="s">
        <v>931</v>
      </c>
    </row>
    <row r="36" ht="14.65" customHeight="1"/>
  </sheetData>
  <mergeCells count="15">
    <mergeCell ref="J2:L2"/>
    <mergeCell ref="J3:J4"/>
    <mergeCell ref="K3:K4"/>
    <mergeCell ref="L3:L4"/>
    <mergeCell ref="E3:E4"/>
    <mergeCell ref="I3:I4"/>
    <mergeCell ref="F2:I2"/>
    <mergeCell ref="B2:E2"/>
    <mergeCell ref="M2:R2"/>
    <mergeCell ref="M3:M4"/>
    <mergeCell ref="N3:N4"/>
    <mergeCell ref="O3:O4"/>
    <mergeCell ref="P3:P4"/>
    <mergeCell ref="Q3:Q4"/>
    <mergeCell ref="R3:R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P577"/>
  <sheetViews>
    <sheetView tabSelected="1" zoomScale="85" zoomScaleNormal="85" workbookViewId="0">
      <selection activeCell="F4" sqref="F4"/>
    </sheetView>
  </sheetViews>
  <sheetFormatPr defaultColWidth="8.85546875" defaultRowHeight="15"/>
  <cols>
    <col min="1" max="2" width="6.140625" customWidth="1"/>
    <col min="3" max="3" width="5.7109375" customWidth="1"/>
    <col min="4" max="4" width="12.7109375" customWidth="1"/>
    <col min="5" max="5" width="21" customWidth="1"/>
    <col min="6" max="6" width="25" customWidth="1"/>
    <col min="7" max="7" width="7" customWidth="1"/>
    <col min="8" max="8" width="4.7109375" customWidth="1"/>
    <col min="9" max="9" width="26.85546875" customWidth="1"/>
    <col min="10" max="10" width="6.28515625" customWidth="1"/>
    <col min="11" max="11" width="16" customWidth="1"/>
    <col min="12" max="12" width="8.85546875" customWidth="1"/>
    <col min="13" max="15" width="18" customWidth="1"/>
    <col min="16" max="16" width="123.7109375" style="1" customWidth="1"/>
  </cols>
  <sheetData>
    <row r="1" spans="1:16">
      <c r="A1" s="111" t="s">
        <v>0</v>
      </c>
      <c r="B1" s="102" t="s">
        <v>2580</v>
      </c>
      <c r="C1" s="114" t="s">
        <v>1</v>
      </c>
      <c r="D1" s="115"/>
      <c r="E1" s="111" t="s">
        <v>2</v>
      </c>
      <c r="F1" s="111" t="s">
        <v>3</v>
      </c>
      <c r="G1" s="102" t="s">
        <v>75</v>
      </c>
      <c r="H1" s="112" t="s">
        <v>9</v>
      </c>
      <c r="I1" s="113"/>
      <c r="J1" s="111" t="s">
        <v>8</v>
      </c>
      <c r="K1" s="111" t="s">
        <v>4</v>
      </c>
      <c r="L1" s="111"/>
      <c r="M1" s="111" t="s">
        <v>7</v>
      </c>
      <c r="N1" s="102" t="s">
        <v>613</v>
      </c>
      <c r="O1" s="102" t="s">
        <v>608</v>
      </c>
      <c r="P1" s="111" t="s">
        <v>71</v>
      </c>
    </row>
    <row r="2" spans="1:16">
      <c r="A2" s="111"/>
      <c r="B2" s="103"/>
      <c r="C2" s="116"/>
      <c r="D2" s="117"/>
      <c r="E2" s="111"/>
      <c r="F2" s="111"/>
      <c r="G2" s="103"/>
      <c r="H2" s="8" t="s">
        <v>57</v>
      </c>
      <c r="I2" s="8" t="s">
        <v>58</v>
      </c>
      <c r="J2" s="111"/>
      <c r="K2" s="8" t="s">
        <v>6</v>
      </c>
      <c r="L2" s="8" t="s">
        <v>5</v>
      </c>
      <c r="M2" s="111"/>
      <c r="N2" s="103"/>
      <c r="O2" s="103"/>
      <c r="P2" s="111"/>
    </row>
    <row r="3" spans="1:16">
      <c r="A3" s="4" t="str">
        <f t="shared" ref="A3:P3" si="0">SUBSTITUTE(ADDRESS(ROW(),COLUMN(),4),ROW(),"")</f>
        <v>A</v>
      </c>
      <c r="B3" s="4" t="str">
        <f t="shared" si="0"/>
        <v>B</v>
      </c>
      <c r="C3" s="4" t="str">
        <f t="shared" si="0"/>
        <v>C</v>
      </c>
      <c r="D3" s="4" t="str">
        <f t="shared" si="0"/>
        <v>D</v>
      </c>
      <c r="E3" s="4" t="str">
        <f t="shared" si="0"/>
        <v>E</v>
      </c>
      <c r="F3" s="4" t="str">
        <f t="shared" si="0"/>
        <v>F</v>
      </c>
      <c r="G3" s="4" t="str">
        <f t="shared" si="0"/>
        <v>G</v>
      </c>
      <c r="H3" s="4" t="str">
        <f t="shared" si="0"/>
        <v>H</v>
      </c>
      <c r="I3" s="4" t="str">
        <f t="shared" si="0"/>
        <v>I</v>
      </c>
      <c r="J3" s="4" t="str">
        <f t="shared" si="0"/>
        <v>J</v>
      </c>
      <c r="K3" s="4" t="str">
        <f t="shared" si="0"/>
        <v>K</v>
      </c>
      <c r="L3" s="4" t="str">
        <f t="shared" si="0"/>
        <v>L</v>
      </c>
      <c r="M3" s="4" t="str">
        <f t="shared" si="0"/>
        <v>M</v>
      </c>
      <c r="N3" s="4" t="str">
        <f t="shared" si="0"/>
        <v>N</v>
      </c>
      <c r="O3" s="4" t="str">
        <f t="shared" si="0"/>
        <v>O</v>
      </c>
      <c r="P3" s="4" t="str">
        <f t="shared" si="0"/>
        <v>P</v>
      </c>
    </row>
    <row r="4" spans="1:16" ht="256.5">
      <c r="A4" s="44">
        <v>1</v>
      </c>
      <c r="B4" s="44">
        <v>1</v>
      </c>
      <c r="C4" s="44">
        <v>2</v>
      </c>
      <c r="D4" s="45" t="str">
        <f>INDEX(Helper!$N$2:$N$4, MATCH(C4, Helper!$M$2:$M$4, 0))</f>
        <v>Intermediate</v>
      </c>
      <c r="E4" s="55" t="s">
        <v>237</v>
      </c>
      <c r="F4" s="56" t="s">
        <v>217</v>
      </c>
      <c r="G4" s="5">
        <v>0</v>
      </c>
      <c r="H4" s="44">
        <v>1</v>
      </c>
      <c r="I4" s="44" t="str">
        <f>INDEX(Helper!$C:$C, MATCH(H4, Helper!$A:$A, 0))</f>
        <v>Standard (EADGBE)</v>
      </c>
      <c r="J4" s="44" t="s">
        <v>62</v>
      </c>
      <c r="K4" s="57" t="s">
        <v>21</v>
      </c>
      <c r="L4" s="44" t="str">
        <f>INDEX(Helper!$F:$F, MATCH(K4, Helper!$E:$E, 0))</f>
        <v>#45F0E2</v>
      </c>
      <c r="M4" s="45" t="s">
        <v>738</v>
      </c>
      <c r="N4" s="45" t="s">
        <v>614</v>
      </c>
      <c r="O4" s="46" t="s">
        <v>640</v>
      </c>
      <c r="P4" s="76" t="s">
        <v>939</v>
      </c>
    </row>
    <row r="5" spans="1:16" ht="81">
      <c r="A5" s="44">
        <v>2</v>
      </c>
      <c r="B5" s="44">
        <v>1</v>
      </c>
      <c r="C5" s="44">
        <v>1</v>
      </c>
      <c r="D5" s="45" t="str">
        <f>INDEX(Helper!$N$2:$N$4, MATCH(C5, Helper!$M$2:$M$4, 0))</f>
        <v>Beginner</v>
      </c>
      <c r="E5" s="58" t="s">
        <v>186</v>
      </c>
      <c r="F5" s="56" t="s">
        <v>218</v>
      </c>
      <c r="G5" s="5">
        <v>1</v>
      </c>
      <c r="H5" s="44">
        <v>1</v>
      </c>
      <c r="I5" s="44" t="str">
        <f>INDEX(Helper!$C:$C, MATCH(H5, Helper!$A:$A, 0))</f>
        <v>Standard (EADGBE)</v>
      </c>
      <c r="J5" s="44" t="s">
        <v>59</v>
      </c>
      <c r="K5" s="59" t="s">
        <v>10</v>
      </c>
      <c r="L5" s="44" t="str">
        <f>INDEX(Helper!$F:$F, MATCH(K5, Helper!$E:$E, 0))</f>
        <v>#F5943C</v>
      </c>
      <c r="M5" s="45" t="s">
        <v>397</v>
      </c>
      <c r="N5" s="45" t="s">
        <v>614</v>
      </c>
      <c r="O5" s="46" t="s">
        <v>641</v>
      </c>
      <c r="P5" s="76" t="s">
        <v>940</v>
      </c>
    </row>
    <row r="6" spans="1:16" ht="81">
      <c r="A6" s="44">
        <v>3</v>
      </c>
      <c r="B6" s="44">
        <v>1</v>
      </c>
      <c r="C6" s="44">
        <v>1</v>
      </c>
      <c r="D6" s="45" t="str">
        <f>INDEX(Helper!$N$2:$N$4, MATCH(C6, Helper!$M$2:$M$4, 0))</f>
        <v>Beginner</v>
      </c>
      <c r="E6" s="58" t="s">
        <v>34</v>
      </c>
      <c r="F6" s="56" t="s">
        <v>219</v>
      </c>
      <c r="G6" s="5">
        <v>1</v>
      </c>
      <c r="H6" s="44">
        <v>1</v>
      </c>
      <c r="I6" s="44" t="str">
        <f>INDEX(Helper!$C:$C, MATCH(H6, Helper!$A:$A, 0))</f>
        <v>Standard (EADGBE)</v>
      </c>
      <c r="J6" s="44" t="s">
        <v>65</v>
      </c>
      <c r="K6" s="59" t="s">
        <v>10</v>
      </c>
      <c r="L6" s="44" t="str">
        <f>INDEX(Helper!$F:$F, MATCH(K6, Helper!$E:$E, 0))</f>
        <v>#F5943C</v>
      </c>
      <c r="M6" s="45" t="s">
        <v>391</v>
      </c>
      <c r="N6" s="45" t="s">
        <v>614</v>
      </c>
      <c r="O6" s="46" t="s">
        <v>644</v>
      </c>
      <c r="P6" s="76" t="s">
        <v>941</v>
      </c>
    </row>
    <row r="7" spans="1:16" ht="81">
      <c r="A7" s="44">
        <v>4</v>
      </c>
      <c r="B7" s="44">
        <v>1</v>
      </c>
      <c r="C7" s="44">
        <v>1</v>
      </c>
      <c r="D7" s="45" t="str">
        <f>INDEX(Helper!$N$2:$N$4, MATCH(C7, Helper!$M$2:$M$4, 0))</f>
        <v>Beginner</v>
      </c>
      <c r="E7" s="58" t="s">
        <v>134</v>
      </c>
      <c r="F7" s="56" t="s">
        <v>220</v>
      </c>
      <c r="G7" s="5">
        <v>0</v>
      </c>
      <c r="H7" s="44">
        <v>1</v>
      </c>
      <c r="I7" s="44" t="str">
        <f>INDEX(Helper!$C:$C, MATCH(H7, Helper!$A:$A, 0))</f>
        <v>Standard (EADGBE)</v>
      </c>
      <c r="J7" s="44" t="s">
        <v>67</v>
      </c>
      <c r="K7" s="57" t="s">
        <v>21</v>
      </c>
      <c r="L7" s="44" t="str">
        <f>INDEX(Helper!$F:$F, MATCH(K7, Helper!$E:$E, 0))</f>
        <v>#45F0E2</v>
      </c>
      <c r="M7" s="45" t="s">
        <v>398</v>
      </c>
      <c r="N7" s="45" t="s">
        <v>614</v>
      </c>
      <c r="O7" s="46" t="s">
        <v>645</v>
      </c>
      <c r="P7" s="76" t="s">
        <v>942</v>
      </c>
    </row>
    <row r="8" spans="1:16" ht="81">
      <c r="A8" s="44">
        <v>5</v>
      </c>
      <c r="B8" s="44">
        <v>1</v>
      </c>
      <c r="C8" s="44">
        <v>1</v>
      </c>
      <c r="D8" s="45" t="str">
        <f>INDEX(Helper!$N$2:$N$4, MATCH(C8, Helper!$M$2:$M$4, 0))</f>
        <v>Beginner</v>
      </c>
      <c r="E8" s="58" t="s">
        <v>221</v>
      </c>
      <c r="F8" s="56" t="s">
        <v>399</v>
      </c>
      <c r="G8" s="5">
        <v>0</v>
      </c>
      <c r="H8" s="44">
        <v>1</v>
      </c>
      <c r="I8" s="44" t="str">
        <f>INDEX(Helper!$C:$C, MATCH(H8, Helper!$A:$A, 0))</f>
        <v>Standard (EADGBE)</v>
      </c>
      <c r="J8" s="44" t="s">
        <v>393</v>
      </c>
      <c r="K8" s="59" t="s">
        <v>10</v>
      </c>
      <c r="L8" s="44" t="str">
        <f>INDEX(Helper!$F:$F, MATCH(K8, Helper!$E:$E, 0))</f>
        <v>#F5943C</v>
      </c>
      <c r="M8" s="45" t="s">
        <v>400</v>
      </c>
      <c r="N8" s="45" t="s">
        <v>614</v>
      </c>
      <c r="O8" s="46" t="s">
        <v>646</v>
      </c>
      <c r="P8" s="76" t="s">
        <v>943</v>
      </c>
    </row>
    <row r="9" spans="1:16" ht="81">
      <c r="A9" s="44">
        <v>6</v>
      </c>
      <c r="B9" s="44">
        <v>1</v>
      </c>
      <c r="C9" s="44">
        <v>1</v>
      </c>
      <c r="D9" s="45" t="str">
        <f>INDEX(Helper!$N$2:$N$4, MATCH(C9, Helper!$M$2:$M$4, 0))</f>
        <v>Beginner</v>
      </c>
      <c r="E9" s="58" t="s">
        <v>222</v>
      </c>
      <c r="F9" s="56" t="s">
        <v>223</v>
      </c>
      <c r="G9" s="5">
        <v>0</v>
      </c>
      <c r="H9" s="44">
        <v>1</v>
      </c>
      <c r="I9" s="44" t="str">
        <f>INDEX(Helper!$C:$C, MATCH(H9, Helper!$A:$A, 0))</f>
        <v>Standard (EADGBE)</v>
      </c>
      <c r="J9" s="44" t="s">
        <v>619</v>
      </c>
      <c r="K9" s="60" t="s">
        <v>29</v>
      </c>
      <c r="L9" s="44" t="str">
        <f>INDEX(Helper!$F:$F, MATCH(K9, Helper!$E:$E, 0))</f>
        <v>#66E586</v>
      </c>
      <c r="M9" s="45" t="s">
        <v>401</v>
      </c>
      <c r="N9" s="45" t="s">
        <v>614</v>
      </c>
      <c r="O9" s="46" t="s">
        <v>647</v>
      </c>
      <c r="P9" s="76" t="s">
        <v>944</v>
      </c>
    </row>
    <row r="10" spans="1:16" ht="81">
      <c r="A10" s="44">
        <v>7</v>
      </c>
      <c r="B10" s="44">
        <v>1</v>
      </c>
      <c r="C10" s="44">
        <v>1</v>
      </c>
      <c r="D10" s="45" t="str">
        <f>INDEX(Helper!$N$2:$N$4, MATCH(C10, Helper!$M$2:$M$4, 0))</f>
        <v>Beginner</v>
      </c>
      <c r="E10" s="58" t="s">
        <v>224</v>
      </c>
      <c r="F10" s="50" t="s">
        <v>225</v>
      </c>
      <c r="G10" s="5">
        <v>0</v>
      </c>
      <c r="H10" s="44">
        <v>1</v>
      </c>
      <c r="I10" s="44" t="str">
        <f>INDEX(Helper!$C:$C, MATCH(H10, Helper!$A:$A, 0))</f>
        <v>Standard (EADGBE)</v>
      </c>
      <c r="J10" s="44" t="s">
        <v>63</v>
      </c>
      <c r="K10" s="59" t="s">
        <v>10</v>
      </c>
      <c r="L10" s="44" t="str">
        <f>INDEX(Helper!$F:$F, MATCH(K10, Helper!$E:$E, 0))</f>
        <v>#F5943C</v>
      </c>
      <c r="M10" s="45" t="s">
        <v>392</v>
      </c>
      <c r="N10" s="45" t="s">
        <v>614</v>
      </c>
      <c r="O10" s="46" t="s">
        <v>648</v>
      </c>
      <c r="P10" s="76" t="s">
        <v>945</v>
      </c>
    </row>
    <row r="11" spans="1:16" ht="297">
      <c r="A11" s="44">
        <v>8</v>
      </c>
      <c r="B11" s="44">
        <v>1</v>
      </c>
      <c r="C11" s="44">
        <v>1</v>
      </c>
      <c r="D11" s="45" t="str">
        <f>INDEX(Helper!$N$2:$N$4, MATCH(C11, Helper!$M$2:$M$4, 0))</f>
        <v>Beginner</v>
      </c>
      <c r="E11" s="58" t="s">
        <v>226</v>
      </c>
      <c r="F11" s="50" t="s">
        <v>227</v>
      </c>
      <c r="G11" s="5">
        <v>1</v>
      </c>
      <c r="H11" s="44">
        <v>3</v>
      </c>
      <c r="I11" s="44" t="str">
        <f>INDEX(Helper!$C:$C, MATCH(H11, Helper!$A:$A, 0))</f>
        <v>Half Step Down (D#G#C#F#A#D#)</v>
      </c>
      <c r="J11" s="44" t="s">
        <v>618</v>
      </c>
      <c r="K11" s="61" t="s">
        <v>11</v>
      </c>
      <c r="L11" s="44" t="str">
        <f>INDEX(Helper!$F:$F, MATCH(K11, Helper!$E:$E, 0))</f>
        <v>#E8AD1D</v>
      </c>
      <c r="M11" s="45" t="s">
        <v>385</v>
      </c>
      <c r="N11" s="45" t="s">
        <v>614</v>
      </c>
      <c r="O11" s="46" t="s">
        <v>649</v>
      </c>
      <c r="P11" s="76" t="s">
        <v>946</v>
      </c>
    </row>
    <row r="12" spans="1:16" ht="175.5">
      <c r="A12" s="44">
        <v>9</v>
      </c>
      <c r="B12" s="44">
        <v>1</v>
      </c>
      <c r="C12" s="44">
        <v>1</v>
      </c>
      <c r="D12" s="45" t="str">
        <f>INDEX(Helper!$N$2:$N$4, MATCH(C12, Helper!$M$2:$M$4, 0))</f>
        <v>Beginner</v>
      </c>
      <c r="E12" s="58" t="s">
        <v>34</v>
      </c>
      <c r="F12" s="50" t="s">
        <v>228</v>
      </c>
      <c r="G12" s="5">
        <v>0</v>
      </c>
      <c r="H12" s="44">
        <v>1</v>
      </c>
      <c r="I12" s="44" t="str">
        <f>INDEX(Helper!$C:$C, MATCH(H12, Helper!$A:$A, 0))</f>
        <v>Standard (EADGBE)</v>
      </c>
      <c r="J12" s="44" t="s">
        <v>63</v>
      </c>
      <c r="K12" s="59" t="s">
        <v>10</v>
      </c>
      <c r="L12" s="44" t="str">
        <f>INDEX(Helper!$F:$F, MATCH(K12, Helper!$E:$E, 0))</f>
        <v>#F5943C</v>
      </c>
      <c r="M12" s="45" t="s">
        <v>402</v>
      </c>
      <c r="N12" s="45" t="s">
        <v>614</v>
      </c>
      <c r="O12" s="46" t="s">
        <v>650</v>
      </c>
      <c r="P12" s="76" t="s">
        <v>947</v>
      </c>
    </row>
    <row r="13" spans="1:16" ht="175.5">
      <c r="A13" s="44">
        <v>10</v>
      </c>
      <c r="B13" s="44">
        <v>1</v>
      </c>
      <c r="C13" s="44">
        <v>1</v>
      </c>
      <c r="D13" s="45" t="str">
        <f>INDEX(Helper!$N$2:$N$4, MATCH(C13, Helper!$M$2:$M$4, 0))</f>
        <v>Beginner</v>
      </c>
      <c r="E13" s="58" t="s">
        <v>229</v>
      </c>
      <c r="F13" s="50" t="s">
        <v>230</v>
      </c>
      <c r="G13" s="5">
        <v>1</v>
      </c>
      <c r="H13" s="44">
        <v>1</v>
      </c>
      <c r="I13" s="44" t="str">
        <f>INDEX(Helper!$C:$C, MATCH(H13, Helper!$A:$A, 0))</f>
        <v>Standard (EADGBE)</v>
      </c>
      <c r="J13" s="44" t="s">
        <v>63</v>
      </c>
      <c r="K13" s="59" t="s">
        <v>10</v>
      </c>
      <c r="L13" s="44" t="str">
        <f>INDEX(Helper!$F:$F, MATCH(K13, Helper!$E:$E, 0))</f>
        <v>#F5943C</v>
      </c>
      <c r="M13" s="45" t="s">
        <v>403</v>
      </c>
      <c r="N13" s="45" t="s">
        <v>614</v>
      </c>
      <c r="O13" s="46" t="s">
        <v>651</v>
      </c>
      <c r="P13" s="76" t="s">
        <v>948</v>
      </c>
    </row>
    <row r="14" spans="1:16" ht="81">
      <c r="A14" s="44">
        <v>11</v>
      </c>
      <c r="B14" s="44">
        <v>1</v>
      </c>
      <c r="C14" s="44">
        <v>1</v>
      </c>
      <c r="D14" s="45" t="str">
        <f>INDEX(Helper!$N$2:$N$4, MATCH(C14, Helper!$M$2:$M$4, 0))</f>
        <v>Beginner</v>
      </c>
      <c r="E14" s="62" t="s">
        <v>93</v>
      </c>
      <c r="F14" s="50" t="s">
        <v>231</v>
      </c>
      <c r="G14" s="5">
        <v>0</v>
      </c>
      <c r="H14" s="44">
        <v>1</v>
      </c>
      <c r="I14" s="44" t="str">
        <f>INDEX(Helper!$C:$C, MATCH(H14, Helper!$A:$A, 0))</f>
        <v>Standard (EADGBE)</v>
      </c>
      <c r="J14" s="44" t="s">
        <v>393</v>
      </c>
      <c r="K14" s="61" t="s">
        <v>11</v>
      </c>
      <c r="L14" s="44" t="str">
        <f>INDEX(Helper!$F:$F, MATCH(K14, Helper!$E:$E, 0))</f>
        <v>#E8AD1D</v>
      </c>
      <c r="M14" s="45" t="s">
        <v>404</v>
      </c>
      <c r="N14" s="45" t="s">
        <v>614</v>
      </c>
      <c r="O14" s="46" t="s">
        <v>652</v>
      </c>
      <c r="P14" s="76" t="s">
        <v>949</v>
      </c>
    </row>
    <row r="15" spans="1:16" ht="175.5">
      <c r="A15" s="44">
        <v>12</v>
      </c>
      <c r="B15" s="44">
        <v>1</v>
      </c>
      <c r="C15" s="44">
        <v>2</v>
      </c>
      <c r="D15" s="45" t="str">
        <f>INDEX(Helper!$N$2:$N$4, MATCH(C15, Helper!$M$2:$M$4, 0))</f>
        <v>Intermediate</v>
      </c>
      <c r="E15" s="50" t="s">
        <v>99</v>
      </c>
      <c r="F15" s="50" t="s">
        <v>234</v>
      </c>
      <c r="G15" s="5">
        <v>0</v>
      </c>
      <c r="H15" s="44">
        <v>1</v>
      </c>
      <c r="I15" s="44" t="str">
        <f>INDEX(Helper!$C:$C, MATCH(H15, Helper!$A:$A, 0))</f>
        <v>Standard (EADGBE)</v>
      </c>
      <c r="J15" s="44" t="s">
        <v>61</v>
      </c>
      <c r="K15" s="59" t="s">
        <v>10</v>
      </c>
      <c r="L15" s="44" t="str">
        <f>INDEX(Helper!$F:$F, MATCH(K15, Helper!$E:$E, 0))</f>
        <v>#F5943C</v>
      </c>
      <c r="M15" s="45" t="s">
        <v>405</v>
      </c>
      <c r="N15" s="45" t="s">
        <v>614</v>
      </c>
      <c r="O15" s="46" t="s">
        <v>653</v>
      </c>
      <c r="P15" s="76" t="s">
        <v>950</v>
      </c>
    </row>
    <row r="16" spans="1:16" ht="175.5">
      <c r="A16" s="44">
        <v>13</v>
      </c>
      <c r="B16" s="44">
        <v>1</v>
      </c>
      <c r="C16" s="44">
        <v>1</v>
      </c>
      <c r="D16" s="45" t="str">
        <f>INDEX(Helper!$N$2:$N$4, MATCH(C16, Helper!$M$2:$M$4, 0))</f>
        <v>Beginner</v>
      </c>
      <c r="E16" s="62" t="s">
        <v>235</v>
      </c>
      <c r="F16" s="50" t="s">
        <v>236</v>
      </c>
      <c r="G16" s="5">
        <v>1</v>
      </c>
      <c r="H16" s="44">
        <v>1</v>
      </c>
      <c r="I16" s="44" t="str">
        <f>INDEX(Helper!$C:$C, MATCH(H16, Helper!$A:$A, 0))</f>
        <v>Standard (EADGBE)</v>
      </c>
      <c r="J16" s="44" t="s">
        <v>67</v>
      </c>
      <c r="K16" s="59" t="s">
        <v>10</v>
      </c>
      <c r="L16" s="44" t="str">
        <f>INDEX(Helper!$F:$F, MATCH(K16, Helper!$E:$E, 0))</f>
        <v>#F5943C</v>
      </c>
      <c r="M16" s="45" t="s">
        <v>406</v>
      </c>
      <c r="N16" s="45" t="s">
        <v>614</v>
      </c>
      <c r="O16" s="46" t="s">
        <v>654</v>
      </c>
      <c r="P16" s="76" t="s">
        <v>951</v>
      </c>
    </row>
    <row r="17" spans="1:16" ht="81">
      <c r="A17" s="44">
        <v>14</v>
      </c>
      <c r="B17" s="44">
        <v>1</v>
      </c>
      <c r="C17" s="44">
        <v>1</v>
      </c>
      <c r="D17" s="45" t="str">
        <f>INDEX(Helper!$N$2:$N$4, MATCH(C17, Helper!$M$2:$M$4, 0))</f>
        <v>Beginner</v>
      </c>
      <c r="E17" s="50" t="s">
        <v>237</v>
      </c>
      <c r="F17" s="50" t="s">
        <v>238</v>
      </c>
      <c r="G17" s="5">
        <v>1</v>
      </c>
      <c r="H17" s="44">
        <v>1</v>
      </c>
      <c r="I17" s="44" t="str">
        <f>INDEX(Helper!$C:$C, MATCH(H17, Helper!$A:$A, 0))</f>
        <v>Standard (EADGBE)</v>
      </c>
      <c r="J17" s="44" t="s">
        <v>65</v>
      </c>
      <c r="K17" s="63" t="s">
        <v>22</v>
      </c>
      <c r="L17" s="44" t="str">
        <f>INDEX(Helper!$F:$F, MATCH(K17, Helper!$E:$E, 0))</f>
        <v>#FFDF66</v>
      </c>
      <c r="M17" s="45" t="s">
        <v>407</v>
      </c>
      <c r="N17" s="45" t="s">
        <v>614</v>
      </c>
      <c r="O17" s="46" t="s">
        <v>655</v>
      </c>
      <c r="P17" s="76" t="s">
        <v>952</v>
      </c>
    </row>
    <row r="18" spans="1:16" ht="364.5">
      <c r="A18" s="44">
        <v>15</v>
      </c>
      <c r="B18" s="44">
        <v>1</v>
      </c>
      <c r="C18" s="44">
        <v>1</v>
      </c>
      <c r="D18" s="45" t="str">
        <f>INDEX(Helper!$N$2:$N$4, MATCH(C18, Helper!$M$2:$M$4, 0))</f>
        <v>Beginner</v>
      </c>
      <c r="E18" s="55" t="s">
        <v>36</v>
      </c>
      <c r="F18" s="56" t="s">
        <v>55</v>
      </c>
      <c r="G18" s="5">
        <v>1</v>
      </c>
      <c r="H18" s="44">
        <v>1</v>
      </c>
      <c r="I18" s="44" t="str">
        <f>INDEX(Helper!$C:$C, MATCH(H18, Helper!$A:$A, 0))</f>
        <v>Standard (EADGBE)</v>
      </c>
      <c r="J18" s="44" t="s">
        <v>618</v>
      </c>
      <c r="K18" s="64" t="s">
        <v>15</v>
      </c>
      <c r="L18" s="44" t="str">
        <f>INDEX(Helper!$F:$F, MATCH(K18, Helper!$E:$E, 0))</f>
        <v>#C2C2A1</v>
      </c>
      <c r="M18" s="45" t="s">
        <v>408</v>
      </c>
      <c r="N18" s="45" t="s">
        <v>614</v>
      </c>
      <c r="O18" s="46" t="s">
        <v>656</v>
      </c>
      <c r="P18" s="76" t="s">
        <v>953</v>
      </c>
    </row>
    <row r="19" spans="1:16" ht="81">
      <c r="A19" s="44">
        <v>16</v>
      </c>
      <c r="B19" s="44">
        <v>1</v>
      </c>
      <c r="C19" s="44">
        <v>1</v>
      </c>
      <c r="D19" s="45" t="str">
        <f>INDEX(Helper!$N$2:$N$4, MATCH(C19, Helper!$M$2:$M$4, 0))</f>
        <v>Beginner</v>
      </c>
      <c r="E19" s="58" t="s">
        <v>125</v>
      </c>
      <c r="F19" s="50" t="s">
        <v>239</v>
      </c>
      <c r="G19" s="5">
        <v>1</v>
      </c>
      <c r="H19" s="44">
        <v>1</v>
      </c>
      <c r="I19" s="44" t="str">
        <f>INDEX(Helper!$C:$C, MATCH(H19, Helper!$A:$A, 0))</f>
        <v>Standard (EADGBE)</v>
      </c>
      <c r="J19" s="44" t="s">
        <v>618</v>
      </c>
      <c r="K19" s="65" t="s">
        <v>13</v>
      </c>
      <c r="L19" s="44" t="str">
        <f>INDEX(Helper!$F:$F, MATCH(K19, Helper!$E:$E, 0))</f>
        <v>#FF4F53</v>
      </c>
      <c r="M19" s="45" t="s">
        <v>409</v>
      </c>
      <c r="N19" s="45" t="s">
        <v>614</v>
      </c>
      <c r="O19" s="46" t="s">
        <v>657</v>
      </c>
      <c r="P19" s="76" t="s">
        <v>954</v>
      </c>
    </row>
    <row r="20" spans="1:16" ht="81">
      <c r="A20" s="44">
        <v>17</v>
      </c>
      <c r="B20" s="44">
        <v>1</v>
      </c>
      <c r="C20" s="44">
        <v>1</v>
      </c>
      <c r="D20" s="45" t="str">
        <f>INDEX(Helper!$N$2:$N$4, MATCH(C20, Helper!$M$2:$M$4, 0))</f>
        <v>Beginner</v>
      </c>
      <c r="E20" s="55" t="s">
        <v>226</v>
      </c>
      <c r="F20" s="56" t="s">
        <v>240</v>
      </c>
      <c r="G20" s="5">
        <v>1</v>
      </c>
      <c r="H20" s="44">
        <v>1</v>
      </c>
      <c r="I20" s="44" t="str">
        <f>INDEX(Helper!$C:$C, MATCH(H20, Helper!$A:$A, 0))</f>
        <v>Standard (EADGBE)</v>
      </c>
      <c r="J20" s="44" t="s">
        <v>619</v>
      </c>
      <c r="K20" s="66" t="s">
        <v>370</v>
      </c>
      <c r="L20" s="44" t="str">
        <f>INDEX(Helper!$F:$F, MATCH(K20, Helper!$E:$E, 0))</f>
        <v>#B3F141</v>
      </c>
      <c r="M20" s="45" t="s">
        <v>410</v>
      </c>
      <c r="N20" s="45" t="s">
        <v>614</v>
      </c>
      <c r="O20" s="46" t="s">
        <v>658</v>
      </c>
      <c r="P20" s="76" t="s">
        <v>955</v>
      </c>
    </row>
    <row r="21" spans="1:16" ht="81">
      <c r="A21" s="44">
        <v>18</v>
      </c>
      <c r="B21" s="44">
        <v>1</v>
      </c>
      <c r="C21" s="44">
        <v>1</v>
      </c>
      <c r="D21" s="45" t="str">
        <f>INDEX(Helper!$N$2:$N$4, MATCH(C21, Helper!$M$2:$M$4, 0))</f>
        <v>Beginner</v>
      </c>
      <c r="E21" s="58" t="s">
        <v>411</v>
      </c>
      <c r="F21" s="50" t="s">
        <v>241</v>
      </c>
      <c r="G21" s="5">
        <v>0</v>
      </c>
      <c r="H21" s="44">
        <v>1</v>
      </c>
      <c r="I21" s="44" t="str">
        <f>INDEX(Helper!$C:$C, MATCH(H21, Helper!$A:$A, 0))</f>
        <v>Standard (EADGBE)</v>
      </c>
      <c r="J21" s="44" t="s">
        <v>620</v>
      </c>
      <c r="K21" s="60" t="s">
        <v>371</v>
      </c>
      <c r="L21" s="44" t="str">
        <f>INDEX(Helper!$F:$F, MATCH(K21, Helper!$E:$E, 0))</f>
        <v>#B3F141</v>
      </c>
      <c r="M21" s="45" t="s">
        <v>412</v>
      </c>
      <c r="N21" s="45" t="s">
        <v>614</v>
      </c>
      <c r="O21" s="47" t="s">
        <v>659</v>
      </c>
      <c r="P21" s="76" t="s">
        <v>956</v>
      </c>
    </row>
    <row r="22" spans="1:16" ht="81">
      <c r="A22" s="44">
        <v>19</v>
      </c>
      <c r="B22" s="44">
        <v>1</v>
      </c>
      <c r="C22" s="44">
        <v>1</v>
      </c>
      <c r="D22" s="45" t="str">
        <f>INDEX(Helper!$N$2:$N$4, MATCH(C22, Helper!$M$2:$M$4, 0))</f>
        <v>Beginner</v>
      </c>
      <c r="E22" s="50" t="s">
        <v>242</v>
      </c>
      <c r="F22" s="50" t="s">
        <v>243</v>
      </c>
      <c r="G22" s="5">
        <v>0</v>
      </c>
      <c r="H22" s="44">
        <v>4</v>
      </c>
      <c r="I22" s="44" t="str">
        <f>INDEX(Helper!$C:$C, MATCH(H22, Helper!$A:$A, 0))</f>
        <v>Open A (EAC#EAE)</v>
      </c>
      <c r="J22" s="44" t="s">
        <v>63</v>
      </c>
      <c r="K22" s="65" t="s">
        <v>13</v>
      </c>
      <c r="L22" s="44" t="str">
        <f>INDEX(Helper!$F:$F, MATCH(K22, Helper!$E:$E, 0))</f>
        <v>#FF4F53</v>
      </c>
      <c r="M22" s="45" t="s">
        <v>413</v>
      </c>
      <c r="N22" s="45" t="s">
        <v>614</v>
      </c>
      <c r="O22" s="47" t="s">
        <v>660</v>
      </c>
      <c r="P22" s="76" t="s">
        <v>957</v>
      </c>
    </row>
    <row r="23" spans="1:16" ht="81">
      <c r="A23" s="44">
        <v>20</v>
      </c>
      <c r="B23" s="44">
        <v>1</v>
      </c>
      <c r="C23" s="44">
        <v>1</v>
      </c>
      <c r="D23" s="45" t="str">
        <f>INDEX(Helper!$N$2:$N$4, MATCH(C23, Helper!$M$2:$M$4, 0))</f>
        <v>Beginner</v>
      </c>
      <c r="E23" s="45" t="s">
        <v>237</v>
      </c>
      <c r="F23" s="45" t="s">
        <v>244</v>
      </c>
      <c r="G23" s="5">
        <v>1</v>
      </c>
      <c r="H23" s="44">
        <v>1</v>
      </c>
      <c r="I23" s="44" t="str">
        <f>INDEX(Helper!$C:$C, MATCH(H23, Helper!$A:$A, 0))</f>
        <v>Standard (EADGBE)</v>
      </c>
      <c r="J23" s="44" t="s">
        <v>393</v>
      </c>
      <c r="K23" s="57" t="s">
        <v>21</v>
      </c>
      <c r="L23" s="44" t="str">
        <f>INDEX(Helper!$F:$F, MATCH(K23, Helper!$E:$E, 0))</f>
        <v>#45F0E2</v>
      </c>
      <c r="M23" s="45" t="s">
        <v>414</v>
      </c>
      <c r="N23" s="45" t="s">
        <v>614</v>
      </c>
      <c r="O23" s="46" t="s">
        <v>661</v>
      </c>
      <c r="P23" s="76" t="s">
        <v>958</v>
      </c>
    </row>
    <row r="24" spans="1:16" ht="81">
      <c r="A24" s="44">
        <v>21</v>
      </c>
      <c r="B24" s="44">
        <v>1</v>
      </c>
      <c r="C24" s="44">
        <v>1</v>
      </c>
      <c r="D24" s="45" t="str">
        <f>INDEX(Helper!$N$2:$N$4, MATCH(C24, Helper!$M$2:$M$4, 0))</f>
        <v>Beginner</v>
      </c>
      <c r="E24" s="45" t="s">
        <v>245</v>
      </c>
      <c r="F24" s="45" t="s">
        <v>246</v>
      </c>
      <c r="G24" s="5">
        <v>1</v>
      </c>
      <c r="H24" s="44">
        <v>1</v>
      </c>
      <c r="I24" s="44" t="str">
        <f>INDEX(Helper!$C:$C, MATCH(H24, Helper!$A:$A, 0))</f>
        <v>Standard (EADGBE)</v>
      </c>
      <c r="J24" s="44" t="s">
        <v>618</v>
      </c>
      <c r="K24" s="64" t="s">
        <v>15</v>
      </c>
      <c r="L24" s="44" t="str">
        <f>INDEX(Helper!$F:$F, MATCH(K24, Helper!$E:$E, 0))</f>
        <v>#C2C2A1</v>
      </c>
      <c r="M24" s="45" t="s">
        <v>415</v>
      </c>
      <c r="N24" s="45" t="s">
        <v>614</v>
      </c>
      <c r="O24" s="46" t="s">
        <v>662</v>
      </c>
      <c r="P24" s="76" t="s">
        <v>959</v>
      </c>
    </row>
    <row r="25" spans="1:16" ht="81">
      <c r="A25" s="44">
        <v>22</v>
      </c>
      <c r="B25" s="44">
        <v>1</v>
      </c>
      <c r="C25" s="44">
        <v>1</v>
      </c>
      <c r="D25" s="45" t="str">
        <f>INDEX(Helper!$N$2:$N$4, MATCH(C25, Helper!$M$2:$M$4, 0))</f>
        <v>Beginner</v>
      </c>
      <c r="E25" s="45" t="s">
        <v>34</v>
      </c>
      <c r="F25" s="45" t="s">
        <v>53</v>
      </c>
      <c r="G25" s="5">
        <v>0</v>
      </c>
      <c r="H25" s="44">
        <v>1</v>
      </c>
      <c r="I25" s="44" t="str">
        <f>INDEX(Helper!$C:$C, MATCH(H25, Helper!$A:$A, 0))</f>
        <v>Standard (EADGBE)</v>
      </c>
      <c r="J25" s="44" t="s">
        <v>393</v>
      </c>
      <c r="K25" s="59" t="s">
        <v>10</v>
      </c>
      <c r="L25" s="44" t="str">
        <f>INDEX(Helper!$F:$F, MATCH(K25, Helper!$E:$E, 0))</f>
        <v>#F5943C</v>
      </c>
      <c r="M25" s="45" t="s">
        <v>416</v>
      </c>
      <c r="N25" s="45" t="s">
        <v>614</v>
      </c>
      <c r="O25" s="46" t="s">
        <v>663</v>
      </c>
      <c r="P25" s="76" t="s">
        <v>960</v>
      </c>
    </row>
    <row r="26" spans="1:16" ht="81">
      <c r="A26" s="44">
        <v>23</v>
      </c>
      <c r="B26" s="44">
        <v>1</v>
      </c>
      <c r="C26" s="44">
        <v>1</v>
      </c>
      <c r="D26" s="45" t="str">
        <f>INDEX(Helper!$N$2:$N$4, MATCH(C26, Helper!$M$2:$M$4, 0))</f>
        <v>Beginner</v>
      </c>
      <c r="E26" s="45" t="s">
        <v>247</v>
      </c>
      <c r="F26" s="45" t="s">
        <v>248</v>
      </c>
      <c r="G26" s="5">
        <v>0</v>
      </c>
      <c r="H26" s="44">
        <v>1</v>
      </c>
      <c r="I26" s="44" t="str">
        <f>INDEX(Helper!$C:$C, MATCH(H26, Helper!$A:$A, 0))</f>
        <v>Standard (EADGBE)</v>
      </c>
      <c r="J26" s="44" t="s">
        <v>59</v>
      </c>
      <c r="K26" s="64" t="s">
        <v>15</v>
      </c>
      <c r="L26" s="44" t="str">
        <f>INDEX(Helper!$F:$F, MATCH(K26, Helper!$E:$E, 0))</f>
        <v>#C2C2A1</v>
      </c>
      <c r="M26" s="45" t="s">
        <v>417</v>
      </c>
      <c r="N26" s="45" t="s">
        <v>614</v>
      </c>
      <c r="O26" s="46" t="s">
        <v>664</v>
      </c>
      <c r="P26" s="76" t="s">
        <v>961</v>
      </c>
    </row>
    <row r="27" spans="1:16" ht="81">
      <c r="A27" s="44">
        <v>24</v>
      </c>
      <c r="B27" s="44">
        <v>1</v>
      </c>
      <c r="C27" s="44">
        <v>1</v>
      </c>
      <c r="D27" s="45" t="str">
        <f>INDEX(Helper!$N$2:$N$4, MATCH(C27, Helper!$M$2:$M$4, 0))</f>
        <v>Beginner</v>
      </c>
      <c r="E27" s="45" t="s">
        <v>249</v>
      </c>
      <c r="F27" s="45" t="s">
        <v>250</v>
      </c>
      <c r="G27" s="5">
        <v>0</v>
      </c>
      <c r="H27" s="44">
        <v>1</v>
      </c>
      <c r="I27" s="44" t="str">
        <f>INDEX(Helper!$C:$C, MATCH(H27, Helper!$A:$A, 0))</f>
        <v>Standard (EADGBE)</v>
      </c>
      <c r="J27" s="44" t="s">
        <v>393</v>
      </c>
      <c r="K27" s="67" t="s">
        <v>12</v>
      </c>
      <c r="L27" s="44" t="str">
        <f>INDEX(Helper!$F:$F, MATCH(K27, Helper!$E:$E, 0))</f>
        <v>#FFE129</v>
      </c>
      <c r="M27" s="45" t="s">
        <v>418</v>
      </c>
      <c r="N27" s="45" t="s">
        <v>614</v>
      </c>
      <c r="O27" s="46" t="s">
        <v>665</v>
      </c>
      <c r="P27" s="76" t="s">
        <v>962</v>
      </c>
    </row>
    <row r="28" spans="1:16" ht="81">
      <c r="A28" s="44">
        <v>25</v>
      </c>
      <c r="B28" s="44">
        <v>1</v>
      </c>
      <c r="C28" s="44">
        <v>1</v>
      </c>
      <c r="D28" s="45" t="str">
        <f>INDEX(Helper!$N$2:$N$4, MATCH(C28, Helper!$M$2:$M$4, 0))</f>
        <v>Beginner</v>
      </c>
      <c r="E28" s="45" t="s">
        <v>252</v>
      </c>
      <c r="F28" s="45" t="s">
        <v>253</v>
      </c>
      <c r="G28" s="5">
        <v>1</v>
      </c>
      <c r="H28" s="44">
        <v>1</v>
      </c>
      <c r="I28" s="44" t="str">
        <f>INDEX(Helper!$C:$C, MATCH(H28, Helper!$A:$A, 0))</f>
        <v>Standard (EADGBE)</v>
      </c>
      <c r="J28" s="44" t="s">
        <v>65</v>
      </c>
      <c r="K28" s="59" t="s">
        <v>10</v>
      </c>
      <c r="L28" s="44" t="str">
        <f>INDEX(Helper!$F:$F, MATCH(K28, Helper!$E:$E, 0))</f>
        <v>#F5943C</v>
      </c>
      <c r="M28" s="45" t="s">
        <v>419</v>
      </c>
      <c r="N28" s="45" t="s">
        <v>614</v>
      </c>
      <c r="O28" s="46" t="s">
        <v>665</v>
      </c>
      <c r="P28" s="76" t="s">
        <v>963</v>
      </c>
    </row>
    <row r="29" spans="1:16" ht="81">
      <c r="A29" s="44">
        <v>26</v>
      </c>
      <c r="B29" s="44">
        <v>1</v>
      </c>
      <c r="C29" s="44">
        <v>1</v>
      </c>
      <c r="D29" s="45" t="str">
        <f>INDEX(Helper!$N$2:$N$4, MATCH(C29, Helper!$M$2:$M$4, 0))</f>
        <v>Beginner</v>
      </c>
      <c r="E29" s="45" t="s">
        <v>257</v>
      </c>
      <c r="F29" s="45" t="s">
        <v>258</v>
      </c>
      <c r="G29" s="5">
        <v>0</v>
      </c>
      <c r="H29" s="44">
        <v>1</v>
      </c>
      <c r="I29" s="44" t="str">
        <f>INDEX(Helper!$C:$C, MATCH(H29, Helper!$A:$A, 0))</f>
        <v>Standard (EADGBE)</v>
      </c>
      <c r="J29" s="44" t="s">
        <v>63</v>
      </c>
      <c r="K29" s="61" t="s">
        <v>11</v>
      </c>
      <c r="L29" s="44" t="str">
        <f>INDEX(Helper!$F:$F, MATCH(K29, Helper!$E:$E, 0))</f>
        <v>#E8AD1D</v>
      </c>
      <c r="M29" s="45" t="s">
        <v>420</v>
      </c>
      <c r="N29" s="45" t="s">
        <v>614</v>
      </c>
      <c r="O29" s="46" t="s">
        <v>666</v>
      </c>
      <c r="P29" s="76" t="s">
        <v>964</v>
      </c>
    </row>
    <row r="30" spans="1:16" ht="81">
      <c r="A30" s="44">
        <v>27</v>
      </c>
      <c r="B30" s="44">
        <v>1</v>
      </c>
      <c r="C30" s="44">
        <v>1</v>
      </c>
      <c r="D30" s="45" t="str">
        <f>INDEX(Helper!$N$2:$N$4, MATCH(C30, Helper!$M$2:$M$4, 0))</f>
        <v>Beginner</v>
      </c>
      <c r="E30" s="45" t="s">
        <v>259</v>
      </c>
      <c r="F30" s="45" t="s">
        <v>260</v>
      </c>
      <c r="G30" s="5">
        <v>0</v>
      </c>
      <c r="H30" s="44">
        <v>3</v>
      </c>
      <c r="I30" s="44" t="str">
        <f>INDEX(Helper!$C:$C, MATCH(H30, Helper!$A:$A, 0))</f>
        <v>Half Step Down (D#G#C#F#A#D#)</v>
      </c>
      <c r="J30" s="44" t="s">
        <v>65</v>
      </c>
      <c r="K30" s="68" t="s">
        <v>14</v>
      </c>
      <c r="L30" s="44" t="str">
        <f>INDEX(Helper!$F:$F, MATCH(K30, Helper!$E:$E, 0))</f>
        <v>#FFE000</v>
      </c>
      <c r="M30" s="45" t="s">
        <v>421</v>
      </c>
      <c r="N30" s="45" t="s">
        <v>614</v>
      </c>
      <c r="O30" s="46" t="s">
        <v>667</v>
      </c>
      <c r="P30" s="76" t="s">
        <v>965</v>
      </c>
    </row>
    <row r="31" spans="1:16" ht="81">
      <c r="A31" s="44">
        <v>28</v>
      </c>
      <c r="B31" s="44">
        <v>1</v>
      </c>
      <c r="C31" s="44">
        <v>1</v>
      </c>
      <c r="D31" s="45" t="str">
        <f>INDEX(Helper!$N$2:$N$4, MATCH(C31, Helper!$M$2:$M$4, 0))</f>
        <v>Beginner</v>
      </c>
      <c r="E31" s="45" t="s">
        <v>261</v>
      </c>
      <c r="F31" s="45" t="s">
        <v>262</v>
      </c>
      <c r="G31" s="5">
        <v>1</v>
      </c>
      <c r="H31" s="44">
        <v>1</v>
      </c>
      <c r="I31" s="44" t="str">
        <f>INDEX(Helper!$C:$C, MATCH(H31, Helper!$A:$A, 0))</f>
        <v>Standard (EADGBE)</v>
      </c>
      <c r="J31" s="44" t="s">
        <v>618</v>
      </c>
      <c r="K31" s="60" t="s">
        <v>371</v>
      </c>
      <c r="L31" s="44" t="str">
        <f>INDEX(Helper!$F:$F, MATCH(K31, Helper!$E:$E, 0))</f>
        <v>#B3F141</v>
      </c>
      <c r="M31" s="45" t="s">
        <v>422</v>
      </c>
      <c r="N31" s="45" t="s">
        <v>614</v>
      </c>
      <c r="O31" s="46" t="s">
        <v>668</v>
      </c>
      <c r="P31" s="76" t="s">
        <v>966</v>
      </c>
    </row>
    <row r="32" spans="1:16" ht="81">
      <c r="A32" s="44">
        <v>29</v>
      </c>
      <c r="B32" s="44">
        <v>1</v>
      </c>
      <c r="C32" s="44">
        <v>1</v>
      </c>
      <c r="D32" s="45" t="str">
        <f>INDEX(Helper!$N$2:$N$4, MATCH(C32, Helper!$M$2:$M$4, 0))</f>
        <v>Beginner</v>
      </c>
      <c r="E32" s="45" t="s">
        <v>263</v>
      </c>
      <c r="F32" s="45" t="s">
        <v>264</v>
      </c>
      <c r="G32" s="5">
        <v>1</v>
      </c>
      <c r="H32" s="44">
        <v>1</v>
      </c>
      <c r="I32" s="44" t="str">
        <f>INDEX(Helper!$C:$C, MATCH(H32, Helper!$A:$A, 0))</f>
        <v>Standard (EADGBE)</v>
      </c>
      <c r="J32" s="44" t="s">
        <v>618</v>
      </c>
      <c r="K32" s="65" t="s">
        <v>13</v>
      </c>
      <c r="L32" s="44" t="str">
        <f>INDEX(Helper!$F:$F, MATCH(K32, Helper!$E:$E, 0))</f>
        <v>#FF4F53</v>
      </c>
      <c r="M32" s="45" t="s">
        <v>423</v>
      </c>
      <c r="N32" s="45" t="s">
        <v>614</v>
      </c>
      <c r="O32" s="46" t="s">
        <v>669</v>
      </c>
      <c r="P32" s="76" t="s">
        <v>967</v>
      </c>
    </row>
    <row r="33" spans="1:16" ht="81">
      <c r="A33" s="44">
        <v>30</v>
      </c>
      <c r="B33" s="44">
        <v>1</v>
      </c>
      <c r="C33" s="44">
        <v>1</v>
      </c>
      <c r="D33" s="45" t="str">
        <f>INDEX(Helper!$N$2:$N$4, MATCH(C33, Helper!$M$2:$M$4, 0))</f>
        <v>Beginner</v>
      </c>
      <c r="E33" s="45" t="s">
        <v>265</v>
      </c>
      <c r="F33" s="45" t="s">
        <v>266</v>
      </c>
      <c r="G33" s="5">
        <v>1</v>
      </c>
      <c r="H33" s="44">
        <v>1</v>
      </c>
      <c r="I33" s="44" t="str">
        <f>INDEX(Helper!$C:$C, MATCH(H33, Helper!$A:$A, 0))</f>
        <v>Standard (EADGBE)</v>
      </c>
      <c r="J33" s="44" t="s">
        <v>63</v>
      </c>
      <c r="K33" s="59" t="s">
        <v>10</v>
      </c>
      <c r="L33" s="44" t="str">
        <f>INDEX(Helper!$F:$F, MATCH(K33, Helper!$E:$E, 0))</f>
        <v>#F5943C</v>
      </c>
      <c r="M33" s="45" t="s">
        <v>936</v>
      </c>
      <c r="N33" s="45" t="s">
        <v>614</v>
      </c>
      <c r="O33" s="46" t="s">
        <v>670</v>
      </c>
      <c r="P33" s="76" t="s">
        <v>968</v>
      </c>
    </row>
    <row r="34" spans="1:16" ht="175.5">
      <c r="A34" s="44">
        <v>31</v>
      </c>
      <c r="B34" s="44">
        <v>1</v>
      </c>
      <c r="C34" s="44">
        <v>3</v>
      </c>
      <c r="D34" s="45" t="str">
        <f>INDEX(Helper!$N$2:$N$4, MATCH(C34, Helper!$M$2:$M$4, 0))</f>
        <v>Advanced</v>
      </c>
      <c r="E34" s="45" t="s">
        <v>267</v>
      </c>
      <c r="F34" s="45" t="s">
        <v>268</v>
      </c>
      <c r="G34" s="5">
        <v>0</v>
      </c>
      <c r="H34" s="44">
        <v>3</v>
      </c>
      <c r="I34" s="44" t="str">
        <f>INDEX(Helper!$C:$C, MATCH(H34, Helper!$A:$A, 0))</f>
        <v>Half Step Down (D#G#C#F#A#D#)</v>
      </c>
      <c r="J34" s="44" t="s">
        <v>69</v>
      </c>
      <c r="K34" s="64" t="s">
        <v>25</v>
      </c>
      <c r="L34" s="44" t="str">
        <f>INDEX(Helper!$F:$F, MATCH(K34, Helper!$E:$E, 0))</f>
        <v>#C2C2A1</v>
      </c>
      <c r="M34" s="45" t="s">
        <v>424</v>
      </c>
      <c r="N34" s="45" t="s">
        <v>614</v>
      </c>
      <c r="O34" s="46" t="s">
        <v>671</v>
      </c>
      <c r="P34" s="76" t="s">
        <v>969</v>
      </c>
    </row>
    <row r="35" spans="1:16" ht="81">
      <c r="A35" s="44">
        <v>32</v>
      </c>
      <c r="B35" s="44">
        <v>1</v>
      </c>
      <c r="C35" s="44">
        <v>1</v>
      </c>
      <c r="D35" s="45" t="str">
        <f>INDEX(Helper!$N$2:$N$4, MATCH(C35, Helper!$M$2:$M$4, 0))</f>
        <v>Beginner</v>
      </c>
      <c r="E35" s="45" t="s">
        <v>269</v>
      </c>
      <c r="F35" s="45" t="s">
        <v>270</v>
      </c>
      <c r="G35" s="5">
        <v>1</v>
      </c>
      <c r="H35" s="44">
        <v>1</v>
      </c>
      <c r="I35" s="44" t="str">
        <f>INDEX(Helper!$C:$C, MATCH(H35, Helper!$A:$A, 0))</f>
        <v>Standard (EADGBE)</v>
      </c>
      <c r="J35" s="44" t="s">
        <v>636</v>
      </c>
      <c r="K35" s="64" t="s">
        <v>25</v>
      </c>
      <c r="L35" s="44" t="str">
        <f>INDEX(Helper!$F:$F, MATCH(K35, Helper!$E:$E, 0))</f>
        <v>#C2C2A1</v>
      </c>
      <c r="M35" s="45" t="s">
        <v>425</v>
      </c>
      <c r="N35" s="45" t="s">
        <v>614</v>
      </c>
      <c r="O35" s="46" t="s">
        <v>672</v>
      </c>
      <c r="P35" s="76" t="s">
        <v>970</v>
      </c>
    </row>
    <row r="36" spans="1:16" ht="81">
      <c r="A36" s="44">
        <v>33</v>
      </c>
      <c r="B36" s="44">
        <v>1</v>
      </c>
      <c r="C36" s="44">
        <v>1</v>
      </c>
      <c r="D36" s="45" t="str">
        <f>INDEX(Helper!$N$2:$N$4, MATCH(C36, Helper!$M$2:$M$4, 0))</f>
        <v>Beginner</v>
      </c>
      <c r="E36" s="45" t="s">
        <v>271</v>
      </c>
      <c r="F36" s="45" t="s">
        <v>272</v>
      </c>
      <c r="G36" s="5">
        <v>0</v>
      </c>
      <c r="H36" s="44">
        <v>1</v>
      </c>
      <c r="I36" s="44" t="str">
        <f>INDEX(Helper!$C:$C, MATCH(H36, Helper!$A:$A, 0))</f>
        <v>Standard (EADGBE)</v>
      </c>
      <c r="J36" s="44" t="s">
        <v>618</v>
      </c>
      <c r="K36" s="64" t="s">
        <v>15</v>
      </c>
      <c r="L36" s="44" t="str">
        <f>INDEX(Helper!$F:$F, MATCH(K36, Helper!$E:$E, 0))</f>
        <v>#C2C2A1</v>
      </c>
      <c r="M36" s="45" t="s">
        <v>426</v>
      </c>
      <c r="N36" s="45" t="s">
        <v>614</v>
      </c>
      <c r="O36" s="46" t="s">
        <v>673</v>
      </c>
      <c r="P36" s="76" t="s">
        <v>971</v>
      </c>
    </row>
    <row r="37" spans="1:16" ht="175.5">
      <c r="A37" s="44">
        <v>34</v>
      </c>
      <c r="B37" s="44">
        <v>1</v>
      </c>
      <c r="C37" s="44">
        <v>1</v>
      </c>
      <c r="D37" s="45" t="str">
        <f>INDEX(Helper!$N$2:$N$4, MATCH(C37, Helper!$M$2:$M$4, 0))</f>
        <v>Beginner</v>
      </c>
      <c r="E37" s="45" t="s">
        <v>38</v>
      </c>
      <c r="F37" s="45" t="s">
        <v>273</v>
      </c>
      <c r="G37" s="5">
        <v>1</v>
      </c>
      <c r="H37" s="44">
        <v>1</v>
      </c>
      <c r="I37" s="44" t="str">
        <f>INDEX(Helper!$C:$C, MATCH(H37, Helper!$A:$A, 0))</f>
        <v>Standard (EADGBE)</v>
      </c>
      <c r="J37" s="44" t="s">
        <v>61</v>
      </c>
      <c r="K37" s="59" t="s">
        <v>10</v>
      </c>
      <c r="L37" s="44" t="str">
        <f>INDEX(Helper!$F:$F, MATCH(K37, Helper!$E:$E, 0))</f>
        <v>#F5943C</v>
      </c>
      <c r="M37" s="45" t="s">
        <v>427</v>
      </c>
      <c r="N37" s="45" t="s">
        <v>614</v>
      </c>
      <c r="O37" s="46" t="s">
        <v>674</v>
      </c>
      <c r="P37" s="76" t="s">
        <v>972</v>
      </c>
    </row>
    <row r="38" spans="1:16" ht="270">
      <c r="A38" s="44">
        <v>35</v>
      </c>
      <c r="B38" s="44">
        <v>1</v>
      </c>
      <c r="C38" s="44">
        <v>1</v>
      </c>
      <c r="D38" s="45" t="str">
        <f>INDEX(Helper!$N$2:$N$4, MATCH(C38, Helper!$M$2:$M$4, 0))</f>
        <v>Beginner</v>
      </c>
      <c r="E38" s="45" t="s">
        <v>39</v>
      </c>
      <c r="F38" s="45" t="s">
        <v>54</v>
      </c>
      <c r="G38" s="5">
        <v>1</v>
      </c>
      <c r="H38" s="44">
        <v>3</v>
      </c>
      <c r="I38" s="44" t="str">
        <f>INDEX(Helper!$C:$C, MATCH(H38, Helper!$A:$A, 0))</f>
        <v>Half Step Down (D#G#C#F#A#D#)</v>
      </c>
      <c r="J38" s="44" t="s">
        <v>68</v>
      </c>
      <c r="K38" s="69" t="s">
        <v>17</v>
      </c>
      <c r="L38" s="44" t="str">
        <f>INDEX(Helper!$F:$F, MATCH(K38, Helper!$E:$E, 0))</f>
        <v>#F75269</v>
      </c>
      <c r="M38" s="45" t="s">
        <v>428</v>
      </c>
      <c r="N38" s="45" t="s">
        <v>614</v>
      </c>
      <c r="O38" s="46" t="s">
        <v>675</v>
      </c>
      <c r="P38" s="76" t="s">
        <v>973</v>
      </c>
    </row>
    <row r="39" spans="1:16" ht="202.5">
      <c r="A39" s="44">
        <v>36</v>
      </c>
      <c r="B39" s="44">
        <v>1</v>
      </c>
      <c r="C39" s="44">
        <v>1</v>
      </c>
      <c r="D39" s="45" t="str">
        <f>INDEX(Helper!$N$2:$N$4, MATCH(C39, Helper!$M$2:$M$4, 0))</f>
        <v>Beginner</v>
      </c>
      <c r="E39" s="45" t="s">
        <v>40</v>
      </c>
      <c r="F39" s="45" t="s">
        <v>56</v>
      </c>
      <c r="G39" s="5">
        <v>0</v>
      </c>
      <c r="H39" s="44">
        <v>2</v>
      </c>
      <c r="I39" s="44" t="str">
        <f>INDEX(Helper!$C:$C, MATCH(H39, Helper!$A:$A, 0))</f>
        <v>Drop D (DADGBE)</v>
      </c>
      <c r="J39" s="44" t="s">
        <v>623</v>
      </c>
      <c r="K39" s="65" t="s">
        <v>13</v>
      </c>
      <c r="L39" s="44" t="str">
        <f>INDEX(Helper!$F:$F, MATCH(K39, Helper!$E:$E, 0))</f>
        <v>#FF4F53</v>
      </c>
      <c r="M39" s="45" t="s">
        <v>429</v>
      </c>
      <c r="N39" s="45" t="s">
        <v>614</v>
      </c>
      <c r="O39" s="46" t="s">
        <v>676</v>
      </c>
      <c r="P39" s="76" t="s">
        <v>974</v>
      </c>
    </row>
    <row r="40" spans="1:16" ht="81">
      <c r="A40" s="44">
        <v>37</v>
      </c>
      <c r="B40" s="44">
        <v>1</v>
      </c>
      <c r="C40" s="44">
        <v>1</v>
      </c>
      <c r="D40" s="45" t="str">
        <f>INDEX(Helper!$N$2:$N$4, MATCH(C40, Helper!$M$2:$M$4, 0))</f>
        <v>Beginner</v>
      </c>
      <c r="E40" s="45" t="s">
        <v>232</v>
      </c>
      <c r="F40" s="45" t="s">
        <v>274</v>
      </c>
      <c r="G40" s="5">
        <v>0</v>
      </c>
      <c r="H40" s="44">
        <v>5</v>
      </c>
      <c r="I40" s="44" t="str">
        <f>INDEX(Helper!$C:$C, MATCH(H40, Helper!$A:$A, 0))</f>
        <v>Whole Step Down (DGCFAD)</v>
      </c>
      <c r="J40" s="44" t="s">
        <v>626</v>
      </c>
      <c r="K40" s="69" t="s">
        <v>17</v>
      </c>
      <c r="L40" s="44" t="str">
        <f>INDEX(Helper!$F:$F, MATCH(K40, Helper!$E:$E, 0))</f>
        <v>#F75269</v>
      </c>
      <c r="M40" s="45" t="s">
        <v>430</v>
      </c>
      <c r="N40" s="45" t="s">
        <v>614</v>
      </c>
      <c r="O40" s="46" t="s">
        <v>677</v>
      </c>
      <c r="P40" s="76" t="s">
        <v>975</v>
      </c>
    </row>
    <row r="41" spans="1:16" ht="270">
      <c r="A41" s="44">
        <v>38</v>
      </c>
      <c r="B41" s="44">
        <v>1</v>
      </c>
      <c r="C41" s="44">
        <v>1</v>
      </c>
      <c r="D41" s="45" t="str">
        <f>INDEX(Helper!$N$2:$N$4, MATCH(C41, Helper!$M$2:$M$4, 0))</f>
        <v>Beginner</v>
      </c>
      <c r="E41" s="45" t="s">
        <v>127</v>
      </c>
      <c r="F41" s="45" t="s">
        <v>275</v>
      </c>
      <c r="G41" s="5">
        <v>0</v>
      </c>
      <c r="H41" s="44">
        <v>1</v>
      </c>
      <c r="I41" s="44" t="str">
        <f>INDEX(Helper!$C:$C, MATCH(H41, Helper!$A:$A, 0))</f>
        <v>Standard (EADGBE)</v>
      </c>
      <c r="J41" s="44" t="s">
        <v>393</v>
      </c>
      <c r="K41" s="59" t="s">
        <v>10</v>
      </c>
      <c r="L41" s="44" t="str">
        <f>INDEX(Helper!$F:$F, MATCH(K41, Helper!$E:$E, 0))</f>
        <v>#F5943C</v>
      </c>
      <c r="M41" s="45" t="s">
        <v>431</v>
      </c>
      <c r="N41" s="45" t="s">
        <v>614</v>
      </c>
      <c r="O41" s="46" t="s">
        <v>678</v>
      </c>
      <c r="P41" s="76" t="s">
        <v>976</v>
      </c>
    </row>
    <row r="42" spans="1:16" ht="175.5">
      <c r="A42" s="44">
        <v>39</v>
      </c>
      <c r="B42" s="44">
        <v>1</v>
      </c>
      <c r="C42" s="44">
        <v>1</v>
      </c>
      <c r="D42" s="45" t="str">
        <f>INDEX(Helper!$N$2:$N$4, MATCH(C42, Helper!$M$2:$M$4, 0))</f>
        <v>Beginner</v>
      </c>
      <c r="E42" s="45" t="s">
        <v>276</v>
      </c>
      <c r="F42" s="45" t="s">
        <v>277</v>
      </c>
      <c r="G42" s="5">
        <v>1</v>
      </c>
      <c r="H42" s="44">
        <v>1</v>
      </c>
      <c r="I42" s="44" t="str">
        <f>INDEX(Helper!$C:$C, MATCH(H42, Helper!$A:$A, 0))</f>
        <v>Standard (EADGBE)</v>
      </c>
      <c r="J42" s="44" t="s">
        <v>637</v>
      </c>
      <c r="K42" s="64" t="s">
        <v>15</v>
      </c>
      <c r="L42" s="44" t="str">
        <f>INDEX(Helper!$F:$F, MATCH(K42, Helper!$E:$E, 0))</f>
        <v>#C2C2A1</v>
      </c>
      <c r="M42" s="45" t="s">
        <v>432</v>
      </c>
      <c r="N42" s="45" t="s">
        <v>614</v>
      </c>
      <c r="O42" s="46" t="s">
        <v>679</v>
      </c>
      <c r="P42" s="76" t="s">
        <v>977</v>
      </c>
    </row>
    <row r="43" spans="1:16" ht="81">
      <c r="A43" s="44">
        <v>40</v>
      </c>
      <c r="B43" s="44">
        <v>1</v>
      </c>
      <c r="C43" s="44">
        <v>1</v>
      </c>
      <c r="D43" s="45" t="str">
        <f>INDEX(Helper!$N$2:$N$4, MATCH(C43, Helper!$M$2:$M$4, 0))</f>
        <v>Beginner</v>
      </c>
      <c r="E43" s="45" t="s">
        <v>140</v>
      </c>
      <c r="F43" s="45" t="s">
        <v>278</v>
      </c>
      <c r="G43" s="5">
        <v>1</v>
      </c>
      <c r="H43" s="44">
        <v>1</v>
      </c>
      <c r="I43" s="44" t="str">
        <f>INDEX(Helper!$C:$C, MATCH(H43, Helper!$A:$A, 0))</f>
        <v>Standard (EADGBE)</v>
      </c>
      <c r="J43" s="44" t="s">
        <v>393</v>
      </c>
      <c r="K43" s="61" t="s">
        <v>11</v>
      </c>
      <c r="L43" s="44" t="str">
        <f>INDEX(Helper!$F:$F, MATCH(K43, Helper!$E:$E, 0))</f>
        <v>#E8AD1D</v>
      </c>
      <c r="M43" s="45" t="s">
        <v>433</v>
      </c>
      <c r="N43" s="45" t="s">
        <v>614</v>
      </c>
      <c r="O43" s="46" t="s">
        <v>680</v>
      </c>
      <c r="P43" s="76" t="s">
        <v>978</v>
      </c>
    </row>
    <row r="44" spans="1:16" ht="175.5">
      <c r="A44" s="44">
        <v>41</v>
      </c>
      <c r="B44" s="44">
        <v>1</v>
      </c>
      <c r="C44" s="44">
        <v>1</v>
      </c>
      <c r="D44" s="45" t="str">
        <f>INDEX(Helper!$N$2:$N$4, MATCH(C44, Helper!$M$2:$M$4, 0))</f>
        <v>Beginner</v>
      </c>
      <c r="E44" s="45" t="s">
        <v>88</v>
      </c>
      <c r="F44" s="45" t="s">
        <v>279</v>
      </c>
      <c r="G44" s="5">
        <v>1</v>
      </c>
      <c r="H44" s="44">
        <v>2</v>
      </c>
      <c r="I44" s="44" t="str">
        <f>INDEX(Helper!$C:$C, MATCH(H44, Helper!$A:$A, 0))</f>
        <v>Drop D (DADGBE)</v>
      </c>
      <c r="J44" s="44" t="s">
        <v>626</v>
      </c>
      <c r="K44" s="65" t="s">
        <v>13</v>
      </c>
      <c r="L44" s="44" t="str">
        <f>INDEX(Helper!$F:$F, MATCH(K44, Helper!$E:$E, 0))</f>
        <v>#FF4F53</v>
      </c>
      <c r="M44" s="45" t="s">
        <v>434</v>
      </c>
      <c r="N44" s="45" t="s">
        <v>614</v>
      </c>
      <c r="O44" s="46" t="s">
        <v>681</v>
      </c>
      <c r="P44" s="76" t="s">
        <v>979</v>
      </c>
    </row>
    <row r="45" spans="1:16" ht="270">
      <c r="A45" s="44">
        <v>42</v>
      </c>
      <c r="B45" s="44">
        <v>1</v>
      </c>
      <c r="C45" s="44">
        <v>1</v>
      </c>
      <c r="D45" s="45" t="str">
        <f>INDEX(Helper!$N$2:$N$4, MATCH(C45, Helper!$M$2:$M$4, 0))</f>
        <v>Beginner</v>
      </c>
      <c r="E45" s="45" t="s">
        <v>78</v>
      </c>
      <c r="F45" s="45" t="s">
        <v>280</v>
      </c>
      <c r="G45" s="5">
        <v>1</v>
      </c>
      <c r="H45" s="44">
        <v>6</v>
      </c>
      <c r="I45" s="44" t="str">
        <f>INDEX(Helper!$C:$C, MATCH(H45, Helper!$A:$A, 0))</f>
        <v>Drop DG (DGDGBE)</v>
      </c>
      <c r="J45" s="44" t="s">
        <v>62</v>
      </c>
      <c r="K45" s="65" t="s">
        <v>13</v>
      </c>
      <c r="L45" s="44" t="str">
        <f>INDEX(Helper!$F:$F, MATCH(K45, Helper!$E:$E, 0))</f>
        <v>#FF4F53</v>
      </c>
      <c r="M45" s="45" t="s">
        <v>435</v>
      </c>
      <c r="N45" s="45" t="s">
        <v>614</v>
      </c>
      <c r="O45" s="46" t="s">
        <v>682</v>
      </c>
      <c r="P45" s="76" t="s">
        <v>980</v>
      </c>
    </row>
    <row r="46" spans="1:16" ht="175.5">
      <c r="A46" s="44">
        <v>43</v>
      </c>
      <c r="B46" s="44">
        <v>1</v>
      </c>
      <c r="C46" s="44">
        <v>1</v>
      </c>
      <c r="D46" s="45" t="str">
        <f>INDEX(Helper!$N$2:$N$4, MATCH(C46, Helper!$M$2:$M$4, 0))</f>
        <v>Beginner</v>
      </c>
      <c r="E46" s="45" t="s">
        <v>281</v>
      </c>
      <c r="F46" s="45" t="s">
        <v>282</v>
      </c>
      <c r="G46" s="5">
        <v>1</v>
      </c>
      <c r="H46" s="44">
        <v>1</v>
      </c>
      <c r="I46" s="44" t="str">
        <f>INDEX(Helper!$C:$C, MATCH(H46, Helper!$A:$A, 0))</f>
        <v>Standard (EADGBE)</v>
      </c>
      <c r="J46" s="44" t="s">
        <v>637</v>
      </c>
      <c r="K46" s="61" t="s">
        <v>11</v>
      </c>
      <c r="L46" s="44" t="str">
        <f>INDEX(Helper!$F:$F, MATCH(K46, Helper!$E:$E, 0))</f>
        <v>#E8AD1D</v>
      </c>
      <c r="M46" s="45" t="s">
        <v>436</v>
      </c>
      <c r="N46" s="45" t="s">
        <v>614</v>
      </c>
      <c r="O46" s="46" t="s">
        <v>683</v>
      </c>
      <c r="P46" s="76" t="s">
        <v>981</v>
      </c>
    </row>
    <row r="47" spans="1:16" ht="81">
      <c r="A47" s="44">
        <v>44</v>
      </c>
      <c r="B47" s="44">
        <v>1</v>
      </c>
      <c r="C47" s="44">
        <v>1</v>
      </c>
      <c r="D47" s="45" t="str">
        <f>INDEX(Helper!$N$2:$N$4, MATCH(C47, Helper!$M$2:$M$4, 0))</f>
        <v>Beginner</v>
      </c>
      <c r="E47" s="45" t="s">
        <v>261</v>
      </c>
      <c r="F47" s="45" t="s">
        <v>283</v>
      </c>
      <c r="G47" s="5">
        <v>1</v>
      </c>
      <c r="H47" s="44">
        <v>1</v>
      </c>
      <c r="I47" s="44" t="str">
        <f>INDEX(Helper!$C:$C, MATCH(H47, Helper!$A:$A, 0))</f>
        <v>Standard (EADGBE)</v>
      </c>
      <c r="J47" s="44" t="s">
        <v>393</v>
      </c>
      <c r="K47" s="59" t="s">
        <v>10</v>
      </c>
      <c r="L47" s="44" t="str">
        <f>INDEX(Helper!$F:$F, MATCH(K47, Helper!$E:$E, 0))</f>
        <v>#F5943C</v>
      </c>
      <c r="M47" s="45" t="s">
        <v>437</v>
      </c>
      <c r="N47" s="45" t="s">
        <v>614</v>
      </c>
      <c r="O47" s="46" t="s">
        <v>684</v>
      </c>
      <c r="P47" s="76" t="s">
        <v>982</v>
      </c>
    </row>
    <row r="48" spans="1:16" ht="364.5">
      <c r="A48" s="44">
        <v>45</v>
      </c>
      <c r="B48" s="44">
        <v>1</v>
      </c>
      <c r="C48" s="44">
        <v>2</v>
      </c>
      <c r="D48" s="45" t="str">
        <f>INDEX(Helper!$N$2:$N$4, MATCH(C48, Helper!$M$2:$M$4, 0))</f>
        <v>Intermediate</v>
      </c>
      <c r="E48" s="45" t="s">
        <v>41</v>
      </c>
      <c r="F48" s="45" t="s">
        <v>736</v>
      </c>
      <c r="G48" s="5">
        <v>0</v>
      </c>
      <c r="H48" s="44">
        <v>3</v>
      </c>
      <c r="I48" s="44" t="str">
        <f>INDEX(Helper!$C:$C, MATCH(H48, Helper!$A:$A, 0))</f>
        <v>Half Step Down (D#G#C#F#A#D#)</v>
      </c>
      <c r="J48" s="44" t="s">
        <v>626</v>
      </c>
      <c r="K48" s="59" t="s">
        <v>10</v>
      </c>
      <c r="L48" s="44" t="str">
        <f>INDEX(Helper!$F:$F, MATCH(K48, Helper!$E:$E, 0))</f>
        <v>#F5943C</v>
      </c>
      <c r="M48" s="45" t="s">
        <v>438</v>
      </c>
      <c r="N48" s="45" t="s">
        <v>614</v>
      </c>
      <c r="O48" s="46" t="s">
        <v>685</v>
      </c>
      <c r="P48" s="76" t="s">
        <v>983</v>
      </c>
    </row>
    <row r="49" spans="1:16" ht="175.5">
      <c r="A49" s="44">
        <v>46</v>
      </c>
      <c r="B49" s="44">
        <v>1</v>
      </c>
      <c r="C49" s="44">
        <v>2</v>
      </c>
      <c r="D49" s="45" t="str">
        <f>INDEX(Helper!$N$2:$N$4, MATCH(C49, Helper!$M$2:$M$4, 0))</f>
        <v>Intermediate</v>
      </c>
      <c r="E49" s="45" t="s">
        <v>284</v>
      </c>
      <c r="F49" s="45" t="s">
        <v>285</v>
      </c>
      <c r="G49" s="5">
        <v>0</v>
      </c>
      <c r="H49" s="44">
        <v>1</v>
      </c>
      <c r="I49" s="44" t="str">
        <f>INDEX(Helper!$C:$C, MATCH(H49, Helper!$A:$A, 0))</f>
        <v>Standard (EADGBE)</v>
      </c>
      <c r="J49" s="44" t="s">
        <v>65</v>
      </c>
      <c r="K49" s="63" t="s">
        <v>24</v>
      </c>
      <c r="L49" s="44" t="str">
        <f>INDEX(Helper!$F:$F, MATCH(K49, Helper!$E:$E, 0))</f>
        <v>#F1D764</v>
      </c>
      <c r="M49" s="45" t="s">
        <v>439</v>
      </c>
      <c r="N49" s="45" t="s">
        <v>614</v>
      </c>
      <c r="O49" s="46" t="s">
        <v>686</v>
      </c>
      <c r="P49" s="76" t="s">
        <v>984</v>
      </c>
    </row>
    <row r="50" spans="1:16" ht="175.5">
      <c r="A50" s="44">
        <v>47</v>
      </c>
      <c r="B50" s="44">
        <v>1</v>
      </c>
      <c r="C50" s="44">
        <v>2</v>
      </c>
      <c r="D50" s="45" t="str">
        <f>INDEX(Helper!$N$2:$N$4, MATCH(C50, Helper!$M$2:$M$4, 0))</f>
        <v>Intermediate</v>
      </c>
      <c r="E50" s="45" t="s">
        <v>245</v>
      </c>
      <c r="F50" s="45" t="s">
        <v>286</v>
      </c>
      <c r="G50" s="5">
        <v>0</v>
      </c>
      <c r="H50" s="44">
        <v>1</v>
      </c>
      <c r="I50" s="44" t="str">
        <f>INDEX(Helper!$C:$C, MATCH(H50, Helper!$A:$A, 0))</f>
        <v>Standard (EADGBE)</v>
      </c>
      <c r="J50" s="44" t="s">
        <v>637</v>
      </c>
      <c r="K50" s="64" t="s">
        <v>15</v>
      </c>
      <c r="L50" s="44" t="str">
        <f>INDEX(Helper!$F:$F, MATCH(K50, Helper!$E:$E, 0))</f>
        <v>#C2C2A1</v>
      </c>
      <c r="M50" s="45" t="s">
        <v>440</v>
      </c>
      <c r="N50" s="45" t="s">
        <v>614</v>
      </c>
      <c r="O50" s="46" t="s">
        <v>687</v>
      </c>
      <c r="P50" s="76" t="s">
        <v>985</v>
      </c>
    </row>
    <row r="51" spans="1:16" ht="81">
      <c r="A51" s="44">
        <v>48</v>
      </c>
      <c r="B51" s="44">
        <v>1</v>
      </c>
      <c r="C51" s="44">
        <v>2</v>
      </c>
      <c r="D51" s="45" t="str">
        <f>INDEX(Helper!$N$2:$N$4, MATCH(C51, Helper!$M$2:$M$4, 0))</f>
        <v>Intermediate</v>
      </c>
      <c r="E51" s="45" t="s">
        <v>99</v>
      </c>
      <c r="F51" s="45" t="s">
        <v>287</v>
      </c>
      <c r="G51" s="5">
        <v>1</v>
      </c>
      <c r="H51" s="44">
        <v>1</v>
      </c>
      <c r="I51" s="44" t="str">
        <f>INDEX(Helper!$C:$C, MATCH(H51, Helper!$A:$A, 0))</f>
        <v>Standard (EADGBE)</v>
      </c>
      <c r="J51" s="44" t="s">
        <v>636</v>
      </c>
      <c r="K51" s="59" t="s">
        <v>10</v>
      </c>
      <c r="L51" s="44" t="str">
        <f>INDEX(Helper!$F:$F, MATCH(K51, Helper!$E:$E, 0))</f>
        <v>#F5943C</v>
      </c>
      <c r="M51" s="45" t="s">
        <v>441</v>
      </c>
      <c r="N51" s="45" t="s">
        <v>614</v>
      </c>
      <c r="O51" s="46" t="s">
        <v>688</v>
      </c>
      <c r="P51" s="76" t="s">
        <v>986</v>
      </c>
    </row>
    <row r="52" spans="1:16" ht="175.5">
      <c r="A52" s="44">
        <v>49</v>
      </c>
      <c r="B52" s="44">
        <v>1</v>
      </c>
      <c r="C52" s="44">
        <v>2</v>
      </c>
      <c r="D52" s="45" t="str">
        <f>INDEX(Helper!$N$2:$N$4, MATCH(C52, Helper!$M$2:$M$4, 0))</f>
        <v>Intermediate</v>
      </c>
      <c r="E52" s="45" t="s">
        <v>288</v>
      </c>
      <c r="F52" s="45" t="s">
        <v>289</v>
      </c>
      <c r="G52" s="5">
        <v>0</v>
      </c>
      <c r="H52" s="44">
        <v>3</v>
      </c>
      <c r="I52" s="44" t="str">
        <f>INDEX(Helper!$C:$C, MATCH(H52, Helper!$A:$A, 0))</f>
        <v>Half Step Down (D#G#C#F#A#D#)</v>
      </c>
      <c r="J52" s="44" t="s">
        <v>393</v>
      </c>
      <c r="K52" s="60" t="s">
        <v>28</v>
      </c>
      <c r="L52" s="44" t="str">
        <f>INDEX(Helper!$F:$F, MATCH(K52, Helper!$E:$E, 0))</f>
        <v>#B3F141</v>
      </c>
      <c r="M52" s="45" t="s">
        <v>442</v>
      </c>
      <c r="N52" s="45" t="s">
        <v>614</v>
      </c>
      <c r="O52" s="46" t="s">
        <v>689</v>
      </c>
      <c r="P52" s="76" t="s">
        <v>987</v>
      </c>
    </row>
    <row r="53" spans="1:16" ht="81">
      <c r="A53" s="44">
        <v>50</v>
      </c>
      <c r="B53" s="44">
        <v>1</v>
      </c>
      <c r="C53" s="44">
        <v>2</v>
      </c>
      <c r="D53" s="45" t="str">
        <f>INDEX(Helper!$N$2:$N$4, MATCH(C53, Helper!$M$2:$M$4, 0))</f>
        <v>Intermediate</v>
      </c>
      <c r="E53" s="45" t="s">
        <v>88</v>
      </c>
      <c r="F53" s="45" t="s">
        <v>290</v>
      </c>
      <c r="G53" s="5">
        <v>0</v>
      </c>
      <c r="H53" s="44">
        <v>1</v>
      </c>
      <c r="I53" s="44" t="str">
        <f>INDEX(Helper!$C:$C, MATCH(H53, Helper!$A:$A, 0))</f>
        <v>Standard (EADGBE)</v>
      </c>
      <c r="J53" s="44" t="s">
        <v>63</v>
      </c>
      <c r="K53" s="65" t="s">
        <v>13</v>
      </c>
      <c r="L53" s="44" t="str">
        <f>INDEX(Helper!$F:$F, MATCH(K53, Helper!$E:$E, 0))</f>
        <v>#FF4F53</v>
      </c>
      <c r="M53" s="45" t="s">
        <v>443</v>
      </c>
      <c r="N53" s="45" t="s">
        <v>614</v>
      </c>
      <c r="O53" s="46" t="s">
        <v>690</v>
      </c>
      <c r="P53" s="76" t="s">
        <v>988</v>
      </c>
    </row>
    <row r="54" spans="1:16" ht="81">
      <c r="A54" s="44">
        <v>51</v>
      </c>
      <c r="B54" s="44">
        <v>1</v>
      </c>
      <c r="C54" s="44">
        <v>2</v>
      </c>
      <c r="D54" s="45" t="str">
        <f>INDEX(Helper!$N$2:$N$4, MATCH(C54, Helper!$M$2:$M$4, 0))</f>
        <v>Intermediate</v>
      </c>
      <c r="E54" s="45" t="s">
        <v>102</v>
      </c>
      <c r="F54" s="45" t="s">
        <v>291</v>
      </c>
      <c r="G54" s="5">
        <v>0</v>
      </c>
      <c r="H54" s="44">
        <v>1</v>
      </c>
      <c r="I54" s="44" t="str">
        <f>INDEX(Helper!$C:$C, MATCH(H54, Helper!$A:$A, 0))</f>
        <v>Standard (EADGBE)</v>
      </c>
      <c r="J54" s="44" t="s">
        <v>393</v>
      </c>
      <c r="K54" s="70" t="s">
        <v>372</v>
      </c>
      <c r="L54" s="44" t="str">
        <f>INDEX(Helper!$F:$F, MATCH(K54, Helper!$E:$E, 0))</f>
        <v>#C476D4</v>
      </c>
      <c r="M54" s="48" t="s">
        <v>444</v>
      </c>
      <c r="N54" s="45" t="s">
        <v>614</v>
      </c>
      <c r="O54" s="48" t="s">
        <v>691</v>
      </c>
      <c r="P54" s="76" t="s">
        <v>989</v>
      </c>
    </row>
    <row r="55" spans="1:16" ht="81">
      <c r="A55" s="44">
        <v>52</v>
      </c>
      <c r="B55" s="44">
        <v>1</v>
      </c>
      <c r="C55" s="44">
        <v>2</v>
      </c>
      <c r="D55" s="45" t="str">
        <f>INDEX(Helper!$N$2:$N$4, MATCH(C55, Helper!$M$2:$M$4, 0))</f>
        <v>Intermediate</v>
      </c>
      <c r="E55" s="45" t="s">
        <v>292</v>
      </c>
      <c r="F55" s="45" t="s">
        <v>293</v>
      </c>
      <c r="G55" s="5">
        <v>1</v>
      </c>
      <c r="H55" s="44">
        <v>1</v>
      </c>
      <c r="I55" s="44" t="str">
        <f>INDEX(Helper!$C:$C, MATCH(H55, Helper!$A:$A, 0))</f>
        <v>Standard (EADGBE)</v>
      </c>
      <c r="J55" s="44" t="s">
        <v>633</v>
      </c>
      <c r="K55" s="60" t="s">
        <v>373</v>
      </c>
      <c r="L55" s="44" t="str">
        <f>INDEX(Helper!$F:$F, MATCH(K55, Helper!$E:$E, 0))</f>
        <v>#B3F141</v>
      </c>
      <c r="M55" s="45" t="s">
        <v>445</v>
      </c>
      <c r="N55" s="45" t="s">
        <v>614</v>
      </c>
      <c r="O55" s="46" t="s">
        <v>692</v>
      </c>
      <c r="P55" s="76" t="s">
        <v>990</v>
      </c>
    </row>
    <row r="56" spans="1:16" ht="81">
      <c r="A56" s="44">
        <v>53</v>
      </c>
      <c r="B56" s="44">
        <v>1</v>
      </c>
      <c r="C56" s="44">
        <v>2</v>
      </c>
      <c r="D56" s="45" t="str">
        <f>INDEX(Helper!$N$2:$N$4, MATCH(C56, Helper!$M$2:$M$4, 0))</f>
        <v>Intermediate</v>
      </c>
      <c r="E56" s="45" t="s">
        <v>90</v>
      </c>
      <c r="F56" s="45" t="s">
        <v>294</v>
      </c>
      <c r="G56" s="5">
        <v>1</v>
      </c>
      <c r="H56" s="44">
        <v>1</v>
      </c>
      <c r="I56" s="44" t="str">
        <f>INDEX(Helper!$C:$C, MATCH(H56, Helper!$A:$A, 0))</f>
        <v>Standard (EADGBE)</v>
      </c>
      <c r="J56" s="44" t="s">
        <v>62</v>
      </c>
      <c r="K56" s="65" t="s">
        <v>13</v>
      </c>
      <c r="L56" s="44" t="str">
        <f>INDEX(Helper!$F:$F, MATCH(K56, Helper!$E:$E, 0))</f>
        <v>#FF4F53</v>
      </c>
      <c r="M56" s="45" t="s">
        <v>446</v>
      </c>
      <c r="N56" s="45" t="s">
        <v>614</v>
      </c>
      <c r="O56" s="46" t="s">
        <v>693</v>
      </c>
      <c r="P56" s="76" t="s">
        <v>991</v>
      </c>
    </row>
    <row r="57" spans="1:16" ht="81">
      <c r="A57" s="44">
        <v>54</v>
      </c>
      <c r="B57" s="44">
        <v>1</v>
      </c>
      <c r="C57" s="44">
        <v>2</v>
      </c>
      <c r="D57" s="45" t="str">
        <f>INDEX(Helper!$N$2:$N$4, MATCH(C57, Helper!$M$2:$M$4, 0))</f>
        <v>Intermediate</v>
      </c>
      <c r="E57" s="45" t="s">
        <v>34</v>
      </c>
      <c r="F57" s="45" t="s">
        <v>295</v>
      </c>
      <c r="G57" s="5">
        <v>1</v>
      </c>
      <c r="H57" s="44">
        <v>1</v>
      </c>
      <c r="I57" s="44" t="str">
        <f>INDEX(Helper!$C:$C, MATCH(H57, Helper!$A:$A, 0))</f>
        <v>Standard (EADGBE)</v>
      </c>
      <c r="J57" s="44" t="s">
        <v>59</v>
      </c>
      <c r="K57" s="59" t="s">
        <v>10</v>
      </c>
      <c r="L57" s="44" t="str">
        <f>INDEX(Helper!$F:$F, MATCH(K57, Helper!$E:$E, 0))</f>
        <v>#F5943C</v>
      </c>
      <c r="M57" s="45" t="s">
        <v>447</v>
      </c>
      <c r="N57" s="45" t="s">
        <v>614</v>
      </c>
      <c r="O57" s="46" t="s">
        <v>694</v>
      </c>
      <c r="P57" s="76" t="s">
        <v>992</v>
      </c>
    </row>
    <row r="58" spans="1:16" ht="175.5">
      <c r="A58" s="44">
        <v>55</v>
      </c>
      <c r="B58" s="44">
        <v>1</v>
      </c>
      <c r="C58" s="44">
        <v>2</v>
      </c>
      <c r="D58" s="45" t="str">
        <f>INDEX(Helper!$N$2:$N$4, MATCH(C58, Helper!$M$2:$M$4, 0))</f>
        <v>Intermediate</v>
      </c>
      <c r="E58" s="45" t="s">
        <v>296</v>
      </c>
      <c r="F58" s="45" t="s">
        <v>297</v>
      </c>
      <c r="G58" s="5">
        <v>0</v>
      </c>
      <c r="H58" s="44">
        <v>1</v>
      </c>
      <c r="I58" s="44" t="str">
        <f>INDEX(Helper!$C:$C, MATCH(H58, Helper!$A:$A, 0))</f>
        <v>Standard (EADGBE)</v>
      </c>
      <c r="J58" s="44" t="s">
        <v>59</v>
      </c>
      <c r="K58" s="61" t="s">
        <v>11</v>
      </c>
      <c r="L58" s="44" t="str">
        <f>INDEX(Helper!$F:$F, MATCH(K58, Helper!$E:$E, 0))</f>
        <v>#E8AD1D</v>
      </c>
      <c r="M58" s="45" t="s">
        <v>448</v>
      </c>
      <c r="N58" s="45" t="s">
        <v>614</v>
      </c>
      <c r="O58" s="46" t="s">
        <v>695</v>
      </c>
      <c r="P58" s="76" t="s">
        <v>993</v>
      </c>
    </row>
    <row r="59" spans="1:16" ht="81">
      <c r="A59" s="44">
        <v>56</v>
      </c>
      <c r="B59" s="44">
        <v>1</v>
      </c>
      <c r="C59" s="44">
        <v>1</v>
      </c>
      <c r="D59" s="45" t="str">
        <f>INDEX(Helper!$N$2:$N$4, MATCH(C59, Helper!$M$2:$M$4, 0))</f>
        <v>Beginner</v>
      </c>
      <c r="E59" s="45" t="s">
        <v>271</v>
      </c>
      <c r="F59" s="45" t="s">
        <v>298</v>
      </c>
      <c r="G59" s="5">
        <v>1</v>
      </c>
      <c r="H59" s="44">
        <v>1</v>
      </c>
      <c r="I59" s="44" t="str">
        <f>INDEX(Helper!$C:$C, MATCH(H59, Helper!$A:$A, 0))</f>
        <v>Standard (EADGBE)</v>
      </c>
      <c r="J59" s="44" t="s">
        <v>393</v>
      </c>
      <c r="K59" s="64" t="s">
        <v>15</v>
      </c>
      <c r="L59" s="44" t="str">
        <f>INDEX(Helper!$F:$F, MATCH(K59, Helper!$E:$E, 0))</f>
        <v>#C2C2A1</v>
      </c>
      <c r="M59" s="45" t="s">
        <v>449</v>
      </c>
      <c r="N59" s="45" t="s">
        <v>614</v>
      </c>
      <c r="O59" s="46" t="s">
        <v>696</v>
      </c>
      <c r="P59" s="76" t="s">
        <v>994</v>
      </c>
    </row>
    <row r="60" spans="1:16" ht="409.5">
      <c r="A60" s="44">
        <v>57</v>
      </c>
      <c r="B60" s="44">
        <v>1</v>
      </c>
      <c r="C60" s="44">
        <v>2</v>
      </c>
      <c r="D60" s="45" t="str">
        <f>INDEX(Helper!$N$2:$N$4, MATCH(C60, Helper!$M$2:$M$4, 0))</f>
        <v>Intermediate</v>
      </c>
      <c r="E60" s="45" t="s">
        <v>42</v>
      </c>
      <c r="F60" s="45" t="s">
        <v>45</v>
      </c>
      <c r="G60" s="5">
        <v>0</v>
      </c>
      <c r="H60" s="44">
        <v>1</v>
      </c>
      <c r="I60" s="44" t="str">
        <f>INDEX(Helper!$C:$C, MATCH(H60, Helper!$A:$A, 0))</f>
        <v>Standard (EADGBE)</v>
      </c>
      <c r="J60" s="44" t="s">
        <v>65</v>
      </c>
      <c r="K60" s="70" t="s">
        <v>372</v>
      </c>
      <c r="L60" s="44" t="str">
        <f>INDEX(Helper!$F:$F, MATCH(K60, Helper!$E:$E, 0))</f>
        <v>#C476D4</v>
      </c>
      <c r="M60" s="45" t="s">
        <v>72</v>
      </c>
      <c r="N60" s="45" t="s">
        <v>614</v>
      </c>
      <c r="O60" s="46" t="s">
        <v>697</v>
      </c>
      <c r="P60" s="76" t="s">
        <v>995</v>
      </c>
    </row>
    <row r="61" spans="1:16" ht="175.5">
      <c r="A61" s="44">
        <v>58</v>
      </c>
      <c r="B61" s="44">
        <v>1</v>
      </c>
      <c r="C61" s="44">
        <v>1</v>
      </c>
      <c r="D61" s="45" t="str">
        <f>INDEX(Helper!$N$2:$N$4, MATCH(C61, Helper!$M$2:$M$4, 0))</f>
        <v>Beginner</v>
      </c>
      <c r="E61" s="45" t="s">
        <v>299</v>
      </c>
      <c r="F61" s="45" t="s">
        <v>300</v>
      </c>
      <c r="G61" s="5">
        <v>0</v>
      </c>
      <c r="H61" s="44">
        <v>1</v>
      </c>
      <c r="I61" s="44" t="str">
        <f>INDEX(Helper!$C:$C, MATCH(H61, Helper!$A:$A, 0))</f>
        <v>Standard (EADGBE)</v>
      </c>
      <c r="J61" s="44" t="s">
        <v>618</v>
      </c>
      <c r="K61" s="64" t="s">
        <v>15</v>
      </c>
      <c r="L61" s="44" t="str">
        <f>INDEX(Helper!$F:$F, MATCH(K61, Helper!$E:$E, 0))</f>
        <v>#C2C2A1</v>
      </c>
      <c r="M61" s="45" t="s">
        <v>388</v>
      </c>
      <c r="N61" s="45" t="s">
        <v>614</v>
      </c>
      <c r="O61" s="46" t="s">
        <v>642</v>
      </c>
      <c r="P61" s="76" t="s">
        <v>996</v>
      </c>
    </row>
    <row r="62" spans="1:16" ht="81">
      <c r="A62" s="44">
        <v>59</v>
      </c>
      <c r="B62" s="44">
        <v>1</v>
      </c>
      <c r="C62" s="44">
        <v>1</v>
      </c>
      <c r="D62" s="45" t="str">
        <f>INDEX(Helper!$N$2:$N$4, MATCH(C62, Helper!$M$2:$M$4, 0))</f>
        <v>Beginner</v>
      </c>
      <c r="E62" s="45" t="s">
        <v>301</v>
      </c>
      <c r="F62" s="45" t="s">
        <v>302</v>
      </c>
      <c r="G62" s="5">
        <v>1</v>
      </c>
      <c r="H62" s="44">
        <v>1</v>
      </c>
      <c r="I62" s="44" t="str">
        <f>INDEX(Helper!$C:$C, MATCH(H62, Helper!$A:$A, 0))</f>
        <v>Standard (EADGBE)</v>
      </c>
      <c r="J62" s="44" t="s">
        <v>59</v>
      </c>
      <c r="K62" s="59" t="s">
        <v>10</v>
      </c>
      <c r="L62" s="44" t="str">
        <f>INDEX(Helper!$F:$F, MATCH(K62, Helper!$E:$E, 0))</f>
        <v>#F5943C</v>
      </c>
      <c r="M62" s="45" t="s">
        <v>450</v>
      </c>
      <c r="N62" s="45" t="s">
        <v>614</v>
      </c>
      <c r="O62" s="46" t="s">
        <v>643</v>
      </c>
      <c r="P62" s="76" t="s">
        <v>997</v>
      </c>
    </row>
    <row r="63" spans="1:16" ht="175.5">
      <c r="A63" s="44">
        <v>60</v>
      </c>
      <c r="B63" s="44">
        <v>1</v>
      </c>
      <c r="C63" s="44">
        <v>2</v>
      </c>
      <c r="D63" s="45" t="str">
        <f>INDEX(Helper!$N$2:$N$4, MATCH(C63, Helper!$M$2:$M$4, 0))</f>
        <v>Intermediate</v>
      </c>
      <c r="E63" s="45" t="s">
        <v>271</v>
      </c>
      <c r="F63" s="45" t="s">
        <v>303</v>
      </c>
      <c r="G63" s="5">
        <v>1</v>
      </c>
      <c r="H63" s="44">
        <v>1</v>
      </c>
      <c r="I63" s="44" t="str">
        <f>INDEX(Helper!$C:$C, MATCH(H63, Helper!$A:$A, 0))</f>
        <v>Standard (EADGBE)</v>
      </c>
      <c r="J63" s="44" t="s">
        <v>66</v>
      </c>
      <c r="K63" s="64" t="s">
        <v>15</v>
      </c>
      <c r="L63" s="44" t="str">
        <f>INDEX(Helper!$F:$F, MATCH(K63, Helper!$E:$E, 0))</f>
        <v>#C2C2A1</v>
      </c>
      <c r="M63" s="45" t="s">
        <v>451</v>
      </c>
      <c r="N63" s="45" t="s">
        <v>614</v>
      </c>
      <c r="O63" s="46" t="s">
        <v>698</v>
      </c>
      <c r="P63" s="76" t="s">
        <v>998</v>
      </c>
    </row>
    <row r="64" spans="1:16" ht="81">
      <c r="A64" s="44">
        <v>61</v>
      </c>
      <c r="B64" s="44">
        <v>1</v>
      </c>
      <c r="C64" s="44">
        <v>2</v>
      </c>
      <c r="D64" s="45" t="str">
        <f>INDEX(Helper!$N$2:$N$4, MATCH(C64, Helper!$M$2:$M$4, 0))</f>
        <v>Intermediate</v>
      </c>
      <c r="E64" s="45" t="s">
        <v>254</v>
      </c>
      <c r="F64" s="45" t="s">
        <v>255</v>
      </c>
      <c r="G64" s="5">
        <v>1</v>
      </c>
      <c r="H64" s="44">
        <v>1</v>
      </c>
      <c r="I64" s="44" t="str">
        <f>INDEX(Helper!$C:$C, MATCH(H64, Helper!$A:$A, 0))</f>
        <v>Standard (EADGBE)</v>
      </c>
      <c r="J64" s="44" t="s">
        <v>59</v>
      </c>
      <c r="K64" s="64" t="s">
        <v>15</v>
      </c>
      <c r="L64" s="44" t="str">
        <f>INDEX(Helper!$F:$F, MATCH(K64, Helper!$E:$E, 0))</f>
        <v>#C2C2A1</v>
      </c>
      <c r="M64" s="45" t="s">
        <v>452</v>
      </c>
      <c r="N64" s="45" t="s">
        <v>614</v>
      </c>
      <c r="O64" s="46" t="s">
        <v>699</v>
      </c>
      <c r="P64" s="76" t="s">
        <v>999</v>
      </c>
    </row>
    <row r="65" spans="1:16" ht="175.5">
      <c r="A65" s="44">
        <v>62</v>
      </c>
      <c r="B65" s="44">
        <v>1</v>
      </c>
      <c r="C65" s="44">
        <v>2</v>
      </c>
      <c r="D65" s="45" t="str">
        <f>INDEX(Helper!$N$2:$N$4, MATCH(C65, Helper!$M$2:$M$4, 0))</f>
        <v>Intermediate</v>
      </c>
      <c r="E65" s="45" t="s">
        <v>237</v>
      </c>
      <c r="F65" s="45" t="s">
        <v>304</v>
      </c>
      <c r="G65" s="5">
        <v>0</v>
      </c>
      <c r="H65" s="44">
        <v>1</v>
      </c>
      <c r="I65" s="44" t="str">
        <f>INDEX(Helper!$C:$C, MATCH(H65, Helper!$A:$A, 0))</f>
        <v>Standard (EADGBE)</v>
      </c>
      <c r="J65" s="44" t="s">
        <v>63</v>
      </c>
      <c r="K65" s="63" t="s">
        <v>22</v>
      </c>
      <c r="L65" s="44" t="str">
        <f>INDEX(Helper!$F:$F, MATCH(K65, Helper!$E:$E, 0))</f>
        <v>#FFDF66</v>
      </c>
      <c r="M65" s="45" t="s">
        <v>453</v>
      </c>
      <c r="N65" s="45" t="s">
        <v>614</v>
      </c>
      <c r="O65" s="46" t="s">
        <v>700</v>
      </c>
      <c r="P65" s="76" t="s">
        <v>1000</v>
      </c>
    </row>
    <row r="66" spans="1:16" ht="175.5">
      <c r="A66" s="44">
        <v>63</v>
      </c>
      <c r="B66" s="44">
        <v>1</v>
      </c>
      <c r="C66" s="44">
        <v>2</v>
      </c>
      <c r="D66" s="45" t="str">
        <f>INDEX(Helper!$N$2:$N$4, MATCH(C66, Helper!$M$2:$M$4, 0))</f>
        <v>Intermediate</v>
      </c>
      <c r="E66" s="45" t="s">
        <v>305</v>
      </c>
      <c r="F66" s="45" t="s">
        <v>306</v>
      </c>
      <c r="G66" s="5">
        <v>0</v>
      </c>
      <c r="H66" s="44">
        <v>1</v>
      </c>
      <c r="I66" s="44" t="str">
        <f>INDEX(Helper!$C:$C, MATCH(H66, Helper!$A:$A, 0))</f>
        <v>Standard (EADGBE)</v>
      </c>
      <c r="J66" s="44" t="s">
        <v>619</v>
      </c>
      <c r="K66" s="59" t="s">
        <v>10</v>
      </c>
      <c r="L66" s="44" t="str">
        <f>INDEX(Helper!$F:$F, MATCH(K66, Helper!$E:$E, 0))</f>
        <v>#F5943C</v>
      </c>
      <c r="M66" s="45" t="s">
        <v>454</v>
      </c>
      <c r="N66" s="45" t="s">
        <v>614</v>
      </c>
      <c r="O66" s="46" t="s">
        <v>701</v>
      </c>
      <c r="P66" s="76" t="s">
        <v>1001</v>
      </c>
    </row>
    <row r="67" spans="1:16" ht="175.5">
      <c r="A67" s="44">
        <v>64</v>
      </c>
      <c r="B67" s="44">
        <v>1</v>
      </c>
      <c r="C67" s="44">
        <v>2</v>
      </c>
      <c r="D67" s="45" t="str">
        <f>INDEX(Helper!$N$2:$N$4, MATCH(C67, Helper!$M$2:$M$4, 0))</f>
        <v>Intermediate</v>
      </c>
      <c r="E67" s="45" t="s">
        <v>307</v>
      </c>
      <c r="F67" s="45" t="s">
        <v>456</v>
      </c>
      <c r="G67" s="5">
        <v>1</v>
      </c>
      <c r="H67" s="44">
        <v>1</v>
      </c>
      <c r="I67" s="44" t="str">
        <f>INDEX(Helper!$C:$C, MATCH(H67, Helper!$A:$A, 0))</f>
        <v>Standard (EADGBE)</v>
      </c>
      <c r="J67" s="44" t="s">
        <v>66</v>
      </c>
      <c r="K67" s="71" t="s">
        <v>27</v>
      </c>
      <c r="L67" s="44" t="str">
        <f>INDEX(Helper!$F:$F, MATCH(K67, Helper!$E:$E, 0))</f>
        <v>#B2DB4B</v>
      </c>
      <c r="M67" s="45" t="s">
        <v>455</v>
      </c>
      <c r="N67" s="45" t="s">
        <v>614</v>
      </c>
      <c r="O67" s="46" t="s">
        <v>702</v>
      </c>
      <c r="P67" s="76" t="s">
        <v>1002</v>
      </c>
    </row>
    <row r="68" spans="1:16" ht="81">
      <c r="A68" s="44">
        <v>65</v>
      </c>
      <c r="B68" s="44">
        <v>1</v>
      </c>
      <c r="C68" s="44">
        <v>2</v>
      </c>
      <c r="D68" s="45" t="str">
        <f>INDEX(Helper!$N$2:$N$4, MATCH(C68, Helper!$M$2:$M$4, 0))</f>
        <v>Intermediate</v>
      </c>
      <c r="E68" s="45" t="s">
        <v>630</v>
      </c>
      <c r="F68" s="45" t="s">
        <v>308</v>
      </c>
      <c r="G68" s="5">
        <v>1</v>
      </c>
      <c r="H68" s="44">
        <v>1</v>
      </c>
      <c r="I68" s="44" t="str">
        <f>INDEX(Helper!$C:$C, MATCH(H68, Helper!$A:$A, 0))</f>
        <v>Standard (EADGBE)</v>
      </c>
      <c r="J68" s="44" t="s">
        <v>65</v>
      </c>
      <c r="K68" s="59" t="s">
        <v>10</v>
      </c>
      <c r="L68" s="44" t="str">
        <f>INDEX(Helper!$F:$F, MATCH(K68, Helper!$E:$E, 0))</f>
        <v>#F5943C</v>
      </c>
      <c r="M68" s="45" t="s">
        <v>737</v>
      </c>
      <c r="N68" s="45" t="s">
        <v>614</v>
      </c>
      <c r="O68" s="46" t="s">
        <v>703</v>
      </c>
      <c r="P68" s="76" t="s">
        <v>1003</v>
      </c>
    </row>
    <row r="69" spans="1:16" ht="81">
      <c r="A69" s="44">
        <v>66</v>
      </c>
      <c r="B69" s="44">
        <v>1</v>
      </c>
      <c r="C69" s="44">
        <v>2</v>
      </c>
      <c r="D69" s="45" t="str">
        <f>INDEX(Helper!$N$2:$N$4, MATCH(C69, Helper!$M$2:$M$4, 0))</f>
        <v>Intermediate</v>
      </c>
      <c r="E69" s="45" t="s">
        <v>309</v>
      </c>
      <c r="F69" s="45" t="s">
        <v>310</v>
      </c>
      <c r="G69" s="5">
        <v>1</v>
      </c>
      <c r="H69" s="44">
        <v>1</v>
      </c>
      <c r="I69" s="44" t="str">
        <f>INDEX(Helper!$C:$C, MATCH(H69, Helper!$A:$A, 0))</f>
        <v>Standard (EADGBE)</v>
      </c>
      <c r="J69" s="44" t="s">
        <v>618</v>
      </c>
      <c r="K69" s="61" t="s">
        <v>11</v>
      </c>
      <c r="L69" s="44" t="str">
        <f>INDEX(Helper!$F:$F, MATCH(K69, Helper!$E:$E, 0))</f>
        <v>#E8AD1D</v>
      </c>
      <c r="M69" s="45" t="s">
        <v>457</v>
      </c>
      <c r="N69" s="45" t="s">
        <v>614</v>
      </c>
      <c r="O69" s="46" t="s">
        <v>704</v>
      </c>
      <c r="P69" s="76" t="s">
        <v>1004</v>
      </c>
    </row>
    <row r="70" spans="1:16" ht="175.5">
      <c r="A70" s="44">
        <v>67</v>
      </c>
      <c r="B70" s="44">
        <v>1</v>
      </c>
      <c r="C70" s="44">
        <v>2</v>
      </c>
      <c r="D70" s="45" t="str">
        <f>INDEX(Helper!$N$2:$N$4, MATCH(C70, Helper!$M$2:$M$4, 0))</f>
        <v>Intermediate</v>
      </c>
      <c r="E70" s="45" t="s">
        <v>311</v>
      </c>
      <c r="F70" s="45" t="s">
        <v>312</v>
      </c>
      <c r="G70" s="5">
        <v>1</v>
      </c>
      <c r="H70" s="44">
        <v>1</v>
      </c>
      <c r="I70" s="44" t="str">
        <f>INDEX(Helper!$C:$C, MATCH(H70, Helper!$A:$A, 0))</f>
        <v>Standard (EADGBE)</v>
      </c>
      <c r="J70" s="44" t="s">
        <v>393</v>
      </c>
      <c r="K70" s="63" t="s">
        <v>26</v>
      </c>
      <c r="L70" s="44" t="str">
        <f>INDEX(Helper!$F:$F, MATCH(K70, Helper!$E:$E, 0))</f>
        <v>#FFFFCC</v>
      </c>
      <c r="M70" s="45" t="s">
        <v>458</v>
      </c>
      <c r="N70" s="45" t="s">
        <v>614</v>
      </c>
      <c r="O70" s="46" t="s">
        <v>705</v>
      </c>
      <c r="P70" s="76" t="s">
        <v>1005</v>
      </c>
    </row>
    <row r="71" spans="1:16" ht="175.5">
      <c r="A71" s="44">
        <v>68</v>
      </c>
      <c r="B71" s="44">
        <v>1</v>
      </c>
      <c r="C71" s="44">
        <v>2</v>
      </c>
      <c r="D71" s="45" t="str">
        <f>INDEX(Helper!$N$2:$N$4, MATCH(C71, Helper!$M$2:$M$4, 0))</f>
        <v>Intermediate</v>
      </c>
      <c r="E71" s="45" t="s">
        <v>313</v>
      </c>
      <c r="F71" s="45" t="s">
        <v>314</v>
      </c>
      <c r="G71" s="5">
        <v>1</v>
      </c>
      <c r="H71" s="44">
        <v>1</v>
      </c>
      <c r="I71" s="44" t="str">
        <f>INDEX(Helper!$C:$C, MATCH(H71, Helper!$A:$A, 0))</f>
        <v>Standard (EADGBE)</v>
      </c>
      <c r="J71" s="44" t="s">
        <v>620</v>
      </c>
      <c r="K71" s="63" t="s">
        <v>22</v>
      </c>
      <c r="L71" s="44" t="str">
        <f>INDEX(Helper!$F:$F, MATCH(K71, Helper!$E:$E, 0))</f>
        <v>#FFDF66</v>
      </c>
      <c r="M71" s="45" t="s">
        <v>459</v>
      </c>
      <c r="N71" s="45" t="s">
        <v>614</v>
      </c>
      <c r="O71" s="46" t="s">
        <v>706</v>
      </c>
      <c r="P71" s="76" t="s">
        <v>1006</v>
      </c>
    </row>
    <row r="72" spans="1:16" ht="364.5">
      <c r="A72" s="44">
        <v>69</v>
      </c>
      <c r="B72" s="44">
        <v>1</v>
      </c>
      <c r="C72" s="44">
        <v>2</v>
      </c>
      <c r="D72" s="45" t="str">
        <f>INDEX(Helper!$N$2:$N$4, MATCH(C72, Helper!$M$2:$M$4, 0))</f>
        <v>Intermediate</v>
      </c>
      <c r="E72" s="45" t="s">
        <v>43</v>
      </c>
      <c r="F72" s="45" t="s">
        <v>47</v>
      </c>
      <c r="G72" s="5">
        <v>0</v>
      </c>
      <c r="H72" s="44">
        <v>1</v>
      </c>
      <c r="I72" s="44" t="str">
        <f>INDEX(Helper!$C:$C, MATCH(H72, Helper!$A:$A, 0))</f>
        <v>Standard (EADGBE)</v>
      </c>
      <c r="J72" s="44" t="s">
        <v>61</v>
      </c>
      <c r="K72" s="59" t="s">
        <v>23</v>
      </c>
      <c r="L72" s="44" t="str">
        <f>INDEX(Helper!$F:$F, MATCH(K72, Helper!$E:$E, 0))</f>
        <v>#F1D764</v>
      </c>
      <c r="M72" s="45" t="s">
        <v>460</v>
      </c>
      <c r="N72" s="45" t="s">
        <v>614</v>
      </c>
      <c r="O72" s="46" t="s">
        <v>707</v>
      </c>
      <c r="P72" s="76" t="s">
        <v>1007</v>
      </c>
    </row>
    <row r="73" spans="1:16" ht="409.5">
      <c r="A73" s="44">
        <v>70</v>
      </c>
      <c r="B73" s="44">
        <v>1</v>
      </c>
      <c r="C73" s="44">
        <v>3</v>
      </c>
      <c r="D73" s="45" t="str">
        <f>INDEX(Helper!$N$2:$N$4, MATCH(C73, Helper!$M$2:$M$4, 0))</f>
        <v>Advanced</v>
      </c>
      <c r="E73" s="45" t="s">
        <v>210</v>
      </c>
      <c r="F73" s="45" t="s">
        <v>211</v>
      </c>
      <c r="G73" s="5">
        <v>1</v>
      </c>
      <c r="H73" s="44">
        <v>3</v>
      </c>
      <c r="I73" s="44" t="str">
        <f>INDEX(Helper!$C:$C, MATCH(H73, Helper!$A:$A, 0))</f>
        <v>Half Step Down (D#G#C#F#A#D#)</v>
      </c>
      <c r="J73" s="44" t="s">
        <v>633</v>
      </c>
      <c r="K73" s="57" t="s">
        <v>21</v>
      </c>
      <c r="L73" s="44" t="str">
        <f>INDEX(Helper!$F:$F, MATCH(K73, Helper!$E:$E, 0))</f>
        <v>#45F0E2</v>
      </c>
      <c r="M73" s="45" t="s">
        <v>390</v>
      </c>
      <c r="N73" s="45" t="s">
        <v>614</v>
      </c>
      <c r="O73" s="46" t="s">
        <v>708</v>
      </c>
      <c r="P73" s="76" t="s">
        <v>1008</v>
      </c>
    </row>
    <row r="74" spans="1:16" ht="81">
      <c r="A74" s="44">
        <v>71</v>
      </c>
      <c r="B74" s="44">
        <v>1</v>
      </c>
      <c r="C74" s="44">
        <v>2</v>
      </c>
      <c r="D74" s="45" t="str">
        <f>INDEX(Helper!$N$2:$N$4, MATCH(C74, Helper!$M$2:$M$4, 0))</f>
        <v>Intermediate</v>
      </c>
      <c r="E74" s="45" t="s">
        <v>315</v>
      </c>
      <c r="F74" s="45" t="s">
        <v>316</v>
      </c>
      <c r="G74" s="5">
        <v>1</v>
      </c>
      <c r="H74" s="44">
        <v>1</v>
      </c>
      <c r="I74" s="44" t="str">
        <f>INDEX(Helper!$C:$C, MATCH(H74, Helper!$A:$A, 0))</f>
        <v>Standard (EADGBE)</v>
      </c>
      <c r="J74" s="44" t="s">
        <v>63</v>
      </c>
      <c r="K74" s="60" t="s">
        <v>29</v>
      </c>
      <c r="L74" s="44" t="str">
        <f>INDEX(Helper!$F:$F, MATCH(K74, Helper!$E:$E, 0))</f>
        <v>#66E586</v>
      </c>
      <c r="M74" s="45" t="s">
        <v>461</v>
      </c>
      <c r="N74" s="45" t="s">
        <v>614</v>
      </c>
      <c r="O74" s="46" t="s">
        <v>709</v>
      </c>
      <c r="P74" s="76" t="s">
        <v>1009</v>
      </c>
    </row>
    <row r="75" spans="1:16" ht="175.5">
      <c r="A75" s="44">
        <v>72</v>
      </c>
      <c r="B75" s="44">
        <v>1</v>
      </c>
      <c r="C75" s="44">
        <v>2</v>
      </c>
      <c r="D75" s="45" t="str">
        <f>INDEX(Helper!$N$2:$N$4, MATCH(C75, Helper!$M$2:$M$4, 0))</f>
        <v>Intermediate</v>
      </c>
      <c r="E75" s="45" t="s">
        <v>38</v>
      </c>
      <c r="F75" s="45" t="s">
        <v>317</v>
      </c>
      <c r="G75" s="5">
        <v>0</v>
      </c>
      <c r="H75" s="44">
        <v>1</v>
      </c>
      <c r="I75" s="44" t="str">
        <f>INDEX(Helper!$C:$C, MATCH(H75, Helper!$A:$A, 0))</f>
        <v>Standard (EADGBE)</v>
      </c>
      <c r="J75" s="44" t="s">
        <v>623</v>
      </c>
      <c r="K75" s="59" t="s">
        <v>10</v>
      </c>
      <c r="L75" s="44" t="str">
        <f>INDEX(Helper!$F:$F, MATCH(K75, Helper!$E:$E, 0))</f>
        <v>#F5943C</v>
      </c>
      <c r="M75" s="45" t="s">
        <v>462</v>
      </c>
      <c r="N75" s="45" t="s">
        <v>614</v>
      </c>
      <c r="O75" s="46" t="s">
        <v>710</v>
      </c>
      <c r="P75" s="76" t="s">
        <v>1010</v>
      </c>
    </row>
    <row r="76" spans="1:16" ht="270">
      <c r="A76" s="44">
        <v>73</v>
      </c>
      <c r="B76" s="44">
        <v>1</v>
      </c>
      <c r="C76" s="44">
        <v>2</v>
      </c>
      <c r="D76" s="45" t="str">
        <f>INDEX(Helper!$N$2:$N$4, MATCH(C76, Helper!$M$2:$M$4, 0))</f>
        <v>Intermediate</v>
      </c>
      <c r="E76" s="45" t="s">
        <v>318</v>
      </c>
      <c r="F76" s="45" t="s">
        <v>319</v>
      </c>
      <c r="G76" s="5">
        <v>1</v>
      </c>
      <c r="H76" s="44">
        <v>1</v>
      </c>
      <c r="I76" s="44" t="str">
        <f>INDEX(Helper!$C:$C, MATCH(H76, Helper!$A:$A, 0))</f>
        <v>Standard (EADGBE)</v>
      </c>
      <c r="J76" s="44" t="s">
        <v>63</v>
      </c>
      <c r="K76" s="63" t="s">
        <v>22</v>
      </c>
      <c r="L76" s="44" t="str">
        <f>INDEX(Helper!$F:$F, MATCH(K76, Helper!$E:$E, 0))</f>
        <v>#FFDF66</v>
      </c>
      <c r="M76" s="45" t="s">
        <v>389</v>
      </c>
      <c r="N76" s="45" t="s">
        <v>614</v>
      </c>
      <c r="O76" s="46" t="s">
        <v>711</v>
      </c>
      <c r="P76" s="76" t="s">
        <v>1011</v>
      </c>
    </row>
    <row r="77" spans="1:16" ht="364.5">
      <c r="A77" s="44">
        <v>74</v>
      </c>
      <c r="B77" s="44">
        <v>1</v>
      </c>
      <c r="C77" s="44">
        <v>2</v>
      </c>
      <c r="D77" s="45" t="str">
        <f>INDEX(Helper!$N$2:$N$4, MATCH(C77, Helper!$M$2:$M$4, 0))</f>
        <v>Intermediate</v>
      </c>
      <c r="E77" s="45" t="s">
        <v>320</v>
      </c>
      <c r="F77" s="45" t="s">
        <v>321</v>
      </c>
      <c r="G77" s="5">
        <v>1</v>
      </c>
      <c r="H77" s="44">
        <v>1</v>
      </c>
      <c r="I77" s="44" t="str">
        <f>INDEX(Helper!$C:$C, MATCH(H77, Helper!$A:$A, 0))</f>
        <v>Standard (EADGBE)</v>
      </c>
      <c r="J77" s="44" t="s">
        <v>61</v>
      </c>
      <c r="K77" s="63" t="s">
        <v>19</v>
      </c>
      <c r="L77" s="44" t="str">
        <f>INDEX(Helper!$F:$F, MATCH(K77, Helper!$E:$E, 0))</f>
        <v>#FFDD21</v>
      </c>
      <c r="M77" s="45" t="s">
        <v>463</v>
      </c>
      <c r="N77" s="45" t="s">
        <v>639</v>
      </c>
      <c r="O77" s="46" t="s">
        <v>638</v>
      </c>
      <c r="P77" s="76" t="s">
        <v>1012</v>
      </c>
    </row>
    <row r="78" spans="1:16" ht="81">
      <c r="A78" s="44">
        <v>75</v>
      </c>
      <c r="B78" s="44">
        <v>1</v>
      </c>
      <c r="C78" s="44">
        <v>2</v>
      </c>
      <c r="D78" s="45" t="str">
        <f>INDEX(Helper!$N$2:$N$4, MATCH(C78, Helper!$M$2:$M$4, 0))</f>
        <v>Intermediate</v>
      </c>
      <c r="E78" s="45" t="s">
        <v>42</v>
      </c>
      <c r="F78" s="45" t="s">
        <v>46</v>
      </c>
      <c r="G78" s="5">
        <v>1</v>
      </c>
      <c r="H78" s="44">
        <v>1</v>
      </c>
      <c r="I78" s="44" t="str">
        <f>INDEX(Helper!$C:$C, MATCH(H78, Helper!$A:$A, 0))</f>
        <v>Standard (EADGBE)</v>
      </c>
      <c r="J78" s="44" t="s">
        <v>70</v>
      </c>
      <c r="K78" s="70" t="s">
        <v>372</v>
      </c>
      <c r="L78" s="44" t="str">
        <f>INDEX(Helper!$F:$F, MATCH(K78, Helper!$E:$E, 0))</f>
        <v>#C476D4</v>
      </c>
      <c r="M78" s="45" t="s">
        <v>464</v>
      </c>
      <c r="N78" s="45" t="s">
        <v>614</v>
      </c>
      <c r="O78" s="46" t="s">
        <v>712</v>
      </c>
      <c r="P78" s="76" t="s">
        <v>1013</v>
      </c>
    </row>
    <row r="79" spans="1:16" ht="270">
      <c r="A79" s="44">
        <v>76</v>
      </c>
      <c r="B79" s="44">
        <v>1</v>
      </c>
      <c r="C79" s="44">
        <v>2</v>
      </c>
      <c r="D79" s="45" t="str">
        <f>INDEX(Helper!$N$2:$N$4, MATCH(C79, Helper!$M$2:$M$4, 0))</f>
        <v>Intermediate</v>
      </c>
      <c r="E79" s="45" t="s">
        <v>78</v>
      </c>
      <c r="F79" s="45" t="s">
        <v>322</v>
      </c>
      <c r="G79" s="5">
        <v>1</v>
      </c>
      <c r="H79" s="44">
        <v>1</v>
      </c>
      <c r="I79" s="44" t="str">
        <f>INDEX(Helper!$C:$C, MATCH(H79, Helper!$A:$A, 0))</f>
        <v>Standard (EADGBE)</v>
      </c>
      <c r="J79" s="44" t="s">
        <v>626</v>
      </c>
      <c r="K79" s="65" t="s">
        <v>13</v>
      </c>
      <c r="L79" s="44" t="str">
        <f>INDEX(Helper!$F:$F, MATCH(K79, Helper!$E:$E, 0))</f>
        <v>#FF4F53</v>
      </c>
      <c r="M79" s="45" t="s">
        <v>465</v>
      </c>
      <c r="N79" s="45" t="s">
        <v>614</v>
      </c>
      <c r="O79" s="46" t="s">
        <v>713</v>
      </c>
      <c r="P79" s="76" t="s">
        <v>1014</v>
      </c>
    </row>
    <row r="80" spans="1:16" ht="175.5">
      <c r="A80" s="44">
        <v>77</v>
      </c>
      <c r="B80" s="44">
        <v>1</v>
      </c>
      <c r="C80" s="44">
        <v>2</v>
      </c>
      <c r="D80" s="45" t="str">
        <f>INDEX(Helper!$N$2:$N$4, MATCH(C80, Helper!$M$2:$M$4, 0))</f>
        <v>Intermediate</v>
      </c>
      <c r="E80" s="45" t="s">
        <v>78</v>
      </c>
      <c r="F80" s="45" t="s">
        <v>79</v>
      </c>
      <c r="G80" s="5">
        <v>0</v>
      </c>
      <c r="H80" s="44">
        <v>1</v>
      </c>
      <c r="I80" s="44" t="str">
        <f>INDEX(Helper!$C:$C, MATCH(H80, Helper!$A:$A, 0))</f>
        <v>Standard (EADGBE)</v>
      </c>
      <c r="J80" s="44" t="s">
        <v>65</v>
      </c>
      <c r="K80" s="65" t="s">
        <v>13</v>
      </c>
      <c r="L80" s="44" t="str">
        <f>INDEX(Helper!$F:$F, MATCH(K80, Helper!$E:$E, 0))</f>
        <v>#FF4F53</v>
      </c>
      <c r="M80" s="45" t="s">
        <v>466</v>
      </c>
      <c r="N80" s="45" t="s">
        <v>614</v>
      </c>
      <c r="O80" s="46" t="s">
        <v>714</v>
      </c>
      <c r="P80" s="76" t="s">
        <v>1015</v>
      </c>
    </row>
    <row r="81" spans="1:16" ht="81">
      <c r="A81" s="44">
        <v>78</v>
      </c>
      <c r="B81" s="44">
        <v>1</v>
      </c>
      <c r="C81" s="44">
        <v>2</v>
      </c>
      <c r="D81" s="45" t="str">
        <f>INDEX(Helper!$N$2:$N$4, MATCH(C81, Helper!$M$2:$M$4, 0))</f>
        <v>Intermediate</v>
      </c>
      <c r="E81" s="45" t="s">
        <v>323</v>
      </c>
      <c r="F81" s="45" t="s">
        <v>324</v>
      </c>
      <c r="G81" s="5">
        <v>0</v>
      </c>
      <c r="H81" s="44">
        <v>1</v>
      </c>
      <c r="I81" s="44" t="str">
        <f>INDEX(Helper!$C:$C, MATCH(H81, Helper!$A:$A, 0))</f>
        <v>Standard (EADGBE)</v>
      </c>
      <c r="J81" s="44" t="s">
        <v>618</v>
      </c>
      <c r="K81" s="59" t="s">
        <v>10</v>
      </c>
      <c r="L81" s="44" t="str">
        <f>INDEX(Helper!$F:$F, MATCH(K81, Helper!$E:$E, 0))</f>
        <v>#F5943C</v>
      </c>
      <c r="M81" s="45" t="s">
        <v>467</v>
      </c>
      <c r="N81" s="45" t="s">
        <v>614</v>
      </c>
      <c r="O81" s="46" t="s">
        <v>715</v>
      </c>
      <c r="P81" s="76" t="s">
        <v>1016</v>
      </c>
    </row>
    <row r="82" spans="1:16" ht="81">
      <c r="A82" s="44">
        <v>79</v>
      </c>
      <c r="B82" s="44">
        <v>1</v>
      </c>
      <c r="C82" s="44">
        <v>2</v>
      </c>
      <c r="D82" s="45" t="str">
        <f>INDEX(Helper!$N$2:$N$4, MATCH(C82, Helper!$M$2:$M$4, 0))</f>
        <v>Intermediate</v>
      </c>
      <c r="E82" s="45" t="s">
        <v>140</v>
      </c>
      <c r="F82" s="45" t="s">
        <v>325</v>
      </c>
      <c r="G82" s="5">
        <v>0</v>
      </c>
      <c r="H82" s="44">
        <v>1</v>
      </c>
      <c r="I82" s="44" t="str">
        <f>INDEX(Helper!$C:$C, MATCH(H82, Helper!$A:$A, 0))</f>
        <v>Standard (EADGBE)</v>
      </c>
      <c r="J82" s="44" t="s">
        <v>65</v>
      </c>
      <c r="K82" s="72" t="s">
        <v>20</v>
      </c>
      <c r="L82" s="44" t="str">
        <f>INDEX(Helper!$F:$F, MATCH(K82, Helper!$E:$E, 0))</f>
        <v>#8AF1AA</v>
      </c>
      <c r="M82" s="45" t="s">
        <v>387</v>
      </c>
      <c r="N82" s="45" t="s">
        <v>614</v>
      </c>
      <c r="O82" s="46" t="s">
        <v>716</v>
      </c>
      <c r="P82" s="76" t="s">
        <v>1017</v>
      </c>
    </row>
    <row r="83" spans="1:16" ht="175.5">
      <c r="A83" s="44">
        <v>80</v>
      </c>
      <c r="B83" s="44">
        <v>1</v>
      </c>
      <c r="C83" s="44">
        <v>2</v>
      </c>
      <c r="D83" s="45" t="str">
        <f>INDEX(Helper!$N$2:$N$4, MATCH(C83, Helper!$M$2:$M$4, 0))</f>
        <v>Intermediate</v>
      </c>
      <c r="E83" s="45" t="s">
        <v>252</v>
      </c>
      <c r="F83" s="45" t="s">
        <v>326</v>
      </c>
      <c r="G83" s="5">
        <v>0</v>
      </c>
      <c r="H83" s="44">
        <v>1</v>
      </c>
      <c r="I83" s="44" t="str">
        <f>INDEX(Helper!$C:$C, MATCH(H83, Helper!$A:$A, 0))</f>
        <v>Standard (EADGBE)</v>
      </c>
      <c r="J83" s="44" t="s">
        <v>62</v>
      </c>
      <c r="K83" s="61" t="s">
        <v>11</v>
      </c>
      <c r="L83" s="44" t="str">
        <f>INDEX(Helper!$F:$F, MATCH(K83, Helper!$E:$E, 0))</f>
        <v>#E8AD1D</v>
      </c>
      <c r="M83" s="45" t="s">
        <v>468</v>
      </c>
      <c r="N83" s="45" t="s">
        <v>614</v>
      </c>
      <c r="O83" s="46" t="s">
        <v>717</v>
      </c>
      <c r="P83" s="76" t="s">
        <v>1018</v>
      </c>
    </row>
    <row r="84" spans="1:16" ht="175.5">
      <c r="A84" s="44">
        <v>81</v>
      </c>
      <c r="B84" s="44">
        <v>1</v>
      </c>
      <c r="C84" s="44">
        <v>2</v>
      </c>
      <c r="D84" s="45" t="str">
        <f>INDEX(Helper!$N$2:$N$4, MATCH(C84, Helper!$M$2:$M$4, 0))</f>
        <v>Intermediate</v>
      </c>
      <c r="E84" s="45" t="s">
        <v>327</v>
      </c>
      <c r="F84" s="45" t="s">
        <v>328</v>
      </c>
      <c r="G84" s="5">
        <v>1</v>
      </c>
      <c r="H84" s="44">
        <v>1</v>
      </c>
      <c r="I84" s="44" t="str">
        <f>INDEX(Helper!$C:$C, MATCH(H84, Helper!$A:$A, 0))</f>
        <v>Standard (EADGBE)</v>
      </c>
      <c r="J84" s="44" t="s">
        <v>65</v>
      </c>
      <c r="K84" s="65" t="s">
        <v>13</v>
      </c>
      <c r="L84" s="44" t="str">
        <f>INDEX(Helper!$F:$F, MATCH(K84, Helper!$E:$E, 0))</f>
        <v>#FF4F53</v>
      </c>
      <c r="M84" s="45" t="s">
        <v>470</v>
      </c>
      <c r="N84" s="45" t="s">
        <v>614</v>
      </c>
      <c r="O84" s="46" t="s">
        <v>718</v>
      </c>
      <c r="P84" s="76" t="s">
        <v>1019</v>
      </c>
    </row>
    <row r="85" spans="1:16" ht="270">
      <c r="A85" s="44">
        <v>82</v>
      </c>
      <c r="B85" s="44">
        <v>1</v>
      </c>
      <c r="C85" s="44">
        <v>2</v>
      </c>
      <c r="D85" s="45" t="str">
        <f>INDEX(Helper!$N$2:$N$4, MATCH(C85, Helper!$M$2:$M$4, 0))</f>
        <v>Intermediate</v>
      </c>
      <c r="E85" s="45" t="s">
        <v>329</v>
      </c>
      <c r="F85" s="45" t="s">
        <v>330</v>
      </c>
      <c r="G85" s="5">
        <v>1</v>
      </c>
      <c r="H85" s="44">
        <v>1</v>
      </c>
      <c r="I85" s="44" t="str">
        <f>INDEX(Helper!$C:$C, MATCH(H85, Helper!$A:$A, 0))</f>
        <v>Standard (EADGBE)</v>
      </c>
      <c r="J85" s="44" t="s">
        <v>62</v>
      </c>
      <c r="K85" s="60" t="s">
        <v>371</v>
      </c>
      <c r="L85" s="44" t="str">
        <f>INDEX(Helper!$F:$F, MATCH(K85, Helper!$E:$E, 0))</f>
        <v>#B3F141</v>
      </c>
      <c r="M85" s="45" t="s">
        <v>471</v>
      </c>
      <c r="N85" s="45" t="s">
        <v>614</v>
      </c>
      <c r="O85" s="46" t="s">
        <v>719</v>
      </c>
      <c r="P85" s="77" t="s">
        <v>1020</v>
      </c>
    </row>
    <row r="86" spans="1:16" ht="364.5">
      <c r="A86" s="44">
        <v>83</v>
      </c>
      <c r="B86" s="44">
        <v>1</v>
      </c>
      <c r="C86" s="44">
        <v>2</v>
      </c>
      <c r="D86" s="45" t="str">
        <f>INDEX(Helper!$N$2:$N$4, MATCH(C86, Helper!$M$2:$M$4, 0))</f>
        <v>Intermediate</v>
      </c>
      <c r="E86" s="45" t="s">
        <v>90</v>
      </c>
      <c r="F86" s="49" t="s">
        <v>331</v>
      </c>
      <c r="G86" s="5">
        <v>0</v>
      </c>
      <c r="H86" s="44">
        <v>1</v>
      </c>
      <c r="I86" s="44" t="str">
        <f>INDEX(Helper!$C:$C, MATCH(H86, Helper!$A:$A, 0))</f>
        <v>Standard (EADGBE)</v>
      </c>
      <c r="J86" s="44" t="s">
        <v>63</v>
      </c>
      <c r="K86" s="65" t="s">
        <v>13</v>
      </c>
      <c r="L86" s="44" t="str">
        <f>INDEX(Helper!$F:$F, MATCH(K86, Helper!$E:$E, 0))</f>
        <v>#FF4F53</v>
      </c>
      <c r="M86" s="45" t="s">
        <v>472</v>
      </c>
      <c r="N86" s="45" t="s">
        <v>614</v>
      </c>
      <c r="O86" s="46" t="s">
        <v>720</v>
      </c>
      <c r="P86" s="76" t="s">
        <v>1021</v>
      </c>
    </row>
    <row r="87" spans="1:16" ht="81">
      <c r="A87" s="44">
        <v>84</v>
      </c>
      <c r="B87" s="44">
        <v>1</v>
      </c>
      <c r="C87" s="44">
        <v>2</v>
      </c>
      <c r="D87" s="45" t="str">
        <f>INDEX(Helper!$N$2:$N$4, MATCH(C87, Helper!$M$2:$M$4, 0))</f>
        <v>Intermediate</v>
      </c>
      <c r="E87" s="45" t="s">
        <v>90</v>
      </c>
      <c r="F87" s="45" t="s">
        <v>251</v>
      </c>
      <c r="G87" s="5">
        <v>1</v>
      </c>
      <c r="H87" s="44">
        <v>1</v>
      </c>
      <c r="I87" s="44" t="str">
        <f>INDEX(Helper!$C:$C, MATCH(H87, Helper!$A:$A, 0))</f>
        <v>Standard (EADGBE)</v>
      </c>
      <c r="J87" s="44" t="s">
        <v>59</v>
      </c>
      <c r="K87" s="65" t="s">
        <v>13</v>
      </c>
      <c r="L87" s="44" t="str">
        <f>INDEX(Helper!$F:$F, MATCH(K87, Helper!$E:$E, 0))</f>
        <v>#FF4F53</v>
      </c>
      <c r="M87" s="45" t="s">
        <v>473</v>
      </c>
      <c r="N87" s="45" t="s">
        <v>614</v>
      </c>
      <c r="O87" s="46" t="s">
        <v>721</v>
      </c>
      <c r="P87" s="76" t="s">
        <v>1022</v>
      </c>
    </row>
    <row r="88" spans="1:16" ht="81">
      <c r="A88" s="44">
        <v>85</v>
      </c>
      <c r="B88" s="44">
        <v>1</v>
      </c>
      <c r="C88" s="44">
        <v>2</v>
      </c>
      <c r="D88" s="45" t="str">
        <f>INDEX(Helper!$N$2:$N$4, MATCH(C88, Helper!$M$2:$M$4, 0))</f>
        <v>Intermediate</v>
      </c>
      <c r="E88" s="45" t="s">
        <v>2581</v>
      </c>
      <c r="F88" s="45" t="s">
        <v>332</v>
      </c>
      <c r="G88" s="5">
        <v>1</v>
      </c>
      <c r="H88" s="44">
        <v>2</v>
      </c>
      <c r="I88" s="44" t="str">
        <f>INDEX(Helper!$C:$C, MATCH(H88, Helper!$A:$A, 0))</f>
        <v>Drop D (DADGBE)</v>
      </c>
      <c r="J88" s="44" t="s">
        <v>62</v>
      </c>
      <c r="K88" s="64" t="s">
        <v>16</v>
      </c>
      <c r="L88" s="44" t="str">
        <f>INDEX(Helper!$F:$F, MATCH(K88, Helper!$E:$E, 0))</f>
        <v>#C2C2A1</v>
      </c>
      <c r="M88" s="45" t="s">
        <v>474</v>
      </c>
      <c r="N88" s="45" t="s">
        <v>627</v>
      </c>
      <c r="O88" s="46" t="s">
        <v>722</v>
      </c>
      <c r="P88" s="76" t="s">
        <v>1023</v>
      </c>
    </row>
    <row r="89" spans="1:16" ht="364.5">
      <c r="A89" s="44">
        <v>86</v>
      </c>
      <c r="B89" s="44">
        <v>1</v>
      </c>
      <c r="C89" s="44">
        <v>2</v>
      </c>
      <c r="D89" s="45" t="str">
        <f>INDEX(Helper!$N$2:$N$4, MATCH(C89, Helper!$M$2:$M$4, 0))</f>
        <v>Intermediate</v>
      </c>
      <c r="E89" s="45" t="s">
        <v>127</v>
      </c>
      <c r="F89" s="45" t="s">
        <v>333</v>
      </c>
      <c r="G89" s="5">
        <v>0</v>
      </c>
      <c r="H89" s="44">
        <v>7</v>
      </c>
      <c r="I89" s="44" t="str">
        <f>INDEX(Helper!$C:$C, MATCH(H89, Helper!$A:$A, 0))</f>
        <v>(DADGAD)</v>
      </c>
      <c r="J89" s="44" t="s">
        <v>626</v>
      </c>
      <c r="K89" s="59" t="s">
        <v>10</v>
      </c>
      <c r="L89" s="44" t="str">
        <f>INDEX(Helper!$F:$F, MATCH(K89, Helper!$E:$E, 0))</f>
        <v>#F5943C</v>
      </c>
      <c r="M89" s="45" t="s">
        <v>475</v>
      </c>
      <c r="N89" s="45" t="s">
        <v>614</v>
      </c>
      <c r="O89" s="46" t="s">
        <v>723</v>
      </c>
      <c r="P89" s="78" t="s">
        <v>1024</v>
      </c>
    </row>
    <row r="90" spans="1:16" ht="175.5">
      <c r="A90" s="44">
        <v>87</v>
      </c>
      <c r="B90" s="44">
        <v>1</v>
      </c>
      <c r="C90" s="44">
        <v>2</v>
      </c>
      <c r="D90" s="45" t="str">
        <f>INDEX(Helper!$N$2:$N$4, MATCH(C90, Helper!$M$2:$M$4, 0))</f>
        <v>Intermediate</v>
      </c>
      <c r="E90" s="45" t="s">
        <v>334</v>
      </c>
      <c r="F90" s="45" t="s">
        <v>335</v>
      </c>
      <c r="G90" s="5">
        <v>1</v>
      </c>
      <c r="H90" s="44">
        <v>1</v>
      </c>
      <c r="I90" s="44" t="str">
        <f>INDEX(Helper!$C:$C, MATCH(H90, Helper!$A:$A, 0))</f>
        <v>Standard (EADGBE)</v>
      </c>
      <c r="J90" s="44" t="s">
        <v>61</v>
      </c>
      <c r="K90" s="59" t="s">
        <v>10</v>
      </c>
      <c r="L90" s="44" t="str">
        <f>INDEX(Helper!$F:$F, MATCH(K90, Helper!$E:$E, 0))</f>
        <v>#F5943C</v>
      </c>
      <c r="M90" s="45" t="s">
        <v>476</v>
      </c>
      <c r="N90" s="45" t="s">
        <v>614</v>
      </c>
      <c r="O90" s="46" t="s">
        <v>724</v>
      </c>
      <c r="P90" s="76" t="s">
        <v>1025</v>
      </c>
    </row>
    <row r="91" spans="1:16" ht="409.5">
      <c r="A91" s="44">
        <v>88</v>
      </c>
      <c r="B91" s="44">
        <v>1</v>
      </c>
      <c r="C91" s="44">
        <v>3</v>
      </c>
      <c r="D91" s="45" t="str">
        <f>INDEX(Helper!$N$2:$N$4, MATCH(C91, Helper!$M$2:$M$4, 0))</f>
        <v>Advanced</v>
      </c>
      <c r="E91" s="45" t="s">
        <v>318</v>
      </c>
      <c r="F91" s="45" t="s">
        <v>336</v>
      </c>
      <c r="G91" s="5">
        <v>0</v>
      </c>
      <c r="H91" s="44">
        <v>1</v>
      </c>
      <c r="I91" s="44" t="str">
        <f>INDEX(Helper!$C:$C, MATCH(H91, Helper!$A:$A, 0))</f>
        <v>Standard (EADGBE)</v>
      </c>
      <c r="J91" s="44" t="s">
        <v>66</v>
      </c>
      <c r="K91" s="63" t="s">
        <v>22</v>
      </c>
      <c r="L91" s="44" t="str">
        <f>INDEX(Helper!$F:$F, MATCH(K91, Helper!$E:$E, 0))</f>
        <v>#FFDF66</v>
      </c>
      <c r="M91" s="45" t="s">
        <v>477</v>
      </c>
      <c r="N91" s="45" t="s">
        <v>614</v>
      </c>
      <c r="O91" s="46" t="s">
        <v>725</v>
      </c>
      <c r="P91" s="76" t="s">
        <v>1026</v>
      </c>
    </row>
    <row r="92" spans="1:16" ht="175.5">
      <c r="A92" s="44">
        <v>89</v>
      </c>
      <c r="B92" s="44">
        <v>1</v>
      </c>
      <c r="C92" s="44">
        <v>2</v>
      </c>
      <c r="D92" s="45" t="str">
        <f>INDEX(Helper!$N$2:$N$4, MATCH(C92, Helper!$M$2:$M$4, 0))</f>
        <v>Intermediate</v>
      </c>
      <c r="E92" s="45" t="s">
        <v>78</v>
      </c>
      <c r="F92" s="45" t="s">
        <v>80</v>
      </c>
      <c r="G92" s="5">
        <v>0</v>
      </c>
      <c r="H92" s="44">
        <v>1</v>
      </c>
      <c r="I92" s="44" t="str">
        <f>INDEX(Helper!$C:$C, MATCH(H92, Helper!$A:$A, 0))</f>
        <v>Standard (EADGBE)</v>
      </c>
      <c r="J92" s="44" t="s">
        <v>59</v>
      </c>
      <c r="K92" s="65" t="s">
        <v>13</v>
      </c>
      <c r="L92" s="44" t="str">
        <f>INDEX(Helper!$F:$F, MATCH(K92, Helper!$E:$E, 0))</f>
        <v>#FF4F53</v>
      </c>
      <c r="M92" s="45" t="s">
        <v>478</v>
      </c>
      <c r="N92" s="45" t="s">
        <v>614</v>
      </c>
      <c r="O92" s="46" t="s">
        <v>726</v>
      </c>
      <c r="P92" s="76" t="s">
        <v>1027</v>
      </c>
    </row>
    <row r="93" spans="1:16" ht="81">
      <c r="A93" s="44">
        <v>90</v>
      </c>
      <c r="B93" s="44">
        <v>1</v>
      </c>
      <c r="C93" s="44">
        <v>2</v>
      </c>
      <c r="D93" s="45" t="str">
        <f>INDEX(Helper!$N$2:$N$4, MATCH(C93, Helper!$M$2:$M$4, 0))</f>
        <v>Intermediate</v>
      </c>
      <c r="E93" s="50" t="s">
        <v>232</v>
      </c>
      <c r="F93" s="50" t="s">
        <v>233</v>
      </c>
      <c r="G93" s="5">
        <v>1</v>
      </c>
      <c r="H93" s="44">
        <v>1</v>
      </c>
      <c r="I93" s="44" t="str">
        <f>INDEX(Helper!$C:$C, MATCH(H93, Helper!$A:$A, 0))</f>
        <v>Standard (EADGBE)</v>
      </c>
      <c r="J93" s="44" t="s">
        <v>64</v>
      </c>
      <c r="K93" s="69" t="s">
        <v>17</v>
      </c>
      <c r="L93" s="44" t="str">
        <f>INDEX(Helper!$F:$F, MATCH(K93, Helper!$E:$E, 0))</f>
        <v>#F75269</v>
      </c>
      <c r="M93" s="45" t="s">
        <v>481</v>
      </c>
      <c r="N93" s="45" t="s">
        <v>614</v>
      </c>
      <c r="O93" s="46" t="s">
        <v>727</v>
      </c>
      <c r="P93" s="76" t="s">
        <v>1028</v>
      </c>
    </row>
    <row r="94" spans="1:16" ht="175.5">
      <c r="A94" s="44">
        <v>91</v>
      </c>
      <c r="B94" s="44">
        <v>1</v>
      </c>
      <c r="C94" s="44">
        <v>2</v>
      </c>
      <c r="D94" s="45" t="str">
        <f>INDEX(Helper!$N$2:$N$4, MATCH(C94, Helper!$M$2:$M$4, 0))</f>
        <v>Intermediate</v>
      </c>
      <c r="E94" s="45" t="s">
        <v>41</v>
      </c>
      <c r="F94" s="45" t="s">
        <v>44</v>
      </c>
      <c r="G94" s="5">
        <v>1</v>
      </c>
      <c r="H94" s="44">
        <v>3</v>
      </c>
      <c r="I94" s="44" t="str">
        <f>INDEX(Helper!$C:$C, MATCH(H94, Helper!$A:$A, 0))</f>
        <v>Half Step Down (D#G#C#F#A#D#)</v>
      </c>
      <c r="J94" s="44" t="s">
        <v>633</v>
      </c>
      <c r="K94" s="59" t="s">
        <v>10</v>
      </c>
      <c r="L94" s="44" t="str">
        <f>INDEX(Helper!$F:$F, MATCH(K94, Helper!$E:$E, 0))</f>
        <v>#F5943C</v>
      </c>
      <c r="M94" s="45" t="s">
        <v>482</v>
      </c>
      <c r="N94" s="45" t="s">
        <v>614</v>
      </c>
      <c r="O94" s="46" t="s">
        <v>728</v>
      </c>
      <c r="P94" s="76" t="s">
        <v>1029</v>
      </c>
    </row>
    <row r="95" spans="1:16" ht="297">
      <c r="A95" s="44">
        <v>92</v>
      </c>
      <c r="B95" s="44">
        <v>1</v>
      </c>
      <c r="C95" s="44">
        <v>2</v>
      </c>
      <c r="D95" s="45" t="str">
        <f>INDEX(Helper!$N$2:$N$4, MATCH(C95, Helper!$M$2:$M$4, 0))</f>
        <v>Intermediate</v>
      </c>
      <c r="E95" s="45" t="s">
        <v>90</v>
      </c>
      <c r="F95" s="45" t="s">
        <v>337</v>
      </c>
      <c r="G95" s="5">
        <v>1</v>
      </c>
      <c r="H95" s="44">
        <v>1</v>
      </c>
      <c r="I95" s="44" t="str">
        <f>INDEX(Helper!$C:$C, MATCH(H95, Helper!$A:$A, 0))</f>
        <v>Standard (EADGBE)</v>
      </c>
      <c r="J95" s="44" t="s">
        <v>393</v>
      </c>
      <c r="K95" s="65" t="s">
        <v>13</v>
      </c>
      <c r="L95" s="44" t="str">
        <f>INDEX(Helper!$F:$F, MATCH(K95, Helper!$E:$E, 0))</f>
        <v>#FF4F53</v>
      </c>
      <c r="M95" s="45" t="s">
        <v>483</v>
      </c>
      <c r="N95" s="45" t="s">
        <v>614</v>
      </c>
      <c r="O95" s="46" t="s">
        <v>729</v>
      </c>
      <c r="P95" s="76" t="s">
        <v>1030</v>
      </c>
    </row>
    <row r="96" spans="1:16" ht="175.5">
      <c r="A96" s="44">
        <v>93</v>
      </c>
      <c r="B96" s="44">
        <v>1</v>
      </c>
      <c r="C96" s="44">
        <v>2</v>
      </c>
      <c r="D96" s="45" t="str">
        <f>INDEX(Helper!$N$2:$N$4, MATCH(C96, Helper!$M$2:$M$4, 0))</f>
        <v>Intermediate</v>
      </c>
      <c r="E96" s="45" t="s">
        <v>123</v>
      </c>
      <c r="F96" s="45" t="s">
        <v>338</v>
      </c>
      <c r="G96" s="5">
        <v>0</v>
      </c>
      <c r="H96" s="44">
        <v>8</v>
      </c>
      <c r="I96" s="44" t="str">
        <f>INDEX(Helper!$C:$C, MATCH(H96, Helper!$A:$A, 0))</f>
        <v>Open D (DADF#AD)</v>
      </c>
      <c r="J96" s="44" t="s">
        <v>626</v>
      </c>
      <c r="K96" s="65" t="s">
        <v>13</v>
      </c>
      <c r="L96" s="44" t="str">
        <f>INDEX(Helper!$F:$F, MATCH(K96, Helper!$E:$E, 0))</f>
        <v>#FF4F53</v>
      </c>
      <c r="M96" s="45" t="s">
        <v>484</v>
      </c>
      <c r="N96" s="45" t="s">
        <v>614</v>
      </c>
      <c r="O96" s="46" t="s">
        <v>730</v>
      </c>
      <c r="P96" s="76" t="s">
        <v>1031</v>
      </c>
    </row>
    <row r="97" spans="1:16" ht="175.5">
      <c r="A97" s="44">
        <v>94</v>
      </c>
      <c r="B97" s="44">
        <v>1</v>
      </c>
      <c r="C97" s="44">
        <v>2</v>
      </c>
      <c r="D97" s="45" t="str">
        <f>INDEX(Helper!$N$2:$N$4, MATCH(C97, Helper!$M$2:$M$4, 0))</f>
        <v>Intermediate</v>
      </c>
      <c r="E97" s="50" t="s">
        <v>123</v>
      </c>
      <c r="F97" s="45" t="s">
        <v>159</v>
      </c>
      <c r="G97" s="5">
        <v>0</v>
      </c>
      <c r="H97" s="44">
        <v>1</v>
      </c>
      <c r="I97" s="44" t="str">
        <f>INDEX(Helper!$C:$C, MATCH(H97, Helper!$A:$A, 0))</f>
        <v>Standard (EADGBE)</v>
      </c>
      <c r="J97" s="44" t="s">
        <v>59</v>
      </c>
      <c r="K97" s="65" t="s">
        <v>13</v>
      </c>
      <c r="L97" s="44" t="str">
        <f>INDEX(Helper!$F:$F, MATCH(K97, Helper!$E:$E, 0))</f>
        <v>#FF4F53</v>
      </c>
      <c r="M97" s="45" t="s">
        <v>485</v>
      </c>
      <c r="N97" s="45" t="s">
        <v>614</v>
      </c>
      <c r="O97" s="46" t="s">
        <v>731</v>
      </c>
      <c r="P97" s="76" t="s">
        <v>1032</v>
      </c>
    </row>
    <row r="98" spans="1:16" ht="270">
      <c r="A98" s="44">
        <v>95</v>
      </c>
      <c r="B98" s="44">
        <v>1</v>
      </c>
      <c r="C98" s="44">
        <v>2</v>
      </c>
      <c r="D98" s="45" t="str">
        <f>INDEX(Helper!$N$2:$N$4, MATCH(C98, Helper!$M$2:$M$4, 0))</f>
        <v>Intermediate</v>
      </c>
      <c r="E98" s="45" t="s">
        <v>171</v>
      </c>
      <c r="F98" s="45" t="s">
        <v>256</v>
      </c>
      <c r="G98" s="5">
        <v>0</v>
      </c>
      <c r="H98" s="44">
        <v>1</v>
      </c>
      <c r="I98" s="44" t="str">
        <f>INDEX(Helper!$C:$C, MATCH(H98, Helper!$A:$A, 0))</f>
        <v>Standard (EADGBE)</v>
      </c>
      <c r="J98" s="44" t="s">
        <v>63</v>
      </c>
      <c r="K98" s="63" t="s">
        <v>19</v>
      </c>
      <c r="L98" s="44" t="str">
        <f>INDEX(Helper!$F:$F, MATCH(K98, Helper!$E:$E, 0))</f>
        <v>#FFDD21</v>
      </c>
      <c r="M98" s="45" t="s">
        <v>384</v>
      </c>
      <c r="N98" s="45" t="s">
        <v>614</v>
      </c>
      <c r="O98" s="46" t="s">
        <v>732</v>
      </c>
      <c r="P98" s="76" t="s">
        <v>1033</v>
      </c>
    </row>
    <row r="99" spans="1:16" ht="175.5">
      <c r="A99" s="44">
        <v>96</v>
      </c>
      <c r="B99" s="44">
        <v>1</v>
      </c>
      <c r="C99" s="44">
        <v>1</v>
      </c>
      <c r="D99" s="45" t="str">
        <f>INDEX(Helper!$N$2:$N$4, MATCH(C99, Helper!$M$2:$M$4, 0))</f>
        <v>Beginner</v>
      </c>
      <c r="E99" s="45" t="s">
        <v>339</v>
      </c>
      <c r="F99" s="45" t="s">
        <v>340</v>
      </c>
      <c r="G99" s="5">
        <v>1</v>
      </c>
      <c r="H99" s="44">
        <v>1</v>
      </c>
      <c r="I99" s="44" t="str">
        <f>INDEX(Helper!$C:$C, MATCH(H99, Helper!$A:$A, 0))</f>
        <v>Standard (EADGBE)</v>
      </c>
      <c r="J99" s="44" t="s">
        <v>619</v>
      </c>
      <c r="K99" s="64" t="s">
        <v>15</v>
      </c>
      <c r="L99" s="44" t="str">
        <f>INDEX(Helper!$F:$F, MATCH(K99, Helper!$E:$E, 0))</f>
        <v>#C2C2A1</v>
      </c>
      <c r="M99" s="45" t="s">
        <v>486</v>
      </c>
      <c r="N99" s="45" t="s">
        <v>614</v>
      </c>
      <c r="O99" s="46" t="s">
        <v>733</v>
      </c>
      <c r="P99" s="76" t="s">
        <v>1034</v>
      </c>
    </row>
    <row r="100" spans="1:16" ht="81">
      <c r="A100" s="44">
        <v>97</v>
      </c>
      <c r="B100" s="44">
        <v>1</v>
      </c>
      <c r="C100" s="44">
        <v>1</v>
      </c>
      <c r="D100" s="45" t="str">
        <f>INDEX(Helper!$N$2:$N$4, MATCH(C100, Helper!$M$2:$M$4, 0))</f>
        <v>Beginner</v>
      </c>
      <c r="E100" s="45" t="s">
        <v>36</v>
      </c>
      <c r="F100" s="45" t="s">
        <v>51</v>
      </c>
      <c r="G100" s="5">
        <v>1</v>
      </c>
      <c r="H100" s="44">
        <v>1</v>
      </c>
      <c r="I100" s="44" t="str">
        <f>INDEX(Helper!$C:$C, MATCH(H100, Helper!$A:$A, 0))</f>
        <v>Standard (EADGBE)</v>
      </c>
      <c r="J100" s="44" t="s">
        <v>618</v>
      </c>
      <c r="K100" s="64" t="s">
        <v>15</v>
      </c>
      <c r="L100" s="44" t="str">
        <f>INDEX(Helper!$F:$F, MATCH(K100, Helper!$E:$E, 0))</f>
        <v>#C2C2A1</v>
      </c>
      <c r="M100" s="45" t="s">
        <v>487</v>
      </c>
      <c r="N100" s="45" t="s">
        <v>614</v>
      </c>
      <c r="O100" s="47" t="s">
        <v>734</v>
      </c>
      <c r="P100" s="76" t="s">
        <v>1035</v>
      </c>
    </row>
    <row r="101" spans="1:16" ht="364.5">
      <c r="A101" s="44">
        <v>98</v>
      </c>
      <c r="B101" s="44">
        <v>1</v>
      </c>
      <c r="C101" s="44">
        <v>3</v>
      </c>
      <c r="D101" s="45" t="str">
        <f>INDEX(Helper!$N$2:$N$4, MATCH(C101, Helper!$M$2:$M$4, 0))</f>
        <v>Advanced</v>
      </c>
      <c r="E101" s="45" t="s">
        <v>34</v>
      </c>
      <c r="F101" s="45" t="s">
        <v>48</v>
      </c>
      <c r="G101" s="5">
        <v>1</v>
      </c>
      <c r="H101" s="44">
        <v>1</v>
      </c>
      <c r="I101" s="44" t="str">
        <f>INDEX(Helper!$C:$C, MATCH(H101, Helper!$A:$A, 0))</f>
        <v>Standard (EADGBE)</v>
      </c>
      <c r="J101" s="44" t="s">
        <v>60</v>
      </c>
      <c r="K101" s="59" t="s">
        <v>10</v>
      </c>
      <c r="L101" s="44" t="str">
        <f>INDEX(Helper!$F:$F, MATCH(K101, Helper!$E:$E, 0))</f>
        <v>#F5943C</v>
      </c>
      <c r="M101" s="45" t="s">
        <v>488</v>
      </c>
      <c r="N101" s="45" t="s">
        <v>614</v>
      </c>
      <c r="O101" s="46" t="s">
        <v>735</v>
      </c>
      <c r="P101" s="76" t="s">
        <v>1036</v>
      </c>
    </row>
    <row r="102" spans="1:16" ht="81">
      <c r="A102" s="44">
        <v>99</v>
      </c>
      <c r="B102" s="44">
        <v>1</v>
      </c>
      <c r="C102" s="44">
        <v>1</v>
      </c>
      <c r="D102" s="50" t="str">
        <f>INDEX(Helper!$N$2:$N$4, MATCH(C102, Helper!$M$2:$M$4, 0))</f>
        <v>Beginner</v>
      </c>
      <c r="E102" s="50" t="s">
        <v>288</v>
      </c>
      <c r="F102" s="50" t="s">
        <v>341</v>
      </c>
      <c r="G102" s="5">
        <v>1</v>
      </c>
      <c r="H102" s="44">
        <v>1</v>
      </c>
      <c r="I102" s="44" t="str">
        <f>INDEX(Helper!$C:$C, MATCH(H102, Helper!$A:$A, 0))</f>
        <v>Standard (EADGBE)</v>
      </c>
      <c r="J102" s="44" t="s">
        <v>393</v>
      </c>
      <c r="K102" s="60" t="s">
        <v>28</v>
      </c>
      <c r="L102" s="44" t="str">
        <f>INDEX(Helper!$F:$F, MATCH(K102, Helper!$E:$E, 0))</f>
        <v>#B3F141</v>
      </c>
      <c r="M102" s="50" t="s">
        <v>489</v>
      </c>
      <c r="N102" s="50" t="s">
        <v>614</v>
      </c>
      <c r="O102" s="47" t="s">
        <v>753</v>
      </c>
      <c r="P102" s="74" t="s">
        <v>1037</v>
      </c>
    </row>
    <row r="103" spans="1:16" ht="364.5">
      <c r="A103" s="44">
        <v>100</v>
      </c>
      <c r="B103" s="44">
        <v>1</v>
      </c>
      <c r="C103" s="44">
        <v>3</v>
      </c>
      <c r="D103" s="50" t="str">
        <f>INDEX(Helper!$N$2:$N$4, MATCH(C103, Helper!$M$2:$M$4, 0))</f>
        <v>Advanced</v>
      </c>
      <c r="E103" s="50" t="s">
        <v>127</v>
      </c>
      <c r="F103" s="50" t="s">
        <v>342</v>
      </c>
      <c r="G103" s="5">
        <v>1</v>
      </c>
      <c r="H103" s="44">
        <v>1</v>
      </c>
      <c r="I103" s="44" t="str">
        <f>INDEX(Helper!$C:$C, MATCH(H103, Helper!$A:$A, 0))</f>
        <v>Standard (EADGBE)</v>
      </c>
      <c r="J103" s="44" t="s">
        <v>59</v>
      </c>
      <c r="K103" s="59" t="s">
        <v>10</v>
      </c>
      <c r="L103" s="44" t="str">
        <f>INDEX(Helper!$F:$F, MATCH(K103, Helper!$E:$E, 0))</f>
        <v>#F5943C</v>
      </c>
      <c r="M103" s="50" t="s">
        <v>490</v>
      </c>
      <c r="N103" s="50" t="s">
        <v>614</v>
      </c>
      <c r="O103" s="47" t="s">
        <v>754</v>
      </c>
      <c r="P103" s="74" t="s">
        <v>1038</v>
      </c>
    </row>
    <row r="104" spans="1:16" ht="81">
      <c r="A104" s="44">
        <v>101</v>
      </c>
      <c r="B104" s="44">
        <v>1</v>
      </c>
      <c r="C104" s="44">
        <v>3</v>
      </c>
      <c r="D104" s="50" t="str">
        <f>INDEX(Helper!$N$2:$N$4, MATCH(C104, Helper!$M$2:$M$4, 0))</f>
        <v>Advanced</v>
      </c>
      <c r="E104" s="50" t="s">
        <v>343</v>
      </c>
      <c r="F104" s="50" t="s">
        <v>344</v>
      </c>
      <c r="G104" s="5">
        <v>1</v>
      </c>
      <c r="H104" s="44">
        <v>1</v>
      </c>
      <c r="I104" s="44" t="str">
        <f>INDEX(Helper!$C:$C, MATCH(H104, Helper!$A:$A, 0))</f>
        <v>Standard (EADGBE)</v>
      </c>
      <c r="J104" s="44" t="s">
        <v>61</v>
      </c>
      <c r="K104" s="68" t="s">
        <v>14</v>
      </c>
      <c r="L104" s="44" t="str">
        <f>INDEX(Helper!$F:$F, MATCH(K104, Helper!$E:$E, 0))</f>
        <v>#FFE000</v>
      </c>
      <c r="M104" s="50" t="s">
        <v>491</v>
      </c>
      <c r="N104" s="50" t="s">
        <v>614</v>
      </c>
      <c r="O104" s="47" t="s">
        <v>755</v>
      </c>
      <c r="P104" s="74" t="s">
        <v>1039</v>
      </c>
    </row>
    <row r="105" spans="1:16" ht="409.5">
      <c r="A105" s="44">
        <v>102</v>
      </c>
      <c r="B105" s="44">
        <v>1</v>
      </c>
      <c r="C105" s="44">
        <v>3</v>
      </c>
      <c r="D105" s="50" t="str">
        <f>INDEX(Helper!$N$2:$N$4, MATCH(C105, Helper!$M$2:$M$4, 0))</f>
        <v>Advanced</v>
      </c>
      <c r="E105" s="50" t="s">
        <v>43</v>
      </c>
      <c r="F105" s="50" t="s">
        <v>345</v>
      </c>
      <c r="G105" s="5">
        <v>1</v>
      </c>
      <c r="H105" s="44">
        <v>1</v>
      </c>
      <c r="I105" s="44" t="str">
        <f>INDEX(Helper!$C:$C, MATCH(H105, Helper!$A:$A, 0))</f>
        <v>Standard (EADGBE)</v>
      </c>
      <c r="J105" s="44" t="s">
        <v>59</v>
      </c>
      <c r="K105" s="59" t="s">
        <v>23</v>
      </c>
      <c r="L105" s="44" t="str">
        <f>INDEX(Helper!$F:$F, MATCH(K105, Helper!$E:$E, 0))</f>
        <v>#F1D764</v>
      </c>
      <c r="M105" s="50" t="s">
        <v>492</v>
      </c>
      <c r="N105" s="50" t="s">
        <v>614</v>
      </c>
      <c r="O105" s="47" t="s">
        <v>756</v>
      </c>
      <c r="P105" s="74" t="s">
        <v>1040</v>
      </c>
    </row>
    <row r="106" spans="1:16" ht="409.5">
      <c r="A106" s="44">
        <v>103</v>
      </c>
      <c r="B106" s="44">
        <v>1</v>
      </c>
      <c r="C106" s="44">
        <v>3</v>
      </c>
      <c r="D106" s="50" t="str">
        <f>INDEX(Helper!$N$2:$N$4, MATCH(C106, Helper!$M$2:$M$4, 0))</f>
        <v>Advanced</v>
      </c>
      <c r="E106" s="50" t="s">
        <v>271</v>
      </c>
      <c r="F106" s="50" t="s">
        <v>346</v>
      </c>
      <c r="G106" s="5">
        <v>1</v>
      </c>
      <c r="H106" s="44">
        <v>1</v>
      </c>
      <c r="I106" s="44" t="str">
        <f>INDEX(Helper!$C:$C, MATCH(H106, Helper!$A:$A, 0))</f>
        <v>Standard (EADGBE)</v>
      </c>
      <c r="J106" s="44" t="s">
        <v>618</v>
      </c>
      <c r="K106" s="64" t="s">
        <v>15</v>
      </c>
      <c r="L106" s="44" t="str">
        <f>INDEX(Helper!$F:$F, MATCH(K106, Helper!$E:$E, 0))</f>
        <v>#C2C2A1</v>
      </c>
      <c r="M106" s="50" t="s">
        <v>493</v>
      </c>
      <c r="N106" s="50" t="s">
        <v>614</v>
      </c>
      <c r="O106" s="47" t="s">
        <v>757</v>
      </c>
      <c r="P106" s="74" t="s">
        <v>1041</v>
      </c>
    </row>
    <row r="107" spans="1:16" ht="270">
      <c r="A107" s="44">
        <v>104</v>
      </c>
      <c r="B107" s="44">
        <v>1</v>
      </c>
      <c r="C107" s="44">
        <v>3</v>
      </c>
      <c r="D107" s="50" t="str">
        <f>INDEX(Helper!$N$2:$N$4, MATCH(C107, Helper!$M$2:$M$4, 0))</f>
        <v>Advanced</v>
      </c>
      <c r="E107" s="50" t="s">
        <v>269</v>
      </c>
      <c r="F107" s="50" t="s">
        <v>347</v>
      </c>
      <c r="G107" s="5">
        <v>1</v>
      </c>
      <c r="H107" s="44">
        <v>1</v>
      </c>
      <c r="I107" s="44" t="str">
        <f>INDEX(Helper!$C:$C, MATCH(H107, Helper!$A:$A, 0))</f>
        <v>Standard (EADGBE)</v>
      </c>
      <c r="J107" s="44" t="s">
        <v>393</v>
      </c>
      <c r="K107" s="64" t="s">
        <v>15</v>
      </c>
      <c r="L107" s="44" t="str">
        <f>INDEX(Helper!$F:$F, MATCH(K107, Helper!$E:$E, 0))</f>
        <v>#C2C2A1</v>
      </c>
      <c r="M107" s="50" t="s">
        <v>494</v>
      </c>
      <c r="N107" s="50" t="s">
        <v>614</v>
      </c>
      <c r="O107" s="47" t="s">
        <v>758</v>
      </c>
      <c r="P107" s="74" t="s">
        <v>1042</v>
      </c>
    </row>
    <row r="108" spans="1:16" ht="409.5">
      <c r="A108" s="44">
        <v>105</v>
      </c>
      <c r="B108" s="44">
        <v>1</v>
      </c>
      <c r="C108" s="44">
        <v>3</v>
      </c>
      <c r="D108" s="50" t="str">
        <f>INDEX(Helper!$N$2:$N$4, MATCH(C108, Helper!$M$2:$M$4, 0))</f>
        <v>Advanced</v>
      </c>
      <c r="E108" s="50" t="s">
        <v>271</v>
      </c>
      <c r="F108" s="50" t="s">
        <v>348</v>
      </c>
      <c r="G108" s="5">
        <v>0</v>
      </c>
      <c r="H108" s="44">
        <v>1</v>
      </c>
      <c r="I108" s="44" t="str">
        <f>INDEX(Helper!$C:$C, MATCH(H108, Helper!$A:$A, 0))</f>
        <v>Standard (EADGBE)</v>
      </c>
      <c r="J108" s="44" t="s">
        <v>618</v>
      </c>
      <c r="K108" s="64" t="s">
        <v>15</v>
      </c>
      <c r="L108" s="44" t="str">
        <f>INDEX(Helper!$F:$F, MATCH(K108, Helper!$E:$E, 0))</f>
        <v>#C2C2A1</v>
      </c>
      <c r="M108" s="50" t="s">
        <v>495</v>
      </c>
      <c r="N108" s="50" t="s">
        <v>614</v>
      </c>
      <c r="O108" s="47" t="s">
        <v>759</v>
      </c>
      <c r="P108" s="74" t="s">
        <v>1043</v>
      </c>
    </row>
    <row r="109" spans="1:16" ht="270">
      <c r="A109" s="44">
        <v>106</v>
      </c>
      <c r="B109" s="44">
        <v>1</v>
      </c>
      <c r="C109" s="44">
        <v>2</v>
      </c>
      <c r="D109" s="50" t="str">
        <f>INDEX(Helper!$N$2:$N$4, MATCH(C109, Helper!$M$2:$M$4, 0))</f>
        <v>Intermediate</v>
      </c>
      <c r="E109" s="50" t="s">
        <v>349</v>
      </c>
      <c r="F109" s="50" t="s">
        <v>350</v>
      </c>
      <c r="G109" s="5">
        <v>1</v>
      </c>
      <c r="H109" s="44">
        <v>1</v>
      </c>
      <c r="I109" s="44" t="str">
        <f>INDEX(Helper!$C:$C, MATCH(H109, Helper!$A:$A, 0))</f>
        <v>Standard (EADGBE)</v>
      </c>
      <c r="J109" s="44" t="s">
        <v>637</v>
      </c>
      <c r="K109" s="63" t="s">
        <v>19</v>
      </c>
      <c r="L109" s="44" t="str">
        <f>INDEX(Helper!$F:$F, MATCH(K109, Helper!$E:$E, 0))</f>
        <v>#FFDD21</v>
      </c>
      <c r="M109" s="50" t="s">
        <v>496</v>
      </c>
      <c r="N109" s="50" t="s">
        <v>614</v>
      </c>
      <c r="O109" s="47" t="s">
        <v>760</v>
      </c>
      <c r="P109" s="74" t="s">
        <v>1044</v>
      </c>
    </row>
    <row r="110" spans="1:16" ht="270">
      <c r="A110" s="44">
        <v>107</v>
      </c>
      <c r="B110" s="44">
        <v>1</v>
      </c>
      <c r="C110" s="44">
        <v>3</v>
      </c>
      <c r="D110" s="50" t="str">
        <f>INDEX(Helper!$N$2:$N$4, MATCH(C110, Helper!$M$2:$M$4, 0))</f>
        <v>Advanced</v>
      </c>
      <c r="E110" s="50" t="s">
        <v>351</v>
      </c>
      <c r="F110" s="50" t="s">
        <v>352</v>
      </c>
      <c r="G110" s="5">
        <v>1</v>
      </c>
      <c r="H110" s="44">
        <v>1</v>
      </c>
      <c r="I110" s="44" t="str">
        <f>INDEX(Helper!$C:$C, MATCH(H110, Helper!$A:$A, 0))</f>
        <v>Standard (EADGBE)</v>
      </c>
      <c r="J110" s="44" t="s">
        <v>62</v>
      </c>
      <c r="K110" s="64" t="s">
        <v>15</v>
      </c>
      <c r="L110" s="44" t="str">
        <f>INDEX(Helper!$F:$F, MATCH(K110, Helper!$E:$E, 0))</f>
        <v>#C2C2A1</v>
      </c>
      <c r="M110" s="50" t="s">
        <v>497</v>
      </c>
      <c r="N110" s="50" t="s">
        <v>614</v>
      </c>
      <c r="O110" s="47" t="s">
        <v>761</v>
      </c>
      <c r="P110" s="74" t="s">
        <v>1045</v>
      </c>
    </row>
    <row r="111" spans="1:16" ht="364.5">
      <c r="A111" s="44">
        <v>108</v>
      </c>
      <c r="B111" s="44">
        <v>1</v>
      </c>
      <c r="C111" s="44">
        <v>3</v>
      </c>
      <c r="D111" s="50" t="str">
        <f>INDEX(Helper!$N$2:$N$4, MATCH(C111, Helper!$M$2:$M$4, 0))</f>
        <v>Advanced</v>
      </c>
      <c r="E111" s="50" t="s">
        <v>171</v>
      </c>
      <c r="F111" s="50" t="s">
        <v>353</v>
      </c>
      <c r="G111" s="5">
        <v>1</v>
      </c>
      <c r="H111" s="44">
        <v>1</v>
      </c>
      <c r="I111" s="44" t="str">
        <f>INDEX(Helper!$C:$C, MATCH(H111, Helper!$A:$A, 0))</f>
        <v>Standard (EADGBE)</v>
      </c>
      <c r="J111" s="44" t="s">
        <v>65</v>
      </c>
      <c r="K111" s="63" t="s">
        <v>19</v>
      </c>
      <c r="L111" s="44" t="str">
        <f>INDEX(Helper!$F:$F, MATCH(K111, Helper!$E:$E, 0))</f>
        <v>#FFDD21</v>
      </c>
      <c r="M111" s="50" t="s">
        <v>498</v>
      </c>
      <c r="N111" s="50" t="s">
        <v>614</v>
      </c>
      <c r="O111" s="47" t="s">
        <v>762</v>
      </c>
      <c r="P111" s="74" t="s">
        <v>1046</v>
      </c>
    </row>
    <row r="112" spans="1:16" ht="409.5">
      <c r="A112" s="44">
        <v>109</v>
      </c>
      <c r="B112" s="44">
        <v>1</v>
      </c>
      <c r="C112" s="44">
        <v>3</v>
      </c>
      <c r="D112" s="50" t="str">
        <f>INDEX(Helper!$N$2:$N$4, MATCH(C112, Helper!$M$2:$M$4, 0))</f>
        <v>Advanced</v>
      </c>
      <c r="E112" s="50" t="s">
        <v>249</v>
      </c>
      <c r="F112" s="50" t="s">
        <v>354</v>
      </c>
      <c r="G112" s="5">
        <v>1</v>
      </c>
      <c r="H112" s="44">
        <v>1</v>
      </c>
      <c r="I112" s="44" t="str">
        <f>INDEX(Helper!$C:$C, MATCH(H112, Helper!$A:$A, 0))</f>
        <v>Standard (EADGBE)</v>
      </c>
      <c r="J112" s="44" t="s">
        <v>65</v>
      </c>
      <c r="K112" s="67" t="s">
        <v>12</v>
      </c>
      <c r="L112" s="44" t="str">
        <f>INDEX(Helper!$F:$F, MATCH(K112, Helper!$E:$E, 0))</f>
        <v>#FFE129</v>
      </c>
      <c r="M112" s="50" t="s">
        <v>499</v>
      </c>
      <c r="N112" s="50" t="s">
        <v>614</v>
      </c>
      <c r="O112" s="47" t="s">
        <v>763</v>
      </c>
      <c r="P112" s="74" t="s">
        <v>1047</v>
      </c>
    </row>
    <row r="113" spans="1:16" ht="409.5">
      <c r="A113" s="44">
        <v>110</v>
      </c>
      <c r="B113" s="44">
        <v>1</v>
      </c>
      <c r="C113" s="44">
        <v>3</v>
      </c>
      <c r="D113" s="50" t="str">
        <f>INDEX(Helper!$N$2:$N$4, MATCH(C113, Helper!$M$2:$M$4, 0))</f>
        <v>Advanced</v>
      </c>
      <c r="E113" s="50" t="s">
        <v>355</v>
      </c>
      <c r="F113" s="50" t="s">
        <v>356</v>
      </c>
      <c r="G113" s="5">
        <v>0</v>
      </c>
      <c r="H113" s="44">
        <v>1</v>
      </c>
      <c r="I113" s="44" t="str">
        <f>INDEX(Helper!$C:$C, MATCH(H113, Helper!$A:$A, 0))</f>
        <v>Standard (EADGBE)</v>
      </c>
      <c r="J113" s="44" t="s">
        <v>63</v>
      </c>
      <c r="K113" s="63" t="s">
        <v>26</v>
      </c>
      <c r="L113" s="44" t="str">
        <f>INDEX(Helper!$F:$F, MATCH(K113, Helper!$E:$E, 0))</f>
        <v>#FFFFCC</v>
      </c>
      <c r="M113" s="51" t="s">
        <v>500</v>
      </c>
      <c r="N113" s="50" t="s">
        <v>614</v>
      </c>
      <c r="O113" s="52" t="s">
        <v>764</v>
      </c>
      <c r="P113" s="74" t="s">
        <v>1048</v>
      </c>
    </row>
    <row r="114" spans="1:16" ht="409.5">
      <c r="A114" s="44">
        <v>111</v>
      </c>
      <c r="B114" s="44">
        <v>1</v>
      </c>
      <c r="C114" s="44">
        <v>3</v>
      </c>
      <c r="D114" s="50" t="str">
        <f>INDEX(Helper!$N$2:$N$4, MATCH(C114, Helper!$M$2:$M$4, 0))</f>
        <v>Advanced</v>
      </c>
      <c r="E114" s="50" t="s">
        <v>357</v>
      </c>
      <c r="F114" s="50" t="s">
        <v>358</v>
      </c>
      <c r="G114" s="5">
        <v>1</v>
      </c>
      <c r="H114" s="44">
        <v>1</v>
      </c>
      <c r="I114" s="44" t="str">
        <f>INDEX(Helper!$C:$C, MATCH(H114, Helper!$A:$A, 0))</f>
        <v>Standard (EADGBE)</v>
      </c>
      <c r="J114" s="44" t="s">
        <v>63</v>
      </c>
      <c r="K114" s="59" t="s">
        <v>10</v>
      </c>
      <c r="L114" s="44" t="str">
        <f>INDEX(Helper!$F:$F, MATCH(K114, Helper!$E:$E, 0))</f>
        <v>#F5943C</v>
      </c>
      <c r="M114" s="50" t="s">
        <v>501</v>
      </c>
      <c r="N114" s="50" t="s">
        <v>614</v>
      </c>
      <c r="O114" s="47" t="s">
        <v>765</v>
      </c>
      <c r="P114" s="74" t="s">
        <v>1049</v>
      </c>
    </row>
    <row r="115" spans="1:16" ht="364.5">
      <c r="A115" s="44">
        <v>112</v>
      </c>
      <c r="B115" s="44">
        <v>1</v>
      </c>
      <c r="C115" s="44">
        <v>3</v>
      </c>
      <c r="D115" s="50" t="str">
        <f>INDEX(Helper!$N$2:$N$4, MATCH(C115, Helper!$M$2:$M$4, 0))</f>
        <v>Advanced</v>
      </c>
      <c r="E115" s="50" t="s">
        <v>359</v>
      </c>
      <c r="F115" s="50" t="s">
        <v>360</v>
      </c>
      <c r="G115" s="5">
        <v>0</v>
      </c>
      <c r="H115" s="44">
        <v>1</v>
      </c>
      <c r="I115" s="44" t="str">
        <f>INDEX(Helper!$C:$C, MATCH(H115, Helper!$A:$A, 0))</f>
        <v>Standard (EADGBE)</v>
      </c>
      <c r="J115" s="44" t="s">
        <v>64</v>
      </c>
      <c r="K115" s="68" t="s">
        <v>14</v>
      </c>
      <c r="L115" s="44" t="str">
        <f>INDEX(Helper!$F:$F, MATCH(K115, Helper!$E:$E, 0))</f>
        <v>#FFE000</v>
      </c>
      <c r="M115" s="50" t="s">
        <v>502</v>
      </c>
      <c r="N115" s="50" t="s">
        <v>614</v>
      </c>
      <c r="O115" s="50" t="s">
        <v>766</v>
      </c>
      <c r="P115" s="74" t="s">
        <v>1050</v>
      </c>
    </row>
    <row r="116" spans="1:16" ht="270">
      <c r="A116" s="44">
        <v>113</v>
      </c>
      <c r="B116" s="44">
        <v>1</v>
      </c>
      <c r="C116" s="44">
        <v>3</v>
      </c>
      <c r="D116" s="50" t="str">
        <f>INDEX(Helper!$N$2:$N$4, MATCH(C116, Helper!$M$2:$M$4, 0))</f>
        <v>Advanced</v>
      </c>
      <c r="E116" s="50" t="s">
        <v>361</v>
      </c>
      <c r="F116" s="50" t="s">
        <v>362</v>
      </c>
      <c r="G116" s="5">
        <v>0</v>
      </c>
      <c r="H116" s="44">
        <v>1</v>
      </c>
      <c r="I116" s="44" t="str">
        <f>INDEX(Helper!$C:$C, MATCH(H116, Helper!$A:$A, 0))</f>
        <v>Standard (EADGBE)</v>
      </c>
      <c r="J116" s="44" t="s">
        <v>62</v>
      </c>
      <c r="K116" s="63" t="s">
        <v>19</v>
      </c>
      <c r="L116" s="44" t="str">
        <f>INDEX(Helper!$F:$F, MATCH(K116, Helper!$E:$E, 0))</f>
        <v>#FFDD21</v>
      </c>
      <c r="M116" s="50" t="s">
        <v>503</v>
      </c>
      <c r="N116" s="50" t="s">
        <v>614</v>
      </c>
      <c r="O116" s="47" t="s">
        <v>767</v>
      </c>
      <c r="P116" s="74" t="s">
        <v>1051</v>
      </c>
    </row>
    <row r="117" spans="1:16" ht="409.5">
      <c r="A117" s="44">
        <v>114</v>
      </c>
      <c r="B117" s="44">
        <v>1</v>
      </c>
      <c r="C117" s="44">
        <v>3</v>
      </c>
      <c r="D117" s="50" t="str">
        <f>INDEX(Helper!$N$2:$N$4, MATCH(C117, Helper!$M$2:$M$4, 0))</f>
        <v>Advanced</v>
      </c>
      <c r="E117" s="50" t="s">
        <v>363</v>
      </c>
      <c r="F117" s="50" t="s">
        <v>364</v>
      </c>
      <c r="G117" s="5">
        <v>1</v>
      </c>
      <c r="H117" s="44">
        <v>1</v>
      </c>
      <c r="I117" s="44" t="str">
        <f>INDEX(Helper!$C:$C, MATCH(H117, Helper!$A:$A, 0))</f>
        <v>Standard (EADGBE)</v>
      </c>
      <c r="J117" s="44" t="s">
        <v>63</v>
      </c>
      <c r="K117" s="63" t="s">
        <v>19</v>
      </c>
      <c r="L117" s="44" t="str">
        <f>INDEX(Helper!$F:$F, MATCH(K117, Helper!$E:$E, 0))</f>
        <v>#FFDD21</v>
      </c>
      <c r="M117" s="50" t="s">
        <v>504</v>
      </c>
      <c r="N117" s="50" t="s">
        <v>614</v>
      </c>
      <c r="O117" s="47" t="s">
        <v>768</v>
      </c>
      <c r="P117" s="74" t="s">
        <v>1052</v>
      </c>
    </row>
    <row r="118" spans="1:16" ht="408.4" customHeight="1">
      <c r="A118" s="44">
        <v>115</v>
      </c>
      <c r="B118" s="44">
        <v>1</v>
      </c>
      <c r="C118" s="44">
        <v>3</v>
      </c>
      <c r="D118" s="50" t="str">
        <f>INDEX(Helper!$N$2:$N$4, MATCH(C118, Helper!$M$2:$M$4, 0))</f>
        <v>Advanced</v>
      </c>
      <c r="E118" s="50" t="s">
        <v>351</v>
      </c>
      <c r="F118" s="50" t="s">
        <v>365</v>
      </c>
      <c r="G118" s="5">
        <v>1</v>
      </c>
      <c r="H118" s="44">
        <v>1</v>
      </c>
      <c r="I118" s="44" t="str">
        <f>INDEX(Helper!$C:$C, MATCH(H118, Helper!$A:$A, 0))</f>
        <v>Standard (EADGBE)</v>
      </c>
      <c r="J118" s="44" t="s">
        <v>618</v>
      </c>
      <c r="K118" s="64" t="s">
        <v>15</v>
      </c>
      <c r="L118" s="44" t="str">
        <f>INDEX(Helper!$F:$F, MATCH(K118, Helper!$E:$E, 0))</f>
        <v>#C2C2A1</v>
      </c>
      <c r="M118" s="50" t="s">
        <v>505</v>
      </c>
      <c r="N118" s="50" t="s">
        <v>614</v>
      </c>
      <c r="O118" s="47" t="s">
        <v>769</v>
      </c>
      <c r="P118" s="74" t="s">
        <v>1053</v>
      </c>
    </row>
    <row r="119" spans="1:16" ht="175.5">
      <c r="A119" s="44">
        <v>116</v>
      </c>
      <c r="B119" s="44">
        <v>1</v>
      </c>
      <c r="C119" s="44">
        <v>2</v>
      </c>
      <c r="D119" s="50" t="str">
        <f>INDEX(Helper!$N$2:$N$4, MATCH(C119, Helper!$M$2:$M$4, 0))</f>
        <v>Intermediate</v>
      </c>
      <c r="E119" s="50" t="s">
        <v>366</v>
      </c>
      <c r="F119" s="50" t="s">
        <v>367</v>
      </c>
      <c r="G119" s="5">
        <v>1</v>
      </c>
      <c r="H119" s="44">
        <v>1</v>
      </c>
      <c r="I119" s="44" t="str">
        <f>INDEX(Helper!$C:$C, MATCH(H119, Helper!$A:$A, 0))</f>
        <v>Standard (EADGBE)</v>
      </c>
      <c r="J119" s="44" t="s">
        <v>59</v>
      </c>
      <c r="K119" s="70" t="s">
        <v>372</v>
      </c>
      <c r="L119" s="44" t="str">
        <f>INDEX(Helper!$F:$F, MATCH(K119, Helper!$E:$E, 0))</f>
        <v>#C476D4</v>
      </c>
      <c r="M119" s="50" t="s">
        <v>506</v>
      </c>
      <c r="N119" s="50" t="s">
        <v>639</v>
      </c>
      <c r="O119" s="47" t="s">
        <v>770</v>
      </c>
      <c r="P119" s="74" t="s">
        <v>1054</v>
      </c>
    </row>
    <row r="120" spans="1:16" ht="81">
      <c r="A120" s="44">
        <v>117</v>
      </c>
      <c r="B120" s="44">
        <v>1</v>
      </c>
      <c r="C120" s="44">
        <v>3</v>
      </c>
      <c r="D120" s="50" t="str">
        <f>INDEX(Helper!$N$2:$N$4, MATCH(C120, Helper!$M$2:$M$4, 0))</f>
        <v>Advanced</v>
      </c>
      <c r="E120" s="50" t="s">
        <v>90</v>
      </c>
      <c r="F120" s="50" t="s">
        <v>368</v>
      </c>
      <c r="G120" s="5">
        <v>0</v>
      </c>
      <c r="H120" s="44">
        <v>1</v>
      </c>
      <c r="I120" s="44" t="str">
        <f>INDEX(Helper!$C:$C, MATCH(H120, Helper!$A:$A, 0))</f>
        <v>Standard (EADGBE)</v>
      </c>
      <c r="J120" s="44" t="s">
        <v>771</v>
      </c>
      <c r="K120" s="65" t="s">
        <v>13</v>
      </c>
      <c r="L120" s="44" t="str">
        <f>INDEX(Helper!$F:$F, MATCH(K120, Helper!$E:$E, 0))</f>
        <v>#FF4F53</v>
      </c>
      <c r="M120" s="50" t="s">
        <v>507</v>
      </c>
      <c r="N120" s="50" t="s">
        <v>614</v>
      </c>
      <c r="O120" s="47" t="s">
        <v>772</v>
      </c>
      <c r="P120" s="74" t="s">
        <v>1055</v>
      </c>
    </row>
    <row r="121" spans="1:16" ht="409.5">
      <c r="A121" s="44">
        <v>118</v>
      </c>
      <c r="B121" s="44">
        <v>1</v>
      </c>
      <c r="C121" s="44">
        <v>3</v>
      </c>
      <c r="D121" s="50" t="str">
        <f>INDEX(Helper!$N$2:$N$4, MATCH(C121, Helper!$M$2:$M$4, 0))</f>
        <v>Advanced</v>
      </c>
      <c r="E121" s="50" t="s">
        <v>52</v>
      </c>
      <c r="F121" s="50" t="s">
        <v>37</v>
      </c>
      <c r="G121" s="5">
        <v>1</v>
      </c>
      <c r="H121" s="44">
        <v>1</v>
      </c>
      <c r="I121" s="44" t="str">
        <f>INDEX(Helper!$C:$C, MATCH(H121, Helper!$A:$A, 0))</f>
        <v>Standard (EADGBE)</v>
      </c>
      <c r="J121" s="44" t="s">
        <v>626</v>
      </c>
      <c r="K121" s="73" t="s">
        <v>18</v>
      </c>
      <c r="L121" s="44" t="str">
        <f>INDEX(Helper!$F:$F, MATCH(K121, Helper!$E:$E, 0))</f>
        <v>#22AAD6</v>
      </c>
      <c r="M121" s="50" t="s">
        <v>508</v>
      </c>
      <c r="N121" s="50" t="s">
        <v>614</v>
      </c>
      <c r="O121" s="47" t="s">
        <v>773</v>
      </c>
      <c r="P121" s="74" t="s">
        <v>1056</v>
      </c>
    </row>
    <row r="122" spans="1:16" ht="256.5">
      <c r="A122" s="44">
        <v>119</v>
      </c>
      <c r="B122" s="44">
        <v>1</v>
      </c>
      <c r="C122" s="44">
        <v>2</v>
      </c>
      <c r="D122" s="50" t="str">
        <f>INDEX(Helper!$N$2:$N$4, MATCH(C122, Helper!$M$2:$M$4, 0))</f>
        <v>Intermediate</v>
      </c>
      <c r="E122" s="50" t="s">
        <v>35</v>
      </c>
      <c r="F122" s="50" t="s">
        <v>49</v>
      </c>
      <c r="G122" s="5">
        <v>1</v>
      </c>
      <c r="H122" s="44">
        <v>2</v>
      </c>
      <c r="I122" s="44" t="str">
        <f>INDEX(Helper!$C:$C, MATCH(H122, Helper!$A:$A, 0))</f>
        <v>Drop D (DADGBE)</v>
      </c>
      <c r="J122" s="44" t="s">
        <v>62</v>
      </c>
      <c r="K122" s="64" t="s">
        <v>15</v>
      </c>
      <c r="L122" s="44" t="str">
        <f>INDEX(Helper!$F:$F, MATCH(K122, Helper!$E:$E, 0))</f>
        <v>#C2C2A1</v>
      </c>
      <c r="M122" s="50" t="s">
        <v>509</v>
      </c>
      <c r="N122" s="50" t="s">
        <v>614</v>
      </c>
      <c r="O122" s="47" t="s">
        <v>774</v>
      </c>
      <c r="P122" s="74" t="s">
        <v>1057</v>
      </c>
    </row>
    <row r="123" spans="1:16" ht="409.5">
      <c r="A123" s="44">
        <v>120</v>
      </c>
      <c r="B123" s="44">
        <v>1</v>
      </c>
      <c r="C123" s="44">
        <v>3</v>
      </c>
      <c r="D123" s="50" t="str">
        <f>INDEX(Helper!$N$2:$N$4, MATCH(C123, Helper!$M$2:$M$4, 0))</f>
        <v>Advanced</v>
      </c>
      <c r="E123" s="50" t="s">
        <v>35</v>
      </c>
      <c r="F123" s="50" t="s">
        <v>50</v>
      </c>
      <c r="G123" s="5">
        <v>0</v>
      </c>
      <c r="H123" s="44">
        <v>2</v>
      </c>
      <c r="I123" s="44" t="str">
        <f>INDEX(Helper!$C:$C, MATCH(H123, Helper!$A:$A, 0))</f>
        <v>Drop D (DADGBE)</v>
      </c>
      <c r="J123" s="44" t="s">
        <v>62</v>
      </c>
      <c r="K123" s="64" t="s">
        <v>15</v>
      </c>
      <c r="L123" s="44" t="str">
        <f>INDEX(Helper!$F:$F, MATCH(K123, Helper!$E:$E, 0))</f>
        <v>#C2C2A1</v>
      </c>
      <c r="M123" s="50" t="s">
        <v>510</v>
      </c>
      <c r="N123" s="50" t="s">
        <v>614</v>
      </c>
      <c r="O123" s="50" t="s">
        <v>775</v>
      </c>
      <c r="P123" s="74" t="s">
        <v>1058</v>
      </c>
    </row>
    <row r="124" spans="1:16" ht="283.5">
      <c r="A124" s="44">
        <v>121</v>
      </c>
      <c r="B124" s="44">
        <v>1</v>
      </c>
      <c r="C124" s="44">
        <v>3</v>
      </c>
      <c r="D124" s="50" t="str">
        <f>INDEX(Helper!$N$2:$N$4, MATCH(C124, Helper!$M$2:$M$4, 0))</f>
        <v>Advanced</v>
      </c>
      <c r="E124" s="50" t="s">
        <v>78</v>
      </c>
      <c r="F124" s="50" t="s">
        <v>369</v>
      </c>
      <c r="G124" s="5">
        <v>1</v>
      </c>
      <c r="H124" s="44">
        <v>2</v>
      </c>
      <c r="I124" s="44" t="str">
        <f>INDEX(Helper!$C:$C, MATCH(H124, Helper!$A:$A, 0))</f>
        <v>Drop D (DADGBE)</v>
      </c>
      <c r="J124" s="44" t="s">
        <v>62</v>
      </c>
      <c r="K124" s="65" t="s">
        <v>13</v>
      </c>
      <c r="L124" s="44" t="str">
        <f>INDEX(Helper!$F:$F, MATCH(K124, Helper!$E:$E, 0))</f>
        <v>#FF4F53</v>
      </c>
      <c r="M124" s="50" t="s">
        <v>511</v>
      </c>
      <c r="N124" s="50" t="s">
        <v>614</v>
      </c>
      <c r="O124" s="50" t="s">
        <v>776</v>
      </c>
      <c r="P124" s="74" t="s">
        <v>1059</v>
      </c>
    </row>
    <row r="125" spans="1:16" ht="81">
      <c r="A125" s="44">
        <v>122</v>
      </c>
      <c r="B125" s="44">
        <v>1</v>
      </c>
      <c r="C125" s="44">
        <v>1</v>
      </c>
      <c r="D125" s="50" t="str">
        <f>INDEX(Helper!$N$2:$N$4, MATCH(C125, Helper!$M$2:$M$4, 0))</f>
        <v>Beginner</v>
      </c>
      <c r="E125" s="50" t="s">
        <v>84</v>
      </c>
      <c r="F125" s="50" t="s">
        <v>85</v>
      </c>
      <c r="G125" s="5">
        <v>1</v>
      </c>
      <c r="H125" s="44">
        <v>1</v>
      </c>
      <c r="I125" s="44" t="str">
        <f>INDEX(Helper!$C:$C, MATCH(H125, Helper!$A:$A, 0))</f>
        <v>Standard (EADGBE)</v>
      </c>
      <c r="J125" s="44" t="s">
        <v>64</v>
      </c>
      <c r="K125" s="65" t="s">
        <v>13</v>
      </c>
      <c r="L125" s="44" t="str">
        <f>INDEX(Helper!$F:$F, MATCH(K125, Helper!$E:$E, 0))</f>
        <v>#FF4F53</v>
      </c>
      <c r="M125" s="50" t="s">
        <v>512</v>
      </c>
      <c r="N125" s="50" t="s">
        <v>614</v>
      </c>
      <c r="O125" s="47" t="s">
        <v>777</v>
      </c>
      <c r="P125" s="74" t="s">
        <v>1060</v>
      </c>
    </row>
    <row r="126" spans="1:16" ht="81">
      <c r="A126" s="44">
        <v>123</v>
      </c>
      <c r="B126" s="44">
        <v>1</v>
      </c>
      <c r="C126" s="44">
        <v>1</v>
      </c>
      <c r="D126" s="50" t="str">
        <f>INDEX(Helper!$N$2:$N$4, MATCH(C126, Helper!$M$2:$M$4, 0))</f>
        <v>Beginner</v>
      </c>
      <c r="E126" s="50" t="s">
        <v>84</v>
      </c>
      <c r="F126" s="50" t="s">
        <v>86</v>
      </c>
      <c r="G126" s="5">
        <v>1</v>
      </c>
      <c r="H126" s="44">
        <v>1</v>
      </c>
      <c r="I126" s="44" t="str">
        <f>INDEX(Helper!$C:$C, MATCH(H126, Helper!$A:$A, 0))</f>
        <v>Standard (EADGBE)</v>
      </c>
      <c r="J126" s="44" t="s">
        <v>778</v>
      </c>
      <c r="K126" s="65" t="s">
        <v>13</v>
      </c>
      <c r="L126" s="44" t="str">
        <f>INDEX(Helper!$F:$F, MATCH(K126, Helper!$E:$E, 0))</f>
        <v>#FF4F53</v>
      </c>
      <c r="M126" s="50" t="s">
        <v>513</v>
      </c>
      <c r="N126" s="50" t="s">
        <v>614</v>
      </c>
      <c r="O126" s="47" t="s">
        <v>779</v>
      </c>
      <c r="P126" s="74" t="s">
        <v>1061</v>
      </c>
    </row>
    <row r="127" spans="1:16" ht="81">
      <c r="A127" s="44">
        <v>124</v>
      </c>
      <c r="B127" s="44">
        <v>1</v>
      </c>
      <c r="C127" s="44">
        <v>1</v>
      </c>
      <c r="D127" s="50" t="str">
        <f>INDEX(Helper!$N$2:$N$4, MATCH(C127, Helper!$M$2:$M$4, 0))</f>
        <v>Beginner</v>
      </c>
      <c r="E127" s="50" t="s">
        <v>42</v>
      </c>
      <c r="F127" s="50" t="s">
        <v>87</v>
      </c>
      <c r="G127" s="5">
        <v>0</v>
      </c>
      <c r="H127" s="44">
        <v>3</v>
      </c>
      <c r="I127" s="44" t="str">
        <f>INDEX(Helper!$C:$C, MATCH(H127, Helper!$A:$A, 0))</f>
        <v>Half Step Down (D#G#C#F#A#D#)</v>
      </c>
      <c r="J127" s="44" t="s">
        <v>60</v>
      </c>
      <c r="K127" s="70" t="s">
        <v>372</v>
      </c>
      <c r="L127" s="44" t="str">
        <f>INDEX(Helper!$F:$F, MATCH(K127, Helper!$E:$E, 0))</f>
        <v>#C476D4</v>
      </c>
      <c r="M127" s="50" t="s">
        <v>514</v>
      </c>
      <c r="N127" s="50" t="s">
        <v>614</v>
      </c>
      <c r="O127" s="50" t="s">
        <v>780</v>
      </c>
      <c r="P127" s="74" t="s">
        <v>1062</v>
      </c>
    </row>
    <row r="128" spans="1:16" ht="81">
      <c r="A128" s="44">
        <v>125</v>
      </c>
      <c r="B128" s="44">
        <v>1</v>
      </c>
      <c r="C128" s="44">
        <v>1</v>
      </c>
      <c r="D128" s="50" t="str">
        <f>INDEX(Helper!$N$2:$N$4, MATCH(C128, Helper!$M$2:$M$4, 0))</f>
        <v>Beginner</v>
      </c>
      <c r="E128" s="50" t="s">
        <v>88</v>
      </c>
      <c r="F128" s="50" t="s">
        <v>89</v>
      </c>
      <c r="G128" s="5">
        <v>0</v>
      </c>
      <c r="H128" s="44">
        <v>1</v>
      </c>
      <c r="I128" s="44" t="str">
        <f>INDEX(Helper!$C:$C, MATCH(H128, Helper!$A:$A, 0))</f>
        <v>Standard (EADGBE)</v>
      </c>
      <c r="J128" s="44" t="s">
        <v>64</v>
      </c>
      <c r="K128" s="65" t="s">
        <v>13</v>
      </c>
      <c r="L128" s="44" t="str">
        <f>INDEX(Helper!$F:$F, MATCH(K128, Helper!$E:$E, 0))</f>
        <v>#FF4F53</v>
      </c>
      <c r="M128" s="50" t="s">
        <v>515</v>
      </c>
      <c r="N128" s="50" t="s">
        <v>614</v>
      </c>
      <c r="O128" s="47" t="s">
        <v>781</v>
      </c>
      <c r="P128" s="74" t="s">
        <v>1063</v>
      </c>
    </row>
    <row r="129" spans="1:16" ht="175.5">
      <c r="A129" s="44">
        <v>126</v>
      </c>
      <c r="B129" s="44">
        <v>1</v>
      </c>
      <c r="C129" s="44">
        <v>1</v>
      </c>
      <c r="D129" s="50" t="str">
        <f>INDEX(Helper!$N$2:$N$4, MATCH(C129, Helper!$M$2:$M$4, 0))</f>
        <v>Beginner</v>
      </c>
      <c r="E129" s="50" t="s">
        <v>90</v>
      </c>
      <c r="F129" s="50" t="s">
        <v>91</v>
      </c>
      <c r="G129" s="5">
        <v>0</v>
      </c>
      <c r="H129" s="44">
        <v>1</v>
      </c>
      <c r="I129" s="44" t="str">
        <f>INDEX(Helper!$C:$C, MATCH(H129, Helper!$A:$A, 0))</f>
        <v>Standard (EADGBE)</v>
      </c>
      <c r="J129" s="44" t="s">
        <v>61</v>
      </c>
      <c r="K129" s="65" t="s">
        <v>13</v>
      </c>
      <c r="L129" s="44" t="str">
        <f>INDEX(Helper!$F:$F, MATCH(K129, Helper!$E:$E, 0))</f>
        <v>#FF4F53</v>
      </c>
      <c r="M129" s="50" t="s">
        <v>516</v>
      </c>
      <c r="N129" s="50" t="s">
        <v>614</v>
      </c>
      <c r="O129" s="50" t="s">
        <v>782</v>
      </c>
      <c r="P129" s="74" t="s">
        <v>1064</v>
      </c>
    </row>
    <row r="130" spans="1:16" ht="81">
      <c r="A130" s="44">
        <v>127</v>
      </c>
      <c r="B130" s="44">
        <v>1</v>
      </c>
      <c r="C130" s="44">
        <v>1</v>
      </c>
      <c r="D130" s="50" t="str">
        <f>INDEX(Helper!$N$2:$N$4, MATCH(C130, Helper!$M$2:$M$4, 0))</f>
        <v>Beginner</v>
      </c>
      <c r="E130" s="50" t="s">
        <v>90</v>
      </c>
      <c r="F130" s="50" t="s">
        <v>92</v>
      </c>
      <c r="G130" s="5">
        <v>0</v>
      </c>
      <c r="H130" s="44">
        <v>1</v>
      </c>
      <c r="I130" s="44" t="str">
        <f>INDEX(Helper!$C:$C, MATCH(H130, Helper!$A:$A, 0))</f>
        <v>Standard (EADGBE)</v>
      </c>
      <c r="J130" s="44" t="s">
        <v>59</v>
      </c>
      <c r="K130" s="65" t="s">
        <v>13</v>
      </c>
      <c r="L130" s="44" t="str">
        <f>INDEX(Helper!$F:$F, MATCH(K130, Helper!$E:$E, 0))</f>
        <v>#FF4F53</v>
      </c>
      <c r="M130" s="50" t="s">
        <v>517</v>
      </c>
      <c r="N130" s="50" t="s">
        <v>614</v>
      </c>
      <c r="O130" s="47" t="s">
        <v>783</v>
      </c>
      <c r="P130" s="74" t="s">
        <v>1065</v>
      </c>
    </row>
    <row r="131" spans="1:16" ht="81">
      <c r="A131" s="44">
        <v>128</v>
      </c>
      <c r="B131" s="44">
        <v>1</v>
      </c>
      <c r="C131" s="44">
        <v>1</v>
      </c>
      <c r="D131" s="50" t="str">
        <f>INDEX(Helper!$N$2:$N$4, MATCH(C131, Helper!$M$2:$M$4, 0))</f>
        <v>Beginner</v>
      </c>
      <c r="E131" s="50" t="s">
        <v>93</v>
      </c>
      <c r="F131" s="50" t="s">
        <v>94</v>
      </c>
      <c r="G131" s="5">
        <v>0</v>
      </c>
      <c r="H131" s="53">
        <v>1</v>
      </c>
      <c r="I131" s="44" t="str">
        <f>INDEX(Helper!$C:$C, MATCH(H131, Helper!$A:$A, 0))</f>
        <v>Standard (EADGBE)</v>
      </c>
      <c r="J131" s="44" t="s">
        <v>626</v>
      </c>
      <c r="K131" s="68" t="s">
        <v>14</v>
      </c>
      <c r="L131" s="44" t="str">
        <f>INDEX(Helper!$F:$F, MATCH(K131, Helper!$E:$E, 0))</f>
        <v>#FFE000</v>
      </c>
      <c r="M131" s="50" t="s">
        <v>518</v>
      </c>
      <c r="N131" s="50" t="s">
        <v>614</v>
      </c>
      <c r="O131" s="47" t="s">
        <v>784</v>
      </c>
      <c r="P131" s="74" t="s">
        <v>1066</v>
      </c>
    </row>
    <row r="132" spans="1:16" ht="81">
      <c r="A132" s="44">
        <v>129</v>
      </c>
      <c r="B132" s="44">
        <v>1</v>
      </c>
      <c r="C132" s="44">
        <v>1</v>
      </c>
      <c r="D132" s="45" t="str">
        <f>INDEX(Helper!$N$2:$N$4, MATCH(C132, Helper!$M$2:$M$4, 0))</f>
        <v>Beginner</v>
      </c>
      <c r="E132" s="45" t="s">
        <v>93</v>
      </c>
      <c r="F132" s="45" t="s">
        <v>95</v>
      </c>
      <c r="G132" s="5">
        <v>1</v>
      </c>
      <c r="H132" s="44">
        <v>1</v>
      </c>
      <c r="I132" s="44" t="str">
        <f>INDEX(Helper!$C:$C, MATCH(H132, Helper!$A:$A, 0))</f>
        <v>Standard (EADGBE)</v>
      </c>
      <c r="J132" s="44" t="s">
        <v>626</v>
      </c>
      <c r="K132" s="68" t="s">
        <v>14</v>
      </c>
      <c r="L132" s="44" t="str">
        <f>INDEX(Helper!$F:$F, MATCH(K132, Helper!$E:$E, 0))</f>
        <v>#FFE000</v>
      </c>
      <c r="M132" s="45" t="s">
        <v>519</v>
      </c>
      <c r="N132" s="50" t="s">
        <v>639</v>
      </c>
      <c r="O132" s="45" t="s">
        <v>789</v>
      </c>
      <c r="P132" s="74" t="s">
        <v>1067</v>
      </c>
    </row>
    <row r="133" spans="1:16" ht="81">
      <c r="A133" s="44">
        <v>130</v>
      </c>
      <c r="B133" s="44">
        <v>1</v>
      </c>
      <c r="C133" s="44">
        <v>1</v>
      </c>
      <c r="D133" s="45" t="str">
        <f>INDEX(Helper!$N$2:$N$4, MATCH(C133, Helper!$M$2:$M$4, 0))</f>
        <v>Beginner</v>
      </c>
      <c r="E133" s="45" t="s">
        <v>93</v>
      </c>
      <c r="F133" s="45" t="s">
        <v>96</v>
      </c>
      <c r="G133" s="5">
        <v>0</v>
      </c>
      <c r="H133" s="44">
        <v>1</v>
      </c>
      <c r="I133" s="44" t="str">
        <f>INDEX(Helper!$C:$C, MATCH(H133, Helper!$A:$A, 0))</f>
        <v>Standard (EADGBE)</v>
      </c>
      <c r="J133" s="44" t="s">
        <v>65</v>
      </c>
      <c r="K133" s="68" t="s">
        <v>14</v>
      </c>
      <c r="L133" s="44" t="str">
        <f>INDEX(Helper!$F:$F, MATCH(K133, Helper!$E:$E, 0))</f>
        <v>#FFE000</v>
      </c>
      <c r="M133" s="45" t="s">
        <v>520</v>
      </c>
      <c r="N133" s="50" t="s">
        <v>639</v>
      </c>
      <c r="O133" s="45" t="s">
        <v>790</v>
      </c>
      <c r="P133" s="74" t="s">
        <v>1068</v>
      </c>
    </row>
    <row r="134" spans="1:16" ht="175.5">
      <c r="A134" s="44">
        <v>131</v>
      </c>
      <c r="B134" s="44">
        <v>1</v>
      </c>
      <c r="C134" s="44">
        <v>1</v>
      </c>
      <c r="D134" s="45" t="str">
        <f>INDEX(Helper!$N$2:$N$4, MATCH(C134, Helper!$M$2:$M$4, 0))</f>
        <v>Beginner</v>
      </c>
      <c r="E134" s="45" t="s">
        <v>93</v>
      </c>
      <c r="F134" s="45" t="s">
        <v>97</v>
      </c>
      <c r="G134" s="5">
        <v>1</v>
      </c>
      <c r="H134" s="44">
        <v>1</v>
      </c>
      <c r="I134" s="44" t="str">
        <f>INDEX(Helper!$C:$C, MATCH(H134, Helper!$A:$A, 0))</f>
        <v>Standard (EADGBE)</v>
      </c>
      <c r="J134" s="44" t="s">
        <v>66</v>
      </c>
      <c r="K134" s="68" t="s">
        <v>14</v>
      </c>
      <c r="L134" s="44" t="str">
        <f>INDEX(Helper!$F:$F, MATCH(K134, Helper!$E:$E, 0))</f>
        <v>#FFE000</v>
      </c>
      <c r="M134" s="45" t="s">
        <v>521</v>
      </c>
      <c r="N134" s="50" t="s">
        <v>614</v>
      </c>
      <c r="O134" s="46" t="s">
        <v>791</v>
      </c>
      <c r="P134" s="74" t="s">
        <v>1069</v>
      </c>
    </row>
    <row r="135" spans="1:16" ht="81">
      <c r="A135" s="44">
        <v>132</v>
      </c>
      <c r="B135" s="44">
        <v>1</v>
      </c>
      <c r="C135" s="44">
        <v>1</v>
      </c>
      <c r="D135" s="45" t="str">
        <f>INDEX(Helper!$N$2:$N$4, MATCH(C135, Helper!$M$2:$M$4, 0))</f>
        <v>Beginner</v>
      </c>
      <c r="E135" s="45" t="s">
        <v>93</v>
      </c>
      <c r="F135" s="45" t="s">
        <v>98</v>
      </c>
      <c r="G135" s="5">
        <v>1</v>
      </c>
      <c r="H135" s="44">
        <v>1</v>
      </c>
      <c r="I135" s="44" t="str">
        <f>INDEX(Helper!$C:$C, MATCH(H135, Helper!$A:$A, 0))</f>
        <v>Standard (EADGBE)</v>
      </c>
      <c r="J135" s="44" t="s">
        <v>59</v>
      </c>
      <c r="K135" s="68" t="s">
        <v>14</v>
      </c>
      <c r="L135" s="44" t="str">
        <f>INDEX(Helper!$F:$F, MATCH(K135, Helper!$E:$E, 0))</f>
        <v>#FFE000</v>
      </c>
      <c r="M135" s="45" t="s">
        <v>522</v>
      </c>
      <c r="N135" s="50" t="s">
        <v>614</v>
      </c>
      <c r="O135" s="46" t="s">
        <v>792</v>
      </c>
      <c r="P135" s="74" t="s">
        <v>1070</v>
      </c>
    </row>
    <row r="136" spans="1:16" ht="270">
      <c r="A136" s="44">
        <v>133</v>
      </c>
      <c r="B136" s="44">
        <v>1</v>
      </c>
      <c r="C136" s="44">
        <v>1</v>
      </c>
      <c r="D136" s="45" t="str">
        <f>INDEX(Helper!$N$2:$N$4, MATCH(C136, Helper!$M$2:$M$4, 0))</f>
        <v>Beginner</v>
      </c>
      <c r="E136" s="45" t="s">
        <v>99</v>
      </c>
      <c r="F136" s="45" t="s">
        <v>100</v>
      </c>
      <c r="G136" s="5">
        <v>1</v>
      </c>
      <c r="H136" s="44">
        <v>3</v>
      </c>
      <c r="I136" s="44" t="str">
        <f>INDEX(Helper!$C:$C, MATCH(H136, Helper!$A:$A, 0))</f>
        <v>Half Step Down (D#G#C#F#A#D#)</v>
      </c>
      <c r="J136" s="44" t="s">
        <v>794</v>
      </c>
      <c r="K136" s="59" t="s">
        <v>10</v>
      </c>
      <c r="L136" s="44" t="str">
        <f>INDEX(Helper!$F:$F, MATCH(K136, Helper!$E:$E, 0))</f>
        <v>#F5943C</v>
      </c>
      <c r="M136" s="45" t="s">
        <v>523</v>
      </c>
      <c r="N136" s="50" t="s">
        <v>614</v>
      </c>
      <c r="O136" s="45" t="s">
        <v>793</v>
      </c>
      <c r="P136" s="74" t="s">
        <v>1071</v>
      </c>
    </row>
    <row r="137" spans="1:16" ht="81">
      <c r="A137" s="44">
        <v>134</v>
      </c>
      <c r="B137" s="44">
        <v>1</v>
      </c>
      <c r="C137" s="44">
        <v>2</v>
      </c>
      <c r="D137" s="45" t="str">
        <f>INDEX(Helper!$N$2:$N$4, MATCH(C137, Helper!$M$2:$M$4, 0))</f>
        <v>Intermediate</v>
      </c>
      <c r="E137" s="45" t="s">
        <v>36</v>
      </c>
      <c r="F137" s="45" t="s">
        <v>101</v>
      </c>
      <c r="G137" s="5">
        <v>1</v>
      </c>
      <c r="H137" s="44">
        <v>1</v>
      </c>
      <c r="I137" s="44" t="str">
        <f>INDEX(Helper!$C:$C, MATCH(H137, Helper!$A:$A, 0))</f>
        <v>Standard (EADGBE)</v>
      </c>
      <c r="J137" s="44" t="s">
        <v>63</v>
      </c>
      <c r="K137" s="64" t="s">
        <v>15</v>
      </c>
      <c r="L137" s="44" t="str">
        <f>INDEX(Helper!$F:$F, MATCH(K137, Helper!$E:$E, 0))</f>
        <v>#C2C2A1</v>
      </c>
      <c r="M137" s="45" t="s">
        <v>524</v>
      </c>
      <c r="N137" s="50" t="s">
        <v>614</v>
      </c>
      <c r="O137" s="46" t="s">
        <v>795</v>
      </c>
      <c r="P137" s="74" t="s">
        <v>1072</v>
      </c>
    </row>
    <row r="138" spans="1:16" ht="81">
      <c r="A138" s="44">
        <v>135</v>
      </c>
      <c r="B138" s="44">
        <v>1</v>
      </c>
      <c r="C138" s="44">
        <v>1</v>
      </c>
      <c r="D138" s="45" t="str">
        <f>INDEX(Helper!$N$2:$N$4, MATCH(C138, Helper!$M$2:$M$4, 0))</f>
        <v>Beginner</v>
      </c>
      <c r="E138" s="45" t="s">
        <v>102</v>
      </c>
      <c r="F138" s="45" t="s">
        <v>797</v>
      </c>
      <c r="G138" s="5">
        <v>0</v>
      </c>
      <c r="H138" s="44">
        <v>1</v>
      </c>
      <c r="I138" s="44" t="str">
        <f>INDEX(Helper!$C:$C, MATCH(H138, Helper!$A:$A, 0))</f>
        <v>Standard (EADGBE)</v>
      </c>
      <c r="J138" s="44" t="s">
        <v>61</v>
      </c>
      <c r="K138" s="70" t="s">
        <v>372</v>
      </c>
      <c r="L138" s="44" t="str">
        <f>INDEX(Helper!$F:$F, MATCH(K138, Helper!$E:$E, 0))</f>
        <v>#C476D4</v>
      </c>
      <c r="M138" s="45" t="s">
        <v>525</v>
      </c>
      <c r="N138" s="50" t="s">
        <v>614</v>
      </c>
      <c r="O138" s="46" t="s">
        <v>796</v>
      </c>
      <c r="P138" s="74" t="s">
        <v>1073</v>
      </c>
    </row>
    <row r="139" spans="1:16" ht="81">
      <c r="A139" s="44">
        <v>136</v>
      </c>
      <c r="B139" s="44">
        <v>1</v>
      </c>
      <c r="C139" s="44">
        <v>1</v>
      </c>
      <c r="D139" s="45" t="str">
        <f>INDEX(Helper!$N$2:$N$4, MATCH(C139, Helper!$M$2:$M$4, 0))</f>
        <v>Beginner</v>
      </c>
      <c r="E139" s="45" t="s">
        <v>38</v>
      </c>
      <c r="F139" s="45" t="s">
        <v>103</v>
      </c>
      <c r="G139" s="5">
        <v>0</v>
      </c>
      <c r="H139" s="44">
        <v>1</v>
      </c>
      <c r="I139" s="44" t="str">
        <f>INDEX(Helper!$C:$C, MATCH(H139, Helper!$A:$A, 0))</f>
        <v>Standard (EADGBE)</v>
      </c>
      <c r="J139" s="44" t="s">
        <v>393</v>
      </c>
      <c r="K139" s="59" t="s">
        <v>10</v>
      </c>
      <c r="L139" s="44" t="str">
        <f>INDEX(Helper!$F:$F, MATCH(K139, Helper!$E:$E, 0))</f>
        <v>#F5943C</v>
      </c>
      <c r="M139" s="45" t="s">
        <v>526</v>
      </c>
      <c r="N139" s="50" t="s">
        <v>614</v>
      </c>
      <c r="O139" s="46" t="s">
        <v>798</v>
      </c>
      <c r="P139" s="74" t="s">
        <v>1074</v>
      </c>
    </row>
    <row r="140" spans="1:16" ht="175.5">
      <c r="A140" s="44">
        <v>137</v>
      </c>
      <c r="B140" s="44">
        <v>1</v>
      </c>
      <c r="C140" s="44">
        <v>1</v>
      </c>
      <c r="D140" s="45" t="str">
        <f>INDEX(Helper!$N$2:$N$4, MATCH(C140, Helper!$M$2:$M$4, 0))</f>
        <v>Beginner</v>
      </c>
      <c r="E140" s="45" t="s">
        <v>38</v>
      </c>
      <c r="F140" s="45" t="s">
        <v>104</v>
      </c>
      <c r="G140" s="5">
        <v>1</v>
      </c>
      <c r="H140" s="44">
        <v>1</v>
      </c>
      <c r="I140" s="44" t="str">
        <f>INDEX(Helper!$C:$C, MATCH(H140, Helper!$A:$A, 0))</f>
        <v>Standard (EADGBE)</v>
      </c>
      <c r="J140" s="44" t="s">
        <v>393</v>
      </c>
      <c r="K140" s="59" t="s">
        <v>10</v>
      </c>
      <c r="L140" s="44" t="str">
        <f>INDEX(Helper!$F:$F, MATCH(K140, Helper!$E:$E, 0))</f>
        <v>#F5943C</v>
      </c>
      <c r="M140" s="45" t="s">
        <v>527</v>
      </c>
      <c r="N140" s="50" t="s">
        <v>614</v>
      </c>
      <c r="O140" s="45" t="s">
        <v>799</v>
      </c>
      <c r="P140" s="76" t="s">
        <v>1075</v>
      </c>
    </row>
    <row r="141" spans="1:16" ht="409.5">
      <c r="A141" s="44">
        <v>138</v>
      </c>
      <c r="B141" s="44">
        <v>1</v>
      </c>
      <c r="C141" s="44">
        <v>2</v>
      </c>
      <c r="D141" s="45" t="str">
        <f>INDEX(Helper!$N$2:$N$4, MATCH(C141, Helper!$M$2:$M$4, 0))</f>
        <v>Intermediate</v>
      </c>
      <c r="E141" s="45" t="s">
        <v>105</v>
      </c>
      <c r="F141" s="45" t="s">
        <v>106</v>
      </c>
      <c r="G141" s="5">
        <v>0</v>
      </c>
      <c r="H141" s="44">
        <v>2</v>
      </c>
      <c r="I141" s="44" t="str">
        <f>INDEX(Helper!$C:$C, MATCH(H141, Helper!$A:$A, 0))</f>
        <v>Drop D (DADGBE)</v>
      </c>
      <c r="J141" s="44" t="s">
        <v>626</v>
      </c>
      <c r="K141" s="71" t="s">
        <v>27</v>
      </c>
      <c r="L141" s="44" t="str">
        <f>INDEX(Helper!$F:$F, MATCH(K141, Helper!$E:$E, 0))</f>
        <v>#B2DB4B</v>
      </c>
      <c r="M141" s="45" t="s">
        <v>528</v>
      </c>
      <c r="N141" s="50" t="s">
        <v>614</v>
      </c>
      <c r="O141" s="45" t="s">
        <v>800</v>
      </c>
      <c r="P141" s="74" t="s">
        <v>1076</v>
      </c>
    </row>
    <row r="142" spans="1:16" ht="81">
      <c r="A142" s="44">
        <v>139</v>
      </c>
      <c r="B142" s="44">
        <v>1</v>
      </c>
      <c r="C142" s="44">
        <v>1</v>
      </c>
      <c r="D142" s="45" t="str">
        <f>INDEX(Helper!$N$2:$N$4, MATCH(C142, Helper!$M$2:$M$4, 0))</f>
        <v>Beginner</v>
      </c>
      <c r="E142" s="45" t="s">
        <v>105</v>
      </c>
      <c r="F142" s="45" t="s">
        <v>107</v>
      </c>
      <c r="G142" s="5">
        <v>1</v>
      </c>
      <c r="H142" s="44">
        <v>2</v>
      </c>
      <c r="I142" s="44" t="str">
        <f>INDEX(Helper!$C:$C, MATCH(H142, Helper!$A:$A, 0))</f>
        <v>Drop D (DADGBE)</v>
      </c>
      <c r="J142" s="44" t="s">
        <v>66</v>
      </c>
      <c r="K142" s="71" t="s">
        <v>27</v>
      </c>
      <c r="L142" s="44" t="str">
        <f>INDEX(Helper!$F:$F, MATCH(K142, Helper!$E:$E, 0))</f>
        <v>#B2DB4B</v>
      </c>
      <c r="M142" s="45" t="s">
        <v>529</v>
      </c>
      <c r="N142" s="50" t="s">
        <v>614</v>
      </c>
      <c r="O142" s="46" t="s">
        <v>801</v>
      </c>
      <c r="P142" s="74" t="s">
        <v>1077</v>
      </c>
    </row>
    <row r="143" spans="1:16" ht="81">
      <c r="A143" s="44">
        <v>140</v>
      </c>
      <c r="B143" s="44">
        <v>1</v>
      </c>
      <c r="C143" s="44">
        <v>1</v>
      </c>
      <c r="D143" s="45" t="str">
        <f>INDEX(Helper!$N$2:$N$4, MATCH(C143, Helper!$M$2:$M$4, 0))</f>
        <v>Beginner</v>
      </c>
      <c r="E143" s="45" t="s">
        <v>108</v>
      </c>
      <c r="F143" s="45" t="s">
        <v>109</v>
      </c>
      <c r="G143" s="5">
        <v>1</v>
      </c>
      <c r="H143" s="44">
        <v>2</v>
      </c>
      <c r="I143" s="44" t="str">
        <f>INDEX(Helper!$C:$C, MATCH(H143, Helper!$A:$A, 0))</f>
        <v>Drop D (DADGBE)</v>
      </c>
      <c r="J143" s="44" t="s">
        <v>68</v>
      </c>
      <c r="K143" s="71" t="s">
        <v>27</v>
      </c>
      <c r="L143" s="44" t="str">
        <f>INDEX(Helper!$F:$F, MATCH(K143, Helper!$E:$E, 0))</f>
        <v>#B2DB4B</v>
      </c>
      <c r="M143" s="45" t="s">
        <v>530</v>
      </c>
      <c r="N143" s="50" t="s">
        <v>614</v>
      </c>
      <c r="O143" s="46" t="s">
        <v>802</v>
      </c>
      <c r="P143" s="76" t="s">
        <v>1078</v>
      </c>
    </row>
    <row r="144" spans="1:16" ht="81">
      <c r="A144" s="44">
        <v>141</v>
      </c>
      <c r="B144" s="44">
        <v>1</v>
      </c>
      <c r="C144" s="44">
        <v>1</v>
      </c>
      <c r="D144" s="45" t="str">
        <f>INDEX(Helper!$N$2:$N$4, MATCH(C144, Helper!$M$2:$M$4, 0))</f>
        <v>Beginner</v>
      </c>
      <c r="E144" s="45" t="s">
        <v>110</v>
      </c>
      <c r="F144" s="45" t="s">
        <v>111</v>
      </c>
      <c r="G144" s="5">
        <v>0</v>
      </c>
      <c r="H144" s="44">
        <v>2</v>
      </c>
      <c r="I144" s="44" t="str">
        <f>INDEX(Helper!$C:$C, MATCH(H144, Helper!$A:$A, 0))</f>
        <v>Drop D (DADGBE)</v>
      </c>
      <c r="J144" s="44" t="s">
        <v>64</v>
      </c>
      <c r="K144" s="71" t="s">
        <v>27</v>
      </c>
      <c r="L144" s="44" t="str">
        <f>INDEX(Helper!$F:$F, MATCH(K144, Helper!$E:$E, 0))</f>
        <v>#B2DB4B</v>
      </c>
      <c r="M144" s="45" t="s">
        <v>531</v>
      </c>
      <c r="N144" s="50" t="s">
        <v>614</v>
      </c>
      <c r="O144" s="46" t="s">
        <v>803</v>
      </c>
      <c r="P144" s="74" t="s">
        <v>1079</v>
      </c>
    </row>
    <row r="145" spans="1:16" ht="81">
      <c r="A145" s="44">
        <v>142</v>
      </c>
      <c r="B145" s="44">
        <v>1</v>
      </c>
      <c r="C145" s="44">
        <v>1</v>
      </c>
      <c r="D145" s="45" t="str">
        <f>INDEX(Helper!$N$2:$N$4, MATCH(C145, Helper!$M$2:$M$4, 0))</f>
        <v>Beginner</v>
      </c>
      <c r="E145" s="45" t="s">
        <v>112</v>
      </c>
      <c r="F145" s="45" t="s">
        <v>113</v>
      </c>
      <c r="G145" s="5">
        <v>1</v>
      </c>
      <c r="H145" s="53">
        <v>1</v>
      </c>
      <c r="I145" s="44" t="str">
        <f>INDEX(Helper!$C:$C, MATCH(H145, Helper!$A:$A, 0))</f>
        <v>Standard (EADGBE)</v>
      </c>
      <c r="J145" s="44" t="s">
        <v>68</v>
      </c>
      <c r="K145" s="71" t="s">
        <v>27</v>
      </c>
      <c r="L145" s="44" t="str">
        <f>INDEX(Helper!$F:$F, MATCH(K145, Helper!$E:$E, 0))</f>
        <v>#B2DB4B</v>
      </c>
      <c r="M145" s="45" t="s">
        <v>532</v>
      </c>
      <c r="N145" s="50" t="s">
        <v>614</v>
      </c>
      <c r="O145" s="45" t="s">
        <v>804</v>
      </c>
      <c r="P145" s="74" t="s">
        <v>1080</v>
      </c>
    </row>
    <row r="146" spans="1:16" ht="81">
      <c r="A146" s="44">
        <v>143</v>
      </c>
      <c r="B146" s="44">
        <v>1</v>
      </c>
      <c r="C146" s="44">
        <v>1</v>
      </c>
      <c r="D146" s="45" t="str">
        <f>INDEX(Helper!$N$2:$N$4, MATCH(C146, Helper!$M$2:$M$4, 0))</f>
        <v>Beginner</v>
      </c>
      <c r="E146" s="45" t="s">
        <v>112</v>
      </c>
      <c r="F146" s="45" t="s">
        <v>114</v>
      </c>
      <c r="G146" s="5">
        <v>0</v>
      </c>
      <c r="H146" s="44">
        <v>1</v>
      </c>
      <c r="I146" s="44" t="str">
        <f>INDEX(Helper!$C:$C, MATCH(H146, Helper!$A:$A, 0))</f>
        <v>Standard (EADGBE)</v>
      </c>
      <c r="J146" s="44" t="s">
        <v>393</v>
      </c>
      <c r="K146" s="71" t="s">
        <v>27</v>
      </c>
      <c r="L146" s="44" t="str">
        <f>INDEX(Helper!$F:$F, MATCH(K146, Helper!$E:$E, 0))</f>
        <v>#B2DB4B</v>
      </c>
      <c r="M146" s="45" t="s">
        <v>533</v>
      </c>
      <c r="N146" s="50" t="s">
        <v>614</v>
      </c>
      <c r="O146" s="45" t="s">
        <v>805</v>
      </c>
      <c r="P146" s="74" t="s">
        <v>1081</v>
      </c>
    </row>
    <row r="147" spans="1:16" ht="175.5">
      <c r="A147" s="44">
        <v>144</v>
      </c>
      <c r="B147" s="44">
        <v>1</v>
      </c>
      <c r="C147" s="44">
        <v>1</v>
      </c>
      <c r="D147" s="45" t="str">
        <f>INDEX(Helper!$N$2:$N$4, MATCH(C147, Helper!$M$2:$M$4, 0))</f>
        <v>Beginner</v>
      </c>
      <c r="E147" s="45" t="s">
        <v>112</v>
      </c>
      <c r="F147" s="45" t="s">
        <v>115</v>
      </c>
      <c r="G147" s="5">
        <v>0</v>
      </c>
      <c r="H147" s="44">
        <v>1</v>
      </c>
      <c r="I147" s="44" t="str">
        <f>INDEX(Helper!$C:$C, MATCH(H147, Helper!$A:$A, 0))</f>
        <v>Standard (EADGBE)</v>
      </c>
      <c r="J147" s="44" t="s">
        <v>794</v>
      </c>
      <c r="K147" s="71" t="s">
        <v>27</v>
      </c>
      <c r="L147" s="44" t="str">
        <f>INDEX(Helper!$F:$F, MATCH(K147, Helper!$E:$E, 0))</f>
        <v>#B2DB4B</v>
      </c>
      <c r="M147" s="45" t="s">
        <v>534</v>
      </c>
      <c r="N147" s="50" t="s">
        <v>614</v>
      </c>
      <c r="O147" s="46" t="s">
        <v>806</v>
      </c>
      <c r="P147" s="74" t="s">
        <v>1082</v>
      </c>
    </row>
    <row r="148" spans="1:16" ht="175.5">
      <c r="A148" s="44">
        <v>145</v>
      </c>
      <c r="B148" s="44">
        <v>1</v>
      </c>
      <c r="C148" s="44">
        <v>2</v>
      </c>
      <c r="D148" s="45" t="str">
        <f>INDEX(Helper!$N$2:$N$4, MATCH(C148, Helper!$M$2:$M$4, 0))</f>
        <v>Intermediate</v>
      </c>
      <c r="E148" s="45" t="s">
        <v>116</v>
      </c>
      <c r="F148" s="45" t="s">
        <v>117</v>
      </c>
      <c r="G148" s="5">
        <v>1</v>
      </c>
      <c r="H148" s="44">
        <v>1</v>
      </c>
      <c r="I148" s="44" t="str">
        <f>INDEX(Helper!$C:$C, MATCH(H148, Helper!$A:$A, 0))</f>
        <v>Standard (EADGBE)</v>
      </c>
      <c r="J148" s="44" t="s">
        <v>65</v>
      </c>
      <c r="K148" s="63" t="s">
        <v>19</v>
      </c>
      <c r="L148" s="44" t="str">
        <f>INDEX(Helper!$F:$F, MATCH(K148, Helper!$E:$E, 0))</f>
        <v>#FFDD21</v>
      </c>
      <c r="M148" s="45" t="s">
        <v>807</v>
      </c>
      <c r="N148" s="50" t="s">
        <v>614</v>
      </c>
      <c r="O148" s="45" t="s">
        <v>808</v>
      </c>
      <c r="P148" s="74" t="s">
        <v>1083</v>
      </c>
    </row>
    <row r="149" spans="1:16" ht="175.5">
      <c r="A149" s="44">
        <v>146</v>
      </c>
      <c r="B149" s="44">
        <v>1</v>
      </c>
      <c r="C149" s="44">
        <v>1</v>
      </c>
      <c r="D149" s="45" t="str">
        <f>INDEX(Helper!$N$2:$N$4, MATCH(C149, Helper!$M$2:$M$4, 0))</f>
        <v>Beginner</v>
      </c>
      <c r="E149" s="45" t="s">
        <v>118</v>
      </c>
      <c r="F149" s="45" t="s">
        <v>119</v>
      </c>
      <c r="G149" s="5">
        <v>1</v>
      </c>
      <c r="H149" s="44">
        <v>1</v>
      </c>
      <c r="I149" s="44" t="str">
        <f>INDEX(Helper!$C:$C, MATCH(H149, Helper!$A:$A, 0))</f>
        <v>Standard (EADGBE)</v>
      </c>
      <c r="J149" s="44" t="s">
        <v>626</v>
      </c>
      <c r="K149" s="61" t="s">
        <v>11</v>
      </c>
      <c r="L149" s="44" t="str">
        <f>INDEX(Helper!$F:$F, MATCH(K149, Helper!$E:$E, 0))</f>
        <v>#E8AD1D</v>
      </c>
      <c r="M149" s="45" t="s">
        <v>535</v>
      </c>
      <c r="N149" s="50" t="s">
        <v>614</v>
      </c>
      <c r="O149" s="46" t="s">
        <v>809</v>
      </c>
      <c r="P149" s="74" t="s">
        <v>1084</v>
      </c>
    </row>
    <row r="150" spans="1:16" ht="81">
      <c r="A150" s="44">
        <v>147</v>
      </c>
      <c r="B150" s="44">
        <v>1</v>
      </c>
      <c r="C150" s="44">
        <v>1</v>
      </c>
      <c r="D150" s="45" t="str">
        <f>INDEX(Helper!$N$2:$N$4, MATCH(C150, Helper!$M$2:$M$4, 0))</f>
        <v>Beginner</v>
      </c>
      <c r="E150" s="45" t="s">
        <v>118</v>
      </c>
      <c r="F150" s="45" t="s">
        <v>120</v>
      </c>
      <c r="G150" s="5">
        <v>1</v>
      </c>
      <c r="H150" s="44">
        <v>3</v>
      </c>
      <c r="I150" s="44" t="str">
        <f>INDEX(Helper!$C:$C, MATCH(H150, Helper!$A:$A, 0))</f>
        <v>Half Step Down (D#G#C#F#A#D#)</v>
      </c>
      <c r="J150" s="44" t="s">
        <v>70</v>
      </c>
      <c r="K150" s="61" t="s">
        <v>11</v>
      </c>
      <c r="L150" s="44" t="str">
        <f>INDEX(Helper!$F:$F, MATCH(K150, Helper!$E:$E, 0))</f>
        <v>#E8AD1D</v>
      </c>
      <c r="M150" s="45" t="s">
        <v>536</v>
      </c>
      <c r="N150" s="50" t="s">
        <v>614</v>
      </c>
      <c r="O150" s="45" t="s">
        <v>810</v>
      </c>
      <c r="P150" s="76" t="s">
        <v>1085</v>
      </c>
    </row>
    <row r="151" spans="1:16" ht="175.5">
      <c r="A151" s="44">
        <v>148</v>
      </c>
      <c r="B151" s="44">
        <v>1</v>
      </c>
      <c r="C151" s="44">
        <v>1</v>
      </c>
      <c r="D151" s="45" t="str">
        <f>INDEX(Helper!$N$2:$N$4, MATCH(C151, Helper!$M$2:$M$4, 0))</f>
        <v>Beginner</v>
      </c>
      <c r="E151" s="45" t="s">
        <v>121</v>
      </c>
      <c r="F151" s="45" t="s">
        <v>122</v>
      </c>
      <c r="G151" s="5">
        <v>1</v>
      </c>
      <c r="H151" s="44">
        <v>3</v>
      </c>
      <c r="I151" s="44" t="str">
        <f>INDEX(Helper!$C:$C, MATCH(H151, Helper!$A:$A, 0))</f>
        <v>Half Step Down (D#G#C#F#A#D#)</v>
      </c>
      <c r="J151" s="44" t="s">
        <v>64</v>
      </c>
      <c r="K151" s="59" t="s">
        <v>10</v>
      </c>
      <c r="L151" s="44" t="str">
        <f>INDEX(Helper!$F:$F, MATCH(K151, Helper!$E:$E, 0))</f>
        <v>#F5943C</v>
      </c>
      <c r="M151" s="45" t="s">
        <v>537</v>
      </c>
      <c r="N151" s="50" t="s">
        <v>614</v>
      </c>
      <c r="O151" s="45" t="s">
        <v>811</v>
      </c>
      <c r="P151" s="74" t="s">
        <v>1086</v>
      </c>
    </row>
    <row r="152" spans="1:16" ht="81">
      <c r="A152" s="44">
        <v>149</v>
      </c>
      <c r="B152" s="44">
        <v>1</v>
      </c>
      <c r="C152" s="44">
        <v>1</v>
      </c>
      <c r="D152" s="45" t="str">
        <f>INDEX(Helper!$N$2:$N$4, MATCH(C152, Helper!$M$2:$M$4, 0))</f>
        <v>Beginner</v>
      </c>
      <c r="E152" s="45" t="s">
        <v>123</v>
      </c>
      <c r="F152" s="45" t="s">
        <v>124</v>
      </c>
      <c r="G152" s="5">
        <v>1</v>
      </c>
      <c r="H152" s="44">
        <v>1</v>
      </c>
      <c r="I152" s="44" t="str">
        <f>INDEX(Helper!$C:$C, MATCH(H152, Helper!$A:$A, 0))</f>
        <v>Standard (EADGBE)</v>
      </c>
      <c r="J152" s="44" t="s">
        <v>626</v>
      </c>
      <c r="K152" s="65" t="s">
        <v>13</v>
      </c>
      <c r="L152" s="44" t="str">
        <f>INDEX(Helper!$F:$F, MATCH(K152, Helper!$E:$E, 0))</f>
        <v>#FF4F53</v>
      </c>
      <c r="M152" s="45" t="s">
        <v>538</v>
      </c>
      <c r="N152" s="50" t="s">
        <v>614</v>
      </c>
      <c r="O152" s="45" t="s">
        <v>812</v>
      </c>
      <c r="P152" s="74" t="s">
        <v>1087</v>
      </c>
    </row>
    <row r="153" spans="1:16" ht="81">
      <c r="A153" s="44">
        <v>150</v>
      </c>
      <c r="B153" s="44">
        <v>1</v>
      </c>
      <c r="C153" s="44">
        <v>1</v>
      </c>
      <c r="D153" s="45" t="str">
        <f>INDEX(Helper!$N$2:$N$4, MATCH(C153, Helper!$M$2:$M$4, 0))</f>
        <v>Beginner</v>
      </c>
      <c r="E153" s="45" t="s">
        <v>125</v>
      </c>
      <c r="F153" s="45" t="s">
        <v>126</v>
      </c>
      <c r="G153" s="5">
        <v>0</v>
      </c>
      <c r="H153" s="44">
        <v>1</v>
      </c>
      <c r="I153" s="44" t="str">
        <f>INDEX(Helper!$C:$C, MATCH(H153, Helper!$A:$A, 0))</f>
        <v>Standard (EADGBE)</v>
      </c>
      <c r="J153" s="44" t="s">
        <v>59</v>
      </c>
      <c r="K153" s="65" t="s">
        <v>13</v>
      </c>
      <c r="L153" s="44" t="str">
        <f>INDEX(Helper!$F:$F, MATCH(K153, Helper!$E:$E, 0))</f>
        <v>#FF4F53</v>
      </c>
      <c r="M153" s="45" t="s">
        <v>539</v>
      </c>
      <c r="N153" s="50" t="s">
        <v>614</v>
      </c>
      <c r="O153" s="45" t="s">
        <v>813</v>
      </c>
      <c r="P153" s="74" t="s">
        <v>1088</v>
      </c>
    </row>
    <row r="154" spans="1:16" ht="409.5">
      <c r="A154" s="44">
        <v>151</v>
      </c>
      <c r="B154" s="44">
        <v>1</v>
      </c>
      <c r="C154" s="44">
        <v>2</v>
      </c>
      <c r="D154" s="45" t="str">
        <f>INDEX(Helper!$N$2:$N$4, MATCH(C154, Helper!$M$2:$M$4, 0))</f>
        <v>Intermediate</v>
      </c>
      <c r="E154" s="45" t="s">
        <v>127</v>
      </c>
      <c r="F154" s="45" t="s">
        <v>128</v>
      </c>
      <c r="G154" s="5">
        <v>0</v>
      </c>
      <c r="H154" s="44">
        <v>2</v>
      </c>
      <c r="I154" s="44" t="str">
        <f>INDEX(Helper!$C:$C, MATCH(H154, Helper!$A:$A, 0))</f>
        <v>Drop D (DADGBE)</v>
      </c>
      <c r="J154" s="44" t="s">
        <v>61</v>
      </c>
      <c r="K154" s="59" t="s">
        <v>10</v>
      </c>
      <c r="L154" s="44" t="str">
        <f>INDEX(Helper!$F:$F, MATCH(K154, Helper!$E:$E, 0))</f>
        <v>#F5943C</v>
      </c>
      <c r="M154" s="45" t="s">
        <v>540</v>
      </c>
      <c r="N154" s="50" t="s">
        <v>614</v>
      </c>
      <c r="O154" s="46" t="s">
        <v>814</v>
      </c>
      <c r="P154" s="74" t="s">
        <v>1089</v>
      </c>
    </row>
    <row r="155" spans="1:16" ht="175.5">
      <c r="A155" s="44">
        <v>152</v>
      </c>
      <c r="B155" s="44">
        <v>1</v>
      </c>
      <c r="C155" s="44">
        <v>3</v>
      </c>
      <c r="D155" s="45" t="str">
        <f>INDEX(Helper!$N$2:$N$4, MATCH(C155, Helper!$M$2:$M$4, 0))</f>
        <v>Advanced</v>
      </c>
      <c r="E155" s="45" t="s">
        <v>129</v>
      </c>
      <c r="F155" s="45" t="s">
        <v>130</v>
      </c>
      <c r="G155" s="5">
        <v>0</v>
      </c>
      <c r="H155" s="44">
        <v>3</v>
      </c>
      <c r="I155" s="44" t="str">
        <f>INDEX(Helper!$C:$C, MATCH(H155, Helper!$A:$A, 0))</f>
        <v>Half Step Down (D#G#C#F#A#D#)</v>
      </c>
      <c r="J155" s="44" t="s">
        <v>623</v>
      </c>
      <c r="K155" s="71" t="s">
        <v>27</v>
      </c>
      <c r="L155" s="44" t="str">
        <f>INDEX(Helper!$F:$F, MATCH(K155, Helper!$E:$E, 0))</f>
        <v>#B2DB4B</v>
      </c>
      <c r="M155" s="45" t="s">
        <v>541</v>
      </c>
      <c r="N155" s="50" t="s">
        <v>614</v>
      </c>
      <c r="O155" s="46" t="s">
        <v>815</v>
      </c>
      <c r="P155" s="74" t="s">
        <v>1090</v>
      </c>
    </row>
    <row r="156" spans="1:16" ht="81">
      <c r="A156" s="44">
        <v>153</v>
      </c>
      <c r="B156" s="44">
        <v>1</v>
      </c>
      <c r="C156" s="44">
        <v>1</v>
      </c>
      <c r="D156" s="45" t="str">
        <f>INDEX(Helper!$N$2:$N$4, MATCH(C156, Helper!$M$2:$M$4, 0))</f>
        <v>Beginner</v>
      </c>
      <c r="E156" s="45" t="s">
        <v>129</v>
      </c>
      <c r="F156" s="45" t="s">
        <v>131</v>
      </c>
      <c r="G156" s="5">
        <v>1</v>
      </c>
      <c r="H156" s="44">
        <v>3</v>
      </c>
      <c r="I156" s="44" t="str">
        <f>INDEX(Helper!$C:$C, MATCH(H156, Helper!$A:$A, 0))</f>
        <v>Half Step Down (D#G#C#F#A#D#)</v>
      </c>
      <c r="J156" s="44" t="s">
        <v>60</v>
      </c>
      <c r="K156" s="71" t="s">
        <v>27</v>
      </c>
      <c r="L156" s="44" t="str">
        <f>INDEX(Helper!$F:$F, MATCH(K156, Helper!$E:$E, 0))</f>
        <v>#B2DB4B</v>
      </c>
      <c r="M156" s="45" t="s">
        <v>542</v>
      </c>
      <c r="N156" s="50" t="s">
        <v>614</v>
      </c>
      <c r="O156" s="45" t="s">
        <v>816</v>
      </c>
      <c r="P156" s="74" t="s">
        <v>1091</v>
      </c>
    </row>
    <row r="157" spans="1:16" ht="81">
      <c r="A157" s="44">
        <v>154</v>
      </c>
      <c r="B157" s="44">
        <v>1</v>
      </c>
      <c r="C157" s="44">
        <v>1</v>
      </c>
      <c r="D157" s="45" t="str">
        <f>INDEX(Helper!$N$2:$N$4, MATCH(C157, Helper!$M$2:$M$4, 0))</f>
        <v>Beginner</v>
      </c>
      <c r="E157" s="45" t="s">
        <v>132</v>
      </c>
      <c r="F157" s="45" t="s">
        <v>133</v>
      </c>
      <c r="G157" s="5">
        <v>1</v>
      </c>
      <c r="H157" s="44">
        <v>2</v>
      </c>
      <c r="I157" s="44" t="str">
        <f>INDEX(Helper!$C:$C, MATCH(H157, Helper!$A:$A, 0))</f>
        <v>Drop D (DADGBE)</v>
      </c>
      <c r="J157" s="44" t="s">
        <v>626</v>
      </c>
      <c r="K157" s="65" t="s">
        <v>13</v>
      </c>
      <c r="L157" s="44" t="str">
        <f>INDEX(Helper!$F:$F, MATCH(K157, Helper!$E:$E, 0))</f>
        <v>#FF4F53</v>
      </c>
      <c r="M157" s="45" t="s">
        <v>543</v>
      </c>
      <c r="N157" s="50" t="s">
        <v>614</v>
      </c>
      <c r="O157" s="46" t="s">
        <v>817</v>
      </c>
      <c r="P157" s="74" t="s">
        <v>1092</v>
      </c>
    </row>
    <row r="158" spans="1:16" ht="81">
      <c r="A158" s="44">
        <v>155</v>
      </c>
      <c r="B158" s="44">
        <v>1</v>
      </c>
      <c r="C158" s="44">
        <v>1</v>
      </c>
      <c r="D158" s="45" t="str">
        <f>INDEX(Helper!$N$2:$N$4, MATCH(C158, Helper!$M$2:$M$4, 0))</f>
        <v>Beginner</v>
      </c>
      <c r="E158" s="45" t="s">
        <v>134</v>
      </c>
      <c r="F158" s="45" t="s">
        <v>135</v>
      </c>
      <c r="G158" s="5">
        <v>0</v>
      </c>
      <c r="H158" s="44">
        <v>1</v>
      </c>
      <c r="I158" s="44" t="str">
        <f>INDEX(Helper!$C:$C, MATCH(H158, Helper!$A:$A, 0))</f>
        <v>Standard (EADGBE)</v>
      </c>
      <c r="J158" s="44" t="s">
        <v>626</v>
      </c>
      <c r="K158" s="59" t="s">
        <v>10</v>
      </c>
      <c r="L158" s="44" t="str">
        <f>INDEX(Helper!$F:$F, MATCH(K158, Helper!$E:$E, 0))</f>
        <v>#F5943C</v>
      </c>
      <c r="M158" s="45" t="s">
        <v>544</v>
      </c>
      <c r="N158" s="50" t="s">
        <v>639</v>
      </c>
      <c r="O158" s="46" t="s">
        <v>819</v>
      </c>
      <c r="P158" s="74" t="s">
        <v>1093</v>
      </c>
    </row>
    <row r="159" spans="1:16" ht="81">
      <c r="A159" s="44">
        <v>156</v>
      </c>
      <c r="B159" s="44">
        <v>1</v>
      </c>
      <c r="C159" s="44">
        <v>1</v>
      </c>
      <c r="D159" s="45" t="str">
        <f>INDEX(Helper!$N$2:$N$4, MATCH(C159, Helper!$M$2:$M$4, 0))</f>
        <v>Beginner</v>
      </c>
      <c r="E159" s="45" t="s">
        <v>136</v>
      </c>
      <c r="F159" s="45" t="s">
        <v>137</v>
      </c>
      <c r="G159" s="5">
        <v>1</v>
      </c>
      <c r="H159" s="44">
        <v>1</v>
      </c>
      <c r="I159" s="44" t="str">
        <f>INDEX(Helper!$C:$C, MATCH(H159, Helper!$A:$A, 0))</f>
        <v>Standard (EADGBE)</v>
      </c>
      <c r="J159" s="44" t="s">
        <v>626</v>
      </c>
      <c r="K159" s="70" t="s">
        <v>372</v>
      </c>
      <c r="L159" s="44" t="str">
        <f>INDEX(Helper!$F:$F, MATCH(K159, Helper!$E:$E, 0))</f>
        <v>#C476D4</v>
      </c>
      <c r="M159" s="45" t="s">
        <v>545</v>
      </c>
      <c r="N159" s="50" t="s">
        <v>614</v>
      </c>
      <c r="O159" s="46" t="s">
        <v>818</v>
      </c>
      <c r="P159" s="74" t="s">
        <v>1094</v>
      </c>
    </row>
    <row r="160" spans="1:16" ht="175.5">
      <c r="A160" s="44">
        <v>157</v>
      </c>
      <c r="B160" s="44">
        <v>1</v>
      </c>
      <c r="C160" s="44">
        <v>1</v>
      </c>
      <c r="D160" s="45" t="str">
        <f>INDEX(Helper!$N$2:$N$4, MATCH(C160, Helper!$M$2:$M$4, 0))</f>
        <v>Beginner</v>
      </c>
      <c r="E160" s="45" t="s">
        <v>138</v>
      </c>
      <c r="F160" s="45" t="s">
        <v>139</v>
      </c>
      <c r="G160" s="5">
        <v>1</v>
      </c>
      <c r="H160" s="44">
        <v>1</v>
      </c>
      <c r="I160" s="44" t="str">
        <f>INDEX(Helper!$C:$C, MATCH(H160, Helper!$A:$A, 0))</f>
        <v>Standard (EADGBE)</v>
      </c>
      <c r="J160" s="44" t="s">
        <v>626</v>
      </c>
      <c r="K160" s="67" t="s">
        <v>12</v>
      </c>
      <c r="L160" s="44" t="str">
        <f>INDEX(Helper!$F:$F, MATCH(K160, Helper!$E:$E, 0))</f>
        <v>#FFE129</v>
      </c>
      <c r="M160" s="45" t="s">
        <v>546</v>
      </c>
      <c r="N160" s="50" t="s">
        <v>614</v>
      </c>
      <c r="O160" s="45" t="s">
        <v>820</v>
      </c>
      <c r="P160" s="74" t="s">
        <v>1095</v>
      </c>
    </row>
    <row r="161" spans="1:16" ht="81">
      <c r="A161" s="44">
        <v>158</v>
      </c>
      <c r="B161" s="44">
        <v>1</v>
      </c>
      <c r="C161" s="44">
        <v>1</v>
      </c>
      <c r="D161" s="45" t="str">
        <f>INDEX(Helper!$N$2:$N$4, MATCH(C161, Helper!$M$2:$M$4, 0))</f>
        <v>Beginner</v>
      </c>
      <c r="E161" s="45" t="s">
        <v>140</v>
      </c>
      <c r="F161" s="45" t="s">
        <v>141</v>
      </c>
      <c r="G161" s="5">
        <v>0</v>
      </c>
      <c r="H161" s="44">
        <v>1</v>
      </c>
      <c r="I161" s="44" t="str">
        <f>INDEX(Helper!$C:$C, MATCH(H161, Helper!$A:$A, 0))</f>
        <v>Standard (EADGBE)</v>
      </c>
      <c r="J161" s="44" t="s">
        <v>794</v>
      </c>
      <c r="K161" s="70" t="s">
        <v>372</v>
      </c>
      <c r="L161" s="44" t="str">
        <f>INDEX(Helper!$F:$F, MATCH(K161, Helper!$E:$E, 0))</f>
        <v>#C476D4</v>
      </c>
      <c r="M161" s="45" t="s">
        <v>547</v>
      </c>
      <c r="N161" s="50" t="s">
        <v>614</v>
      </c>
      <c r="O161" s="46" t="s">
        <v>821</v>
      </c>
      <c r="P161" s="74" t="s">
        <v>1096</v>
      </c>
    </row>
    <row r="162" spans="1:16" ht="175.5">
      <c r="A162" s="44">
        <v>159</v>
      </c>
      <c r="B162" s="44">
        <v>1</v>
      </c>
      <c r="C162" s="44">
        <v>1</v>
      </c>
      <c r="D162" s="45" t="str">
        <f>INDEX(Helper!$N$2:$N$4, MATCH(C162, Helper!$M$2:$M$4, 0))</f>
        <v>Beginner</v>
      </c>
      <c r="E162" s="45" t="s">
        <v>142</v>
      </c>
      <c r="F162" s="45" t="s">
        <v>143</v>
      </c>
      <c r="G162" s="5">
        <v>0</v>
      </c>
      <c r="H162" s="44">
        <v>1</v>
      </c>
      <c r="I162" s="44" t="str">
        <f>INDEX(Helper!$C:$C, MATCH(H162, Helper!$A:$A, 0))</f>
        <v>Standard (EADGBE)</v>
      </c>
      <c r="J162" s="44" t="s">
        <v>61</v>
      </c>
      <c r="K162" s="61" t="s">
        <v>11</v>
      </c>
      <c r="L162" s="44" t="str">
        <f>INDEX(Helper!$F:$F, MATCH(K162, Helper!$E:$E, 0))</f>
        <v>#E8AD1D</v>
      </c>
      <c r="M162" s="45" t="s">
        <v>548</v>
      </c>
      <c r="N162" s="50" t="s">
        <v>614</v>
      </c>
      <c r="O162" s="46" t="s">
        <v>822</v>
      </c>
      <c r="P162" s="79" t="s">
        <v>1097</v>
      </c>
    </row>
    <row r="163" spans="1:16" ht="175.5">
      <c r="A163" s="44">
        <v>160</v>
      </c>
      <c r="B163" s="44">
        <v>1</v>
      </c>
      <c r="C163" s="44">
        <v>1</v>
      </c>
      <c r="D163" s="45" t="str">
        <f>INDEX(Helper!$N$2:$N$4, MATCH(C163, Helper!$M$2:$M$4, 0))</f>
        <v>Beginner</v>
      </c>
      <c r="E163" s="45" t="s">
        <v>144</v>
      </c>
      <c r="F163" s="45" t="s">
        <v>145</v>
      </c>
      <c r="G163" s="5">
        <v>0</v>
      </c>
      <c r="H163" s="53">
        <v>1</v>
      </c>
      <c r="I163" s="44" t="str">
        <f>INDEX(Helper!$C:$C, MATCH(H163, Helper!$A:$A, 0))</f>
        <v>Standard (EADGBE)</v>
      </c>
      <c r="J163" s="44" t="s">
        <v>59</v>
      </c>
      <c r="K163" s="64" t="s">
        <v>15</v>
      </c>
      <c r="L163" s="44" t="str">
        <f>INDEX(Helper!$F:$F, MATCH(K163, Helper!$E:$E, 0))</f>
        <v>#C2C2A1</v>
      </c>
      <c r="M163" s="45" t="s">
        <v>549</v>
      </c>
      <c r="N163" s="50" t="s">
        <v>614</v>
      </c>
      <c r="O163" s="45" t="s">
        <v>823</v>
      </c>
      <c r="P163" s="74" t="s">
        <v>1098</v>
      </c>
    </row>
    <row r="164" spans="1:16" ht="175.5">
      <c r="A164" s="44">
        <v>161</v>
      </c>
      <c r="B164" s="44">
        <v>1</v>
      </c>
      <c r="C164" s="44">
        <v>1</v>
      </c>
      <c r="D164" s="45" t="str">
        <f>INDEX(Helper!$N$2:$N$4, MATCH(C164, Helper!$M$2:$M$4, 0))</f>
        <v>Beginner</v>
      </c>
      <c r="E164" s="45" t="s">
        <v>146</v>
      </c>
      <c r="F164" s="45" t="s">
        <v>147</v>
      </c>
      <c r="G164" s="5">
        <v>0</v>
      </c>
      <c r="H164" s="44">
        <v>1</v>
      </c>
      <c r="I164" s="44" t="str">
        <f>INDEX(Helper!$C:$C, MATCH(H164, Helper!$A:$A, 0))</f>
        <v>Standard (EADGBE)</v>
      </c>
      <c r="J164" s="44" t="s">
        <v>61</v>
      </c>
      <c r="K164" s="65" t="s">
        <v>13</v>
      </c>
      <c r="L164" s="44" t="str">
        <f>INDEX(Helper!$F:$F, MATCH(K164, Helper!$E:$E, 0))</f>
        <v>#FF4F53</v>
      </c>
      <c r="M164" s="45" t="s">
        <v>550</v>
      </c>
      <c r="N164" s="50" t="s">
        <v>614</v>
      </c>
      <c r="O164" s="46" t="s">
        <v>824</v>
      </c>
      <c r="P164" s="74" t="s">
        <v>1099</v>
      </c>
    </row>
    <row r="165" spans="1:16" ht="175.5">
      <c r="A165" s="44">
        <v>162</v>
      </c>
      <c r="B165" s="44">
        <v>1</v>
      </c>
      <c r="C165" s="44">
        <v>1</v>
      </c>
      <c r="D165" s="45" t="str">
        <f>INDEX(Helper!$N$2:$N$4, MATCH(C165, Helper!$M$2:$M$4, 0))</f>
        <v>Beginner</v>
      </c>
      <c r="E165" s="45" t="s">
        <v>148</v>
      </c>
      <c r="F165" s="45" t="s">
        <v>149</v>
      </c>
      <c r="G165" s="5">
        <v>0</v>
      </c>
      <c r="H165" s="44">
        <v>9</v>
      </c>
      <c r="I165" s="44" t="str">
        <f>INDEX(Helper!$C:$C, MATCH(H165, Helper!$A:$A, 0))</f>
        <v>C#G#C#F#A#D#</v>
      </c>
      <c r="J165" s="44" t="s">
        <v>393</v>
      </c>
      <c r="K165" s="64" t="s">
        <v>15</v>
      </c>
      <c r="L165" s="44" t="str">
        <f>INDEX(Helper!$F:$F, MATCH(K165, Helper!$E:$E, 0))</f>
        <v>#C2C2A1</v>
      </c>
      <c r="M165" s="45" t="s">
        <v>551</v>
      </c>
      <c r="N165" s="50" t="s">
        <v>614</v>
      </c>
      <c r="O165" s="45" t="s">
        <v>825</v>
      </c>
      <c r="P165" s="74" t="s">
        <v>1100</v>
      </c>
    </row>
    <row r="166" spans="1:16" ht="81">
      <c r="A166" s="44">
        <v>163</v>
      </c>
      <c r="B166" s="44">
        <v>1</v>
      </c>
      <c r="C166" s="44">
        <v>1</v>
      </c>
      <c r="D166" s="45" t="str">
        <f>INDEX(Helper!$N$2:$N$4, MATCH(C166, Helper!$M$2:$M$4, 0))</f>
        <v>Beginner</v>
      </c>
      <c r="E166" s="45" t="s">
        <v>148</v>
      </c>
      <c r="F166" s="45" t="s">
        <v>150</v>
      </c>
      <c r="G166" s="5">
        <v>1</v>
      </c>
      <c r="H166" s="44">
        <v>9</v>
      </c>
      <c r="I166" s="44" t="str">
        <f>INDEX(Helper!$C:$C, MATCH(H166, Helper!$A:$A, 0))</f>
        <v>C#G#C#F#A#D#</v>
      </c>
      <c r="J166" s="44" t="s">
        <v>63</v>
      </c>
      <c r="K166" s="64" t="s">
        <v>15</v>
      </c>
      <c r="L166" s="44" t="str">
        <f>INDEX(Helper!$F:$F, MATCH(K166, Helper!$E:$E, 0))</f>
        <v>#C2C2A1</v>
      </c>
      <c r="M166" s="45" t="s">
        <v>552</v>
      </c>
      <c r="N166" s="50" t="s">
        <v>614</v>
      </c>
      <c r="O166" s="45" t="s">
        <v>827</v>
      </c>
      <c r="P166" s="74" t="s">
        <v>1101</v>
      </c>
    </row>
    <row r="167" spans="1:16" ht="81">
      <c r="A167" s="44">
        <v>164</v>
      </c>
      <c r="B167" s="44">
        <v>1</v>
      </c>
      <c r="C167" s="44">
        <v>1</v>
      </c>
      <c r="D167" s="45" t="str">
        <f>INDEX(Helper!$N$2:$N$4, MATCH(C167, Helper!$M$2:$M$4, 0))</f>
        <v>Beginner</v>
      </c>
      <c r="E167" s="45" t="s">
        <v>151</v>
      </c>
      <c r="F167" s="45" t="s">
        <v>152</v>
      </c>
      <c r="G167" s="5">
        <v>1</v>
      </c>
      <c r="H167" s="44">
        <v>1</v>
      </c>
      <c r="I167" s="44" t="str">
        <f>INDEX(Helper!$C:$C, MATCH(H167, Helper!$A:$A, 0))</f>
        <v>Standard (EADGBE)</v>
      </c>
      <c r="J167" s="44" t="s">
        <v>393</v>
      </c>
      <c r="K167" s="61" t="s">
        <v>11</v>
      </c>
      <c r="L167" s="44" t="str">
        <f>INDEX(Helper!$F:$F, MATCH(K167, Helper!$E:$E, 0))</f>
        <v>#E8AD1D</v>
      </c>
      <c r="M167" s="45" t="s">
        <v>553</v>
      </c>
      <c r="N167" s="45" t="s">
        <v>639</v>
      </c>
      <c r="O167" s="45" t="s">
        <v>829</v>
      </c>
      <c r="P167" s="74" t="s">
        <v>1102</v>
      </c>
    </row>
    <row r="168" spans="1:16" ht="364.5">
      <c r="A168" s="44">
        <v>165</v>
      </c>
      <c r="B168" s="44">
        <v>1</v>
      </c>
      <c r="C168" s="44">
        <v>1</v>
      </c>
      <c r="D168" s="45" t="str">
        <f>INDEX(Helper!$N$2:$N$4, MATCH(C168, Helper!$M$2:$M$4, 0))</f>
        <v>Beginner</v>
      </c>
      <c r="E168" s="45" t="s">
        <v>81</v>
      </c>
      <c r="F168" s="45" t="s">
        <v>153</v>
      </c>
      <c r="G168" s="5">
        <v>0</v>
      </c>
      <c r="H168" s="44">
        <v>10</v>
      </c>
      <c r="I168" s="44" t="str">
        <f>INDEX(Helper!$C:$C, MATCH(H168, Helper!$A:$A, 0))</f>
        <v>(EABGBD#)</v>
      </c>
      <c r="J168" s="44" t="s">
        <v>60</v>
      </c>
      <c r="K168" s="65" t="s">
        <v>13</v>
      </c>
      <c r="L168" s="44" t="str">
        <f>INDEX(Helper!$F:$F, MATCH(K168, Helper!$E:$E, 0))</f>
        <v>#FF4F53</v>
      </c>
      <c r="M168" s="45" t="s">
        <v>554</v>
      </c>
      <c r="N168" s="45" t="s">
        <v>614</v>
      </c>
      <c r="O168" s="45" t="s">
        <v>830</v>
      </c>
      <c r="P168" s="74" t="s">
        <v>1103</v>
      </c>
    </row>
    <row r="169" spans="1:16" ht="175.5">
      <c r="A169" s="44">
        <v>166</v>
      </c>
      <c r="B169" s="44">
        <v>1</v>
      </c>
      <c r="C169" s="44">
        <v>1</v>
      </c>
      <c r="D169" s="45" t="str">
        <f>INDEX(Helper!$N$2:$N$4, MATCH(C169, Helper!$M$2:$M$4, 0))</f>
        <v>Beginner</v>
      </c>
      <c r="E169" s="45" t="s">
        <v>81</v>
      </c>
      <c r="F169" s="45" t="s">
        <v>154</v>
      </c>
      <c r="G169" s="5">
        <v>1</v>
      </c>
      <c r="H169" s="44">
        <v>1</v>
      </c>
      <c r="I169" s="44" t="str">
        <f>INDEX(Helper!$C:$C, MATCH(H169, Helper!$A:$A, 0))</f>
        <v>Standard (EADGBE)</v>
      </c>
      <c r="J169" s="44" t="s">
        <v>63</v>
      </c>
      <c r="K169" s="65" t="s">
        <v>13</v>
      </c>
      <c r="L169" s="44" t="str">
        <f>INDEX(Helper!$F:$F, MATCH(K169, Helper!$E:$E, 0))</f>
        <v>#FF4F53</v>
      </c>
      <c r="M169" s="45" t="s">
        <v>555</v>
      </c>
      <c r="N169" s="45" t="s">
        <v>614</v>
      </c>
      <c r="O169" s="45" t="s">
        <v>832</v>
      </c>
      <c r="P169" s="74" t="s">
        <v>1104</v>
      </c>
    </row>
    <row r="170" spans="1:16" ht="175.5">
      <c r="A170" s="44">
        <v>167</v>
      </c>
      <c r="B170" s="44">
        <v>1</v>
      </c>
      <c r="C170" s="44">
        <v>1</v>
      </c>
      <c r="D170" s="45" t="str">
        <f>INDEX(Helper!$N$2:$N$4, MATCH(C170, Helper!$M$2:$M$4, 0))</f>
        <v>Beginner</v>
      </c>
      <c r="E170" s="45" t="s">
        <v>81</v>
      </c>
      <c r="F170" s="45" t="s">
        <v>82</v>
      </c>
      <c r="G170" s="5">
        <v>1</v>
      </c>
      <c r="H170" s="44">
        <v>1</v>
      </c>
      <c r="I170" s="44" t="str">
        <f>INDEX(Helper!$C:$C, MATCH(H170, Helper!$A:$A, 0))</f>
        <v>Standard (EADGBE)</v>
      </c>
      <c r="J170" s="44" t="s">
        <v>633</v>
      </c>
      <c r="K170" s="65" t="s">
        <v>13</v>
      </c>
      <c r="L170" s="44" t="str">
        <f>INDEX(Helper!$F:$F, MATCH(K170, Helper!$E:$E, 0))</f>
        <v>#FF4F53</v>
      </c>
      <c r="M170" s="45" t="s">
        <v>556</v>
      </c>
      <c r="N170" s="45" t="s">
        <v>614</v>
      </c>
      <c r="O170" s="45" t="s">
        <v>833</v>
      </c>
      <c r="P170" s="74" t="s">
        <v>1105</v>
      </c>
    </row>
    <row r="171" spans="1:16" ht="81">
      <c r="A171" s="44">
        <v>168</v>
      </c>
      <c r="B171" s="44">
        <v>1</v>
      </c>
      <c r="C171" s="44">
        <v>2</v>
      </c>
      <c r="D171" s="45" t="str">
        <f>INDEX(Helper!$N$2:$N$4, MATCH(C171, Helper!$M$2:$M$4, 0))</f>
        <v>Intermediate</v>
      </c>
      <c r="E171" s="45" t="s">
        <v>155</v>
      </c>
      <c r="F171" s="45" t="s">
        <v>156</v>
      </c>
      <c r="G171" s="5">
        <v>1</v>
      </c>
      <c r="H171" s="44">
        <v>1</v>
      </c>
      <c r="I171" s="44" t="str">
        <f>INDEX(Helper!$C:$C, MATCH(H171, Helper!$A:$A, 0))</f>
        <v>Standard (EADGBE)</v>
      </c>
      <c r="J171" s="44" t="s">
        <v>623</v>
      </c>
      <c r="K171" s="60" t="s">
        <v>29</v>
      </c>
      <c r="L171" s="44" t="str">
        <f>INDEX(Helper!$F:$F, MATCH(K171, Helper!$E:$E, 0))</f>
        <v>#66E586</v>
      </c>
      <c r="M171" s="45" t="s">
        <v>557</v>
      </c>
      <c r="N171" s="45" t="s">
        <v>614</v>
      </c>
      <c r="O171" s="45" t="s">
        <v>834</v>
      </c>
      <c r="P171" s="74" t="s">
        <v>1106</v>
      </c>
    </row>
    <row r="172" spans="1:16" ht="175.5">
      <c r="A172" s="44">
        <v>169</v>
      </c>
      <c r="B172" s="44">
        <v>1</v>
      </c>
      <c r="C172" s="44">
        <v>2</v>
      </c>
      <c r="D172" s="45" t="str">
        <f>INDEX(Helper!$N$2:$N$4, MATCH(C172, Helper!$M$2:$M$4, 0))</f>
        <v>Intermediate</v>
      </c>
      <c r="E172" s="45" t="s">
        <v>155</v>
      </c>
      <c r="F172" s="45" t="s">
        <v>157</v>
      </c>
      <c r="G172" s="5">
        <v>0</v>
      </c>
      <c r="H172" s="44">
        <v>1</v>
      </c>
      <c r="I172" s="44" t="str">
        <f>INDEX(Helper!$C:$C, MATCH(H172, Helper!$A:$A, 0))</f>
        <v>Standard (EADGBE)</v>
      </c>
      <c r="J172" s="44" t="s">
        <v>63</v>
      </c>
      <c r="K172" s="60" t="s">
        <v>29</v>
      </c>
      <c r="L172" s="44" t="str">
        <f>INDEX(Helper!$F:$F, MATCH(K172, Helper!$E:$E, 0))</f>
        <v>#66E586</v>
      </c>
      <c r="M172" s="45" t="s">
        <v>558</v>
      </c>
      <c r="N172" s="45" t="s">
        <v>614</v>
      </c>
      <c r="O172" s="45" t="s">
        <v>835</v>
      </c>
      <c r="P172" s="74" t="s">
        <v>1107</v>
      </c>
    </row>
    <row r="173" spans="1:16" ht="270">
      <c r="A173" s="44">
        <v>170</v>
      </c>
      <c r="B173" s="44">
        <v>1</v>
      </c>
      <c r="C173" s="44">
        <v>2</v>
      </c>
      <c r="D173" s="45" t="str">
        <f>INDEX(Helper!$N$2:$N$4, MATCH(C173, Helper!$M$2:$M$4, 0))</f>
        <v>Intermediate</v>
      </c>
      <c r="E173" s="45" t="s">
        <v>123</v>
      </c>
      <c r="F173" s="45" t="s">
        <v>158</v>
      </c>
      <c r="G173" s="5">
        <v>1</v>
      </c>
      <c r="H173" s="44">
        <v>1</v>
      </c>
      <c r="I173" s="44" t="str">
        <f>INDEX(Helper!$C:$C, MATCH(H173, Helper!$A:$A, 0))</f>
        <v>Standard (EADGBE)</v>
      </c>
      <c r="J173" s="44" t="s">
        <v>63</v>
      </c>
      <c r="K173" s="65" t="s">
        <v>13</v>
      </c>
      <c r="L173" s="44" t="str">
        <f>INDEX(Helper!$F:$F, MATCH(K173, Helper!$E:$E, 0))</f>
        <v>#FF4F53</v>
      </c>
      <c r="M173" s="45" t="s">
        <v>559</v>
      </c>
      <c r="N173" s="45" t="s">
        <v>614</v>
      </c>
      <c r="O173" s="45" t="s">
        <v>836</v>
      </c>
      <c r="P173" s="74" t="s">
        <v>1108</v>
      </c>
    </row>
    <row r="174" spans="1:16" ht="81">
      <c r="A174" s="44">
        <v>171</v>
      </c>
      <c r="B174" s="44">
        <v>1</v>
      </c>
      <c r="C174" s="44">
        <v>2</v>
      </c>
      <c r="D174" s="45" t="str">
        <f>INDEX(Helper!$N$2:$N$4, MATCH(C174, Helper!$M$2:$M$4, 0))</f>
        <v>Intermediate</v>
      </c>
      <c r="E174" s="45" t="s">
        <v>127</v>
      </c>
      <c r="F174" s="45" t="s">
        <v>160</v>
      </c>
      <c r="G174" s="5">
        <v>1</v>
      </c>
      <c r="H174" s="44">
        <v>1</v>
      </c>
      <c r="I174" s="44" t="str">
        <f>INDEX(Helper!$C:$C, MATCH(H174, Helper!$A:$A, 0))</f>
        <v>Standard (EADGBE)</v>
      </c>
      <c r="J174" s="44" t="s">
        <v>618</v>
      </c>
      <c r="K174" s="59" t="s">
        <v>10</v>
      </c>
      <c r="L174" s="44" t="str">
        <f>INDEX(Helper!$F:$F, MATCH(K174, Helper!$E:$E, 0))</f>
        <v>#F5943C</v>
      </c>
      <c r="M174" s="45" t="s">
        <v>560</v>
      </c>
      <c r="N174" s="45" t="s">
        <v>614</v>
      </c>
      <c r="O174" s="45" t="s">
        <v>837</v>
      </c>
      <c r="P174" s="74" t="s">
        <v>1109</v>
      </c>
    </row>
    <row r="175" spans="1:16" ht="54">
      <c r="A175" s="44">
        <v>172</v>
      </c>
      <c r="B175" s="44">
        <v>1</v>
      </c>
      <c r="C175" s="44">
        <v>2</v>
      </c>
      <c r="D175" s="45" t="str">
        <f>INDEX(Helper!$N$2:$N$4, MATCH(C175, Helper!$M$2:$M$4, 0))</f>
        <v>Intermediate</v>
      </c>
      <c r="E175" s="45" t="s">
        <v>132</v>
      </c>
      <c r="F175" s="45" t="s">
        <v>161</v>
      </c>
      <c r="G175" s="5">
        <v>1</v>
      </c>
      <c r="H175" s="44">
        <v>1</v>
      </c>
      <c r="I175" s="44" t="str">
        <f>INDEX(Helper!$C:$C, MATCH(H175, Helper!$A:$A, 0))</f>
        <v>Standard (EADGBE)</v>
      </c>
      <c r="J175" s="44" t="s">
        <v>794</v>
      </c>
      <c r="K175" s="65" t="s">
        <v>13</v>
      </c>
      <c r="L175" s="44" t="str">
        <f>INDEX(Helper!$F:$F, MATCH(K175, Helper!$E:$E, 0))</f>
        <v>#FF4F53</v>
      </c>
      <c r="M175" s="45" t="s">
        <v>561</v>
      </c>
      <c r="N175" s="45" t="s">
        <v>614</v>
      </c>
      <c r="O175" s="46" t="s">
        <v>838</v>
      </c>
      <c r="P175" s="74" t="s">
        <v>1110</v>
      </c>
    </row>
    <row r="176" spans="1:16" ht="81">
      <c r="A176" s="44">
        <v>173</v>
      </c>
      <c r="B176" s="44">
        <v>1</v>
      </c>
      <c r="C176" s="44">
        <v>1</v>
      </c>
      <c r="D176" s="45" t="str">
        <f>INDEX(Helper!$N$2:$N$4, MATCH(C176, Helper!$M$2:$M$4, 0))</f>
        <v>Beginner</v>
      </c>
      <c r="E176" s="45" t="s">
        <v>78</v>
      </c>
      <c r="F176" s="45" t="s">
        <v>162</v>
      </c>
      <c r="G176" s="5">
        <v>1</v>
      </c>
      <c r="H176" s="44">
        <v>2</v>
      </c>
      <c r="I176" s="44" t="str">
        <f>INDEX(Helper!$C:$C, MATCH(H176, Helper!$A:$A, 0))</f>
        <v>Drop D (DADGBE)</v>
      </c>
      <c r="J176" s="44" t="s">
        <v>626</v>
      </c>
      <c r="K176" s="65" t="s">
        <v>13</v>
      </c>
      <c r="L176" s="44" t="str">
        <f>INDEX(Helper!$F:$F, MATCH(K176, Helper!$E:$E, 0))</f>
        <v>#FF4F53</v>
      </c>
      <c r="M176" s="45" t="s">
        <v>562</v>
      </c>
      <c r="N176" s="45" t="s">
        <v>614</v>
      </c>
      <c r="O176" s="45" t="s">
        <v>839</v>
      </c>
      <c r="P176" s="74" t="s">
        <v>1111</v>
      </c>
    </row>
    <row r="177" spans="1:16" ht="409.5">
      <c r="A177" s="44">
        <v>174</v>
      </c>
      <c r="B177" s="44">
        <v>1</v>
      </c>
      <c r="C177" s="44">
        <v>2</v>
      </c>
      <c r="D177" s="45" t="str">
        <f>INDEX(Helper!$N$2:$N$4, MATCH(C177, Helper!$M$2:$M$4, 0))</f>
        <v>Intermediate</v>
      </c>
      <c r="E177" s="45" t="s">
        <v>84</v>
      </c>
      <c r="F177" s="45" t="s">
        <v>163</v>
      </c>
      <c r="G177" s="5">
        <v>1</v>
      </c>
      <c r="H177" s="30">
        <v>1</v>
      </c>
      <c r="I177" s="44" t="str">
        <f>INDEX(Helper!$C:$C, MATCH(H177, Helper!$A:$A, 0))</f>
        <v>Standard (EADGBE)</v>
      </c>
      <c r="J177" s="44" t="s">
        <v>60</v>
      </c>
      <c r="K177" s="65" t="s">
        <v>13</v>
      </c>
      <c r="L177" s="44" t="str">
        <f>INDEX(Helper!$F:$F, MATCH(K177, Helper!$E:$E, 0))</f>
        <v>#FF4F53</v>
      </c>
      <c r="M177" s="45" t="s">
        <v>383</v>
      </c>
      <c r="N177" s="45" t="s">
        <v>614</v>
      </c>
      <c r="O177" s="45" t="s">
        <v>840</v>
      </c>
      <c r="P177" s="74" t="s">
        <v>1112</v>
      </c>
    </row>
    <row r="178" spans="1:16" ht="81">
      <c r="A178" s="44">
        <v>175</v>
      </c>
      <c r="B178" s="44">
        <v>1</v>
      </c>
      <c r="C178" s="44">
        <v>2</v>
      </c>
      <c r="D178" s="45" t="str">
        <f>INDEX(Helper!$N$2:$N$4, MATCH(C178, Helper!$M$2:$M$4, 0))</f>
        <v>Intermediate</v>
      </c>
      <c r="E178" s="45" t="s">
        <v>84</v>
      </c>
      <c r="F178" s="45" t="s">
        <v>164</v>
      </c>
      <c r="G178" s="5">
        <v>0</v>
      </c>
      <c r="H178" s="44">
        <v>1</v>
      </c>
      <c r="I178" s="44" t="str">
        <f>INDEX(Helper!$C:$C, MATCH(H178, Helper!$A:$A, 0))</f>
        <v>Standard (EADGBE)</v>
      </c>
      <c r="J178" s="44" t="s">
        <v>619</v>
      </c>
      <c r="K178" s="65" t="s">
        <v>13</v>
      </c>
      <c r="L178" s="44" t="str">
        <f>INDEX(Helper!$F:$F, MATCH(K178, Helper!$E:$E, 0))</f>
        <v>#FF4F53</v>
      </c>
      <c r="M178" s="45" t="s">
        <v>563</v>
      </c>
      <c r="N178" s="45" t="s">
        <v>614</v>
      </c>
      <c r="O178" s="46" t="s">
        <v>841</v>
      </c>
      <c r="P178" s="74" t="s">
        <v>1113</v>
      </c>
    </row>
    <row r="179" spans="1:16" ht="270">
      <c r="A179" s="44">
        <v>176</v>
      </c>
      <c r="B179" s="44">
        <v>1</v>
      </c>
      <c r="C179" s="44">
        <v>2</v>
      </c>
      <c r="D179" s="45" t="str">
        <f>INDEX(Helper!$N$2:$N$4, MATCH(C179, Helper!$M$2:$M$4, 0))</f>
        <v>Intermediate</v>
      </c>
      <c r="E179" s="45" t="s">
        <v>41</v>
      </c>
      <c r="F179" s="45" t="s">
        <v>165</v>
      </c>
      <c r="G179" s="5">
        <v>1</v>
      </c>
      <c r="H179" s="44">
        <v>1</v>
      </c>
      <c r="I179" s="44" t="str">
        <f>INDEX(Helper!$C:$C, MATCH(H179, Helper!$A:$A, 0))</f>
        <v>Standard (EADGBE)</v>
      </c>
      <c r="J179" s="44" t="s">
        <v>842</v>
      </c>
      <c r="K179" s="59" t="s">
        <v>10</v>
      </c>
      <c r="L179" s="44" t="str">
        <f>INDEX(Helper!$F:$F, MATCH(K179, Helper!$E:$E, 0))</f>
        <v>#F5943C</v>
      </c>
      <c r="M179" s="48" t="s">
        <v>564</v>
      </c>
      <c r="N179" s="45" t="s">
        <v>614</v>
      </c>
      <c r="O179" s="48" t="s">
        <v>848</v>
      </c>
      <c r="P179" s="74" t="s">
        <v>1114</v>
      </c>
    </row>
    <row r="180" spans="1:16" ht="175.5">
      <c r="A180" s="44">
        <v>177</v>
      </c>
      <c r="B180" s="44">
        <v>1</v>
      </c>
      <c r="C180" s="44">
        <v>2</v>
      </c>
      <c r="D180" s="45" t="str">
        <f>INDEX(Helper!$N$2:$N$4, MATCH(C180, Helper!$M$2:$M$4, 0))</f>
        <v>Intermediate</v>
      </c>
      <c r="E180" s="45" t="s">
        <v>41</v>
      </c>
      <c r="F180" s="45" t="s">
        <v>166</v>
      </c>
      <c r="G180" s="5">
        <v>0</v>
      </c>
      <c r="H180" s="44">
        <v>3</v>
      </c>
      <c r="I180" s="44" t="str">
        <f>INDEX(Helper!$C:$C, MATCH(H180, Helper!$A:$A, 0))</f>
        <v>Half Step Down (D#G#C#F#A#D#)</v>
      </c>
      <c r="J180" s="44" t="s">
        <v>60</v>
      </c>
      <c r="K180" s="59" t="s">
        <v>10</v>
      </c>
      <c r="L180" s="44" t="str">
        <f>INDEX(Helper!$F:$F, MATCH(K180, Helper!$E:$E, 0))</f>
        <v>#F5943C</v>
      </c>
      <c r="M180" s="45" t="s">
        <v>565</v>
      </c>
      <c r="N180" s="45" t="s">
        <v>614</v>
      </c>
      <c r="O180" s="45" t="s">
        <v>849</v>
      </c>
      <c r="P180" s="74" t="s">
        <v>1115</v>
      </c>
    </row>
    <row r="181" spans="1:16" ht="175.5">
      <c r="A181" s="44">
        <v>178</v>
      </c>
      <c r="B181" s="44">
        <v>1</v>
      </c>
      <c r="C181" s="44">
        <v>2</v>
      </c>
      <c r="D181" s="45" t="str">
        <f>INDEX(Helper!$N$2:$N$4, MATCH(C181, Helper!$M$2:$M$4, 0))</f>
        <v>Intermediate</v>
      </c>
      <c r="E181" s="45" t="s">
        <v>41</v>
      </c>
      <c r="F181" s="45" t="s">
        <v>382</v>
      </c>
      <c r="G181" s="5">
        <v>1</v>
      </c>
      <c r="H181" s="44">
        <v>3</v>
      </c>
      <c r="I181" s="44" t="str">
        <f>INDEX(Helper!$C:$C, MATCH(H181, Helper!$A:$A, 0))</f>
        <v>Half Step Down (D#G#C#F#A#D#)</v>
      </c>
      <c r="J181" s="44" t="s">
        <v>794</v>
      </c>
      <c r="K181" s="59" t="s">
        <v>10</v>
      </c>
      <c r="L181" s="44" t="str">
        <f>INDEX(Helper!$F:$F, MATCH(K181, Helper!$E:$E, 0))</f>
        <v>#F5943C</v>
      </c>
      <c r="M181" s="45" t="s">
        <v>937</v>
      </c>
      <c r="N181" s="45" t="s">
        <v>614</v>
      </c>
      <c r="O181" s="45" t="s">
        <v>850</v>
      </c>
      <c r="P181" s="74" t="s">
        <v>1116</v>
      </c>
    </row>
    <row r="182" spans="1:16" ht="175.5">
      <c r="A182" s="44">
        <v>179</v>
      </c>
      <c r="B182" s="44">
        <v>1</v>
      </c>
      <c r="C182" s="44">
        <v>2</v>
      </c>
      <c r="D182" s="45" t="str">
        <f>INDEX(Helper!$N$2:$N$4, MATCH(C182, Helper!$M$2:$M$4, 0))</f>
        <v>Intermediate</v>
      </c>
      <c r="E182" s="45" t="s">
        <v>42</v>
      </c>
      <c r="F182" s="45" t="s">
        <v>167</v>
      </c>
      <c r="G182" s="5">
        <v>0</v>
      </c>
      <c r="H182" s="44">
        <v>3</v>
      </c>
      <c r="I182" s="44" t="str">
        <f>INDEX(Helper!$C:$C, MATCH(H182, Helper!$A:$A, 0))</f>
        <v>Half Step Down (D#G#C#F#A#D#)</v>
      </c>
      <c r="J182" s="44" t="s">
        <v>68</v>
      </c>
      <c r="K182" s="70" t="s">
        <v>372</v>
      </c>
      <c r="L182" s="44" t="str">
        <f>INDEX(Helper!$F:$F, MATCH(K182, Helper!$E:$E, 0))</f>
        <v>#C476D4</v>
      </c>
      <c r="M182" s="45" t="s">
        <v>566</v>
      </c>
      <c r="N182" s="45" t="s">
        <v>614</v>
      </c>
      <c r="O182" s="45" t="s">
        <v>851</v>
      </c>
      <c r="P182" s="74" t="s">
        <v>1117</v>
      </c>
    </row>
    <row r="183" spans="1:16" ht="81">
      <c r="A183" s="44">
        <v>180</v>
      </c>
      <c r="B183" s="44">
        <v>1</v>
      </c>
      <c r="C183" s="44">
        <v>2</v>
      </c>
      <c r="D183" s="45" t="str">
        <f>INDEX(Helper!$N$2:$N$4, MATCH(C183, Helper!$M$2:$M$4, 0))</f>
        <v>Intermediate</v>
      </c>
      <c r="E183" s="45" t="s">
        <v>42</v>
      </c>
      <c r="F183" s="45" t="s">
        <v>168</v>
      </c>
      <c r="G183" s="5">
        <v>1</v>
      </c>
      <c r="H183" s="44">
        <v>1</v>
      </c>
      <c r="I183" s="44" t="str">
        <f>INDEX(Helper!$C:$C, MATCH(H183, Helper!$A:$A, 0))</f>
        <v>Standard (EADGBE)</v>
      </c>
      <c r="J183" s="44" t="s">
        <v>68</v>
      </c>
      <c r="K183" s="70" t="s">
        <v>372</v>
      </c>
      <c r="L183" s="44" t="str">
        <f>INDEX(Helper!$F:$F, MATCH(K183, Helper!$E:$E, 0))</f>
        <v>#C476D4</v>
      </c>
      <c r="M183" s="45" t="s">
        <v>567</v>
      </c>
      <c r="N183" s="45" t="s">
        <v>614</v>
      </c>
      <c r="O183" s="45" t="s">
        <v>852</v>
      </c>
      <c r="P183" s="74" t="s">
        <v>1118</v>
      </c>
    </row>
    <row r="184" spans="1:16" ht="175.5">
      <c r="A184" s="44">
        <v>181</v>
      </c>
      <c r="B184" s="44">
        <v>1</v>
      </c>
      <c r="C184" s="44">
        <v>2</v>
      </c>
      <c r="D184" s="45" t="str">
        <f>INDEX(Helper!$N$2:$N$4, MATCH(C184, Helper!$M$2:$M$4, 0))</f>
        <v>Intermediate</v>
      </c>
      <c r="E184" s="45" t="s">
        <v>88</v>
      </c>
      <c r="F184" s="45" t="s">
        <v>169</v>
      </c>
      <c r="G184" s="5">
        <v>1</v>
      </c>
      <c r="H184" s="44">
        <v>1</v>
      </c>
      <c r="I184" s="44" t="str">
        <f>INDEX(Helper!$C:$C, MATCH(H184, Helper!$A:$A, 0))</f>
        <v>Standard (EADGBE)</v>
      </c>
      <c r="J184" s="44" t="s">
        <v>59</v>
      </c>
      <c r="K184" s="65" t="s">
        <v>13</v>
      </c>
      <c r="L184" s="44" t="str">
        <f>INDEX(Helper!$F:$F, MATCH(K184, Helper!$E:$E, 0))</f>
        <v>#FF4F53</v>
      </c>
      <c r="M184" s="45" t="s">
        <v>568</v>
      </c>
      <c r="N184" s="45" t="s">
        <v>614</v>
      </c>
      <c r="O184" s="45" t="s">
        <v>853</v>
      </c>
      <c r="P184" s="74" t="s">
        <v>1119</v>
      </c>
    </row>
    <row r="185" spans="1:16" ht="175.5">
      <c r="A185" s="44">
        <v>182</v>
      </c>
      <c r="B185" s="44">
        <v>1</v>
      </c>
      <c r="C185" s="44">
        <v>2</v>
      </c>
      <c r="D185" s="45" t="str">
        <f>INDEX(Helper!$N$2:$N$4, MATCH(C185, Helper!$M$2:$M$4, 0))</f>
        <v>Intermediate</v>
      </c>
      <c r="E185" s="45" t="s">
        <v>90</v>
      </c>
      <c r="F185" s="45" t="s">
        <v>170</v>
      </c>
      <c r="G185" s="5">
        <v>1</v>
      </c>
      <c r="H185" s="44">
        <v>1</v>
      </c>
      <c r="I185" s="44" t="str">
        <f>INDEX(Helper!$C:$C, MATCH(H185, Helper!$A:$A, 0))</f>
        <v>Standard (EADGBE)</v>
      </c>
      <c r="J185" s="44" t="s">
        <v>618</v>
      </c>
      <c r="K185" s="65" t="s">
        <v>13</v>
      </c>
      <c r="L185" s="44" t="str">
        <f>INDEX(Helper!$F:$F, MATCH(K185, Helper!$E:$E, 0))</f>
        <v>#FF4F53</v>
      </c>
      <c r="M185" s="45" t="s">
        <v>569</v>
      </c>
      <c r="N185" s="45" t="s">
        <v>614</v>
      </c>
      <c r="O185" s="45" t="s">
        <v>854</v>
      </c>
      <c r="P185" s="74" t="s">
        <v>1120</v>
      </c>
    </row>
    <row r="186" spans="1:16" ht="81">
      <c r="A186" s="44">
        <v>183</v>
      </c>
      <c r="B186" s="44">
        <v>1</v>
      </c>
      <c r="C186" s="44">
        <v>2</v>
      </c>
      <c r="D186" s="45" t="str">
        <f>INDEX(Helper!$N$2:$N$4, MATCH(C186, Helper!$M$2:$M$4, 0))</f>
        <v>Intermediate</v>
      </c>
      <c r="E186" s="45" t="s">
        <v>171</v>
      </c>
      <c r="F186" s="45" t="s">
        <v>843</v>
      </c>
      <c r="G186" s="5">
        <v>0</v>
      </c>
      <c r="H186" s="44">
        <v>1</v>
      </c>
      <c r="I186" s="44" t="str">
        <f>INDEX(Helper!$C:$C, MATCH(H186, Helper!$A:$A, 0))</f>
        <v>Standard (EADGBE)</v>
      </c>
      <c r="J186" s="44" t="s">
        <v>65</v>
      </c>
      <c r="K186" s="63" t="s">
        <v>19</v>
      </c>
      <c r="L186" s="44" t="str">
        <f>INDEX(Helper!$F:$F, MATCH(K186, Helper!$E:$E, 0))</f>
        <v>#FFDD21</v>
      </c>
      <c r="M186" s="45" t="s">
        <v>570</v>
      </c>
      <c r="N186" s="45" t="s">
        <v>614</v>
      </c>
      <c r="O186" s="45" t="s">
        <v>855</v>
      </c>
      <c r="P186" s="74" t="s">
        <v>1121</v>
      </c>
    </row>
    <row r="187" spans="1:16" ht="81">
      <c r="A187" s="44">
        <v>184</v>
      </c>
      <c r="B187" s="44">
        <v>1</v>
      </c>
      <c r="C187" s="44">
        <v>2</v>
      </c>
      <c r="D187" s="45" t="str">
        <f>INDEX(Helper!$N$2:$N$4, MATCH(C187, Helper!$M$2:$M$4, 0))</f>
        <v>Intermediate</v>
      </c>
      <c r="E187" s="45" t="s">
        <v>36</v>
      </c>
      <c r="F187" s="45" t="s">
        <v>172</v>
      </c>
      <c r="G187" s="5">
        <v>0</v>
      </c>
      <c r="H187" s="44">
        <v>3</v>
      </c>
      <c r="I187" s="44" t="str">
        <f>INDEX(Helper!$C:$C, MATCH(H187, Helper!$A:$A, 0))</f>
        <v>Half Step Down (D#G#C#F#A#D#)</v>
      </c>
      <c r="J187" s="44" t="s">
        <v>794</v>
      </c>
      <c r="K187" s="64" t="s">
        <v>15</v>
      </c>
      <c r="L187" s="44" t="str">
        <f>INDEX(Helper!$F:$F, MATCH(K187, Helper!$E:$E, 0))</f>
        <v>#C2C2A1</v>
      </c>
      <c r="M187" s="45" t="s">
        <v>571</v>
      </c>
      <c r="N187" s="45" t="s">
        <v>614</v>
      </c>
      <c r="O187" s="45" t="s">
        <v>856</v>
      </c>
      <c r="P187" s="74" t="s">
        <v>1122</v>
      </c>
    </row>
    <row r="188" spans="1:16" ht="81">
      <c r="A188" s="44">
        <v>185</v>
      </c>
      <c r="B188" s="44">
        <v>1</v>
      </c>
      <c r="C188" s="44">
        <v>1</v>
      </c>
      <c r="D188" s="45" t="str">
        <f>INDEX(Helper!$N$2:$N$4, MATCH(C188, Helper!$M$2:$M$4, 0))</f>
        <v>Beginner</v>
      </c>
      <c r="E188" s="45" t="s">
        <v>36</v>
      </c>
      <c r="F188" s="45" t="s">
        <v>857</v>
      </c>
      <c r="G188" s="5">
        <v>1</v>
      </c>
      <c r="H188" s="44">
        <v>1</v>
      </c>
      <c r="I188" s="44" t="str">
        <f>INDEX(Helper!$C:$C, MATCH(H188, Helper!$A:$A, 0))</f>
        <v>Standard (EADGBE)</v>
      </c>
      <c r="J188" s="44" t="s">
        <v>68</v>
      </c>
      <c r="K188" s="64" t="s">
        <v>15</v>
      </c>
      <c r="L188" s="44" t="str">
        <f>INDEX(Helper!$F:$F, MATCH(K188, Helper!$E:$E, 0))</f>
        <v>#C2C2A1</v>
      </c>
      <c r="M188" s="45" t="s">
        <v>572</v>
      </c>
      <c r="N188" s="45" t="s">
        <v>614</v>
      </c>
      <c r="O188" s="45" t="s">
        <v>858</v>
      </c>
      <c r="P188" s="74" t="s">
        <v>1123</v>
      </c>
    </row>
    <row r="189" spans="1:16" ht="175.5">
      <c r="A189" s="44">
        <v>186</v>
      </c>
      <c r="B189" s="44">
        <v>1</v>
      </c>
      <c r="C189" s="44">
        <v>1</v>
      </c>
      <c r="D189" s="45" t="str">
        <f>INDEX(Helper!$N$2:$N$4, MATCH(C189, Helper!$M$2:$M$4, 0))</f>
        <v>Beginner</v>
      </c>
      <c r="E189" s="45" t="s">
        <v>36</v>
      </c>
      <c r="F189" s="45" t="s">
        <v>173</v>
      </c>
      <c r="G189" s="5">
        <v>1</v>
      </c>
      <c r="H189" s="44">
        <v>3</v>
      </c>
      <c r="I189" s="44" t="str">
        <f>INDEX(Helper!$C:$C, MATCH(H189, Helper!$A:$A, 0))</f>
        <v>Half Step Down (D#G#C#F#A#D#)</v>
      </c>
      <c r="J189" s="44" t="s">
        <v>844</v>
      </c>
      <c r="K189" s="64" t="s">
        <v>15</v>
      </c>
      <c r="L189" s="44" t="str">
        <f>INDEX(Helper!$F:$F, MATCH(K189, Helper!$E:$E, 0))</f>
        <v>#C2C2A1</v>
      </c>
      <c r="M189" s="45" t="s">
        <v>573</v>
      </c>
      <c r="N189" s="45" t="s">
        <v>614</v>
      </c>
      <c r="O189" s="45" t="s">
        <v>859</v>
      </c>
      <c r="P189" s="74" t="s">
        <v>1124</v>
      </c>
    </row>
    <row r="190" spans="1:16" ht="81">
      <c r="A190" s="44">
        <v>187</v>
      </c>
      <c r="B190" s="44">
        <v>1</v>
      </c>
      <c r="C190" s="44">
        <v>2</v>
      </c>
      <c r="D190" s="45" t="str">
        <f>INDEX(Helper!$N$2:$N$4, MATCH(C190, Helper!$M$2:$M$4, 0))</f>
        <v>Intermediate</v>
      </c>
      <c r="E190" s="45" t="s">
        <v>102</v>
      </c>
      <c r="F190" s="45" t="s">
        <v>174</v>
      </c>
      <c r="G190" s="5">
        <v>1</v>
      </c>
      <c r="H190" s="44">
        <v>1</v>
      </c>
      <c r="I190" s="44" t="str">
        <f>INDEX(Helper!$C:$C, MATCH(H190, Helper!$A:$A, 0))</f>
        <v>Standard (EADGBE)</v>
      </c>
      <c r="J190" s="44" t="s">
        <v>66</v>
      </c>
      <c r="K190" s="70" t="s">
        <v>372</v>
      </c>
      <c r="L190" s="44" t="str">
        <f>INDEX(Helper!$F:$F, MATCH(K190, Helper!$E:$E, 0))</f>
        <v>#C476D4</v>
      </c>
      <c r="M190" s="45" t="s">
        <v>574</v>
      </c>
      <c r="N190" s="45" t="s">
        <v>614</v>
      </c>
      <c r="O190" s="45" t="s">
        <v>860</v>
      </c>
      <c r="P190" s="74" t="s">
        <v>1125</v>
      </c>
    </row>
    <row r="191" spans="1:16" ht="175.5">
      <c r="A191" s="44">
        <v>188</v>
      </c>
      <c r="B191" s="44">
        <v>1</v>
      </c>
      <c r="C191" s="44">
        <v>2</v>
      </c>
      <c r="D191" s="45" t="str">
        <f>INDEX(Helper!$N$2:$N$4, MATCH(C191, Helper!$M$2:$M$4, 0))</f>
        <v>Intermediate</v>
      </c>
      <c r="E191" s="45" t="s">
        <v>175</v>
      </c>
      <c r="F191" s="45" t="s">
        <v>176</v>
      </c>
      <c r="G191" s="5">
        <v>1</v>
      </c>
      <c r="H191" s="53">
        <v>1</v>
      </c>
      <c r="I191" s="44" t="str">
        <f>INDEX(Helper!$C:$C, MATCH(H191, Helper!$A:$A, 0))</f>
        <v>Standard (EADGBE)</v>
      </c>
      <c r="J191" s="44" t="s">
        <v>626</v>
      </c>
      <c r="K191" s="63" t="s">
        <v>24</v>
      </c>
      <c r="L191" s="44" t="str">
        <f>INDEX(Helper!$F:$F, MATCH(K191, Helper!$E:$E, 0))</f>
        <v>#F1D764</v>
      </c>
      <c r="M191" s="45" t="s">
        <v>575</v>
      </c>
      <c r="N191" s="45" t="s">
        <v>614</v>
      </c>
      <c r="O191" s="45" t="s">
        <v>861</v>
      </c>
      <c r="P191" s="74" t="s">
        <v>1126</v>
      </c>
    </row>
    <row r="192" spans="1:16" ht="364.5">
      <c r="A192" s="44">
        <v>189</v>
      </c>
      <c r="B192" s="44">
        <v>1</v>
      </c>
      <c r="C192" s="44">
        <v>2</v>
      </c>
      <c r="D192" s="45" t="str">
        <f>INDEX(Helper!$N$2:$N$4, MATCH(C192, Helper!$M$2:$M$4, 0))</f>
        <v>Intermediate</v>
      </c>
      <c r="E192" s="45" t="s">
        <v>175</v>
      </c>
      <c r="F192" s="45" t="s">
        <v>177</v>
      </c>
      <c r="G192" s="5">
        <v>1</v>
      </c>
      <c r="H192" s="44">
        <v>1</v>
      </c>
      <c r="I192" s="44" t="str">
        <f>INDEX(Helper!$C:$C, MATCH(H192, Helper!$A:$A, 0))</f>
        <v>Standard (EADGBE)</v>
      </c>
      <c r="J192" s="44" t="s">
        <v>842</v>
      </c>
      <c r="K192" s="63" t="s">
        <v>24</v>
      </c>
      <c r="L192" s="44" t="str">
        <f>INDEX(Helper!$F:$F, MATCH(K192, Helper!$E:$E, 0))</f>
        <v>#F1D764</v>
      </c>
      <c r="M192" s="45" t="s">
        <v>576</v>
      </c>
      <c r="N192" s="45" t="s">
        <v>614</v>
      </c>
      <c r="O192" s="45" t="s">
        <v>862</v>
      </c>
      <c r="P192" s="74" t="s">
        <v>1127</v>
      </c>
    </row>
    <row r="193" spans="1:16" ht="189">
      <c r="A193" s="44">
        <v>190</v>
      </c>
      <c r="B193" s="44">
        <v>1</v>
      </c>
      <c r="C193" s="44">
        <v>2</v>
      </c>
      <c r="D193" s="45" t="str">
        <f>INDEX(Helper!$N$2:$N$4, MATCH(C193, Helper!$M$2:$M$4, 0))</f>
        <v>Intermediate</v>
      </c>
      <c r="E193" s="45" t="s">
        <v>178</v>
      </c>
      <c r="F193" s="45" t="s">
        <v>179</v>
      </c>
      <c r="G193" s="5">
        <v>0</v>
      </c>
      <c r="H193" s="44">
        <v>1</v>
      </c>
      <c r="I193" s="44" t="str">
        <f>INDEX(Helper!$C:$C, MATCH(H193, Helper!$A:$A, 0))</f>
        <v>Standard (EADGBE)</v>
      </c>
      <c r="J193" s="44" t="s">
        <v>393</v>
      </c>
      <c r="K193" s="65" t="s">
        <v>13</v>
      </c>
      <c r="L193" s="44" t="str">
        <f>INDEX(Helper!$F:$F, MATCH(K193, Helper!$E:$E, 0))</f>
        <v>#FF4F53</v>
      </c>
      <c r="M193" s="45" t="s">
        <v>577</v>
      </c>
      <c r="N193" s="45" t="s">
        <v>614</v>
      </c>
      <c r="O193" s="46" t="s">
        <v>900</v>
      </c>
      <c r="P193" s="74" t="s">
        <v>1128</v>
      </c>
    </row>
    <row r="194" spans="1:16" ht="175.5">
      <c r="A194" s="44">
        <v>191</v>
      </c>
      <c r="B194" s="44">
        <v>1</v>
      </c>
      <c r="C194" s="44">
        <v>2</v>
      </c>
      <c r="D194" s="45" t="str">
        <f>INDEX(Helper!$N$2:$N$4, MATCH(C194, Helper!$M$2:$M$4, 0))</f>
        <v>Intermediate</v>
      </c>
      <c r="E194" s="45" t="s">
        <v>110</v>
      </c>
      <c r="F194" s="45" t="s">
        <v>180</v>
      </c>
      <c r="G194" s="5">
        <v>1</v>
      </c>
      <c r="H194" s="44">
        <v>9</v>
      </c>
      <c r="I194" s="44" t="str">
        <f>INDEX(Helper!$C:$C, MATCH(H194, Helper!$A:$A, 0))</f>
        <v>C#G#C#F#A#D#</v>
      </c>
      <c r="J194" s="44" t="s">
        <v>794</v>
      </c>
      <c r="K194" s="71" t="s">
        <v>27</v>
      </c>
      <c r="L194" s="44" t="str">
        <f>INDEX(Helper!$F:$F, MATCH(K194, Helper!$E:$E, 0))</f>
        <v>#B2DB4B</v>
      </c>
      <c r="M194" s="45" t="s">
        <v>578</v>
      </c>
      <c r="N194" s="45" t="s">
        <v>614</v>
      </c>
      <c r="O194" s="45" t="s">
        <v>901</v>
      </c>
      <c r="P194" s="74" t="s">
        <v>1129</v>
      </c>
    </row>
    <row r="195" spans="1:16" ht="175.5">
      <c r="A195" s="44">
        <v>192</v>
      </c>
      <c r="B195" s="44">
        <v>1</v>
      </c>
      <c r="C195" s="44">
        <v>2</v>
      </c>
      <c r="D195" s="45" t="str">
        <f>INDEX(Helper!$N$2:$N$4, MATCH(C195, Helper!$M$2:$M$4, 0))</f>
        <v>Intermediate</v>
      </c>
      <c r="E195" s="45" t="s">
        <v>181</v>
      </c>
      <c r="F195" s="45" t="s">
        <v>182</v>
      </c>
      <c r="G195" s="5">
        <v>0</v>
      </c>
      <c r="H195" s="44">
        <v>9</v>
      </c>
      <c r="I195" s="44" t="str">
        <f>INDEX(Helper!$C:$C, MATCH(H195, Helper!$A:$A, 0))</f>
        <v>C#G#C#F#A#D#</v>
      </c>
      <c r="J195" s="44" t="s">
        <v>842</v>
      </c>
      <c r="K195" s="64" t="s">
        <v>15</v>
      </c>
      <c r="L195" s="44" t="str">
        <f>INDEX(Helper!$F:$F, MATCH(K195, Helper!$E:$E, 0))</f>
        <v>#C2C2A1</v>
      </c>
      <c r="M195" s="45" t="s">
        <v>579</v>
      </c>
      <c r="N195" s="45" t="s">
        <v>639</v>
      </c>
      <c r="O195" s="45" t="s">
        <v>902</v>
      </c>
      <c r="P195" s="74" t="s">
        <v>1130</v>
      </c>
    </row>
    <row r="196" spans="1:16" ht="175.5">
      <c r="A196" s="44">
        <v>193</v>
      </c>
      <c r="B196" s="44">
        <v>1</v>
      </c>
      <c r="C196" s="44">
        <v>2</v>
      </c>
      <c r="D196" s="45" t="str">
        <f>INDEX(Helper!$N$2:$N$4, MATCH(C196, Helper!$M$2:$M$4, 0))</f>
        <v>Intermediate</v>
      </c>
      <c r="E196" s="45" t="s">
        <v>181</v>
      </c>
      <c r="F196" s="45" t="s">
        <v>183</v>
      </c>
      <c r="G196" s="5">
        <v>0</v>
      </c>
      <c r="H196" s="44">
        <v>9</v>
      </c>
      <c r="I196" s="44" t="str">
        <f>INDEX(Helper!$C:$C, MATCH(H196, Helper!$A:$A, 0))</f>
        <v>C#G#C#F#A#D#</v>
      </c>
      <c r="J196" s="44" t="s">
        <v>393</v>
      </c>
      <c r="K196" s="64" t="s">
        <v>15</v>
      </c>
      <c r="L196" s="44" t="str">
        <f>INDEX(Helper!$F:$F, MATCH(K196, Helper!$E:$E, 0))</f>
        <v>#C2C2A1</v>
      </c>
      <c r="M196" s="45" t="s">
        <v>580</v>
      </c>
      <c r="N196" s="45" t="s">
        <v>614</v>
      </c>
      <c r="O196" s="46" t="s">
        <v>903</v>
      </c>
      <c r="P196" s="74" t="s">
        <v>1131</v>
      </c>
    </row>
    <row r="197" spans="1:16" ht="175.5">
      <c r="A197" s="44">
        <v>194</v>
      </c>
      <c r="B197" s="44">
        <v>1</v>
      </c>
      <c r="C197" s="44">
        <v>2</v>
      </c>
      <c r="D197" s="45" t="str">
        <f>INDEX(Helper!$N$2:$N$4, MATCH(C197, Helper!$M$2:$M$4, 0))</f>
        <v>Intermediate</v>
      </c>
      <c r="E197" s="45" t="s">
        <v>118</v>
      </c>
      <c r="F197" s="45" t="s">
        <v>185</v>
      </c>
      <c r="G197" s="5">
        <v>0</v>
      </c>
      <c r="H197" s="44">
        <v>1</v>
      </c>
      <c r="I197" s="44" t="str">
        <f>INDEX(Helper!$C:$C, MATCH(H197, Helper!$A:$A, 0))</f>
        <v>Standard (EADGBE)</v>
      </c>
      <c r="J197" s="44" t="s">
        <v>626</v>
      </c>
      <c r="K197" s="61" t="s">
        <v>11</v>
      </c>
      <c r="L197" s="44" t="str">
        <f>INDEX(Helper!$F:$F, MATCH(K197, Helper!$E:$E, 0))</f>
        <v>#E8AD1D</v>
      </c>
      <c r="M197" s="45" t="s">
        <v>581</v>
      </c>
      <c r="N197" s="45" t="s">
        <v>614</v>
      </c>
      <c r="O197" s="45" t="s">
        <v>904</v>
      </c>
      <c r="P197" s="74" t="s">
        <v>1132</v>
      </c>
    </row>
    <row r="198" spans="1:16" ht="175.5">
      <c r="A198" s="44">
        <v>195</v>
      </c>
      <c r="B198" s="44">
        <v>1</v>
      </c>
      <c r="C198" s="44">
        <v>2</v>
      </c>
      <c r="D198" s="45" t="str">
        <f>INDEX(Helper!$N$2:$N$4, MATCH(C198, Helper!$M$2:$M$4, 0))</f>
        <v>Intermediate</v>
      </c>
      <c r="E198" s="45" t="s">
        <v>186</v>
      </c>
      <c r="F198" s="45" t="s">
        <v>187</v>
      </c>
      <c r="G198" s="5">
        <v>0</v>
      </c>
      <c r="H198" s="44">
        <v>1</v>
      </c>
      <c r="I198" s="44" t="str">
        <f>INDEX(Helper!$C:$C, MATCH(H198, Helper!$A:$A, 0))</f>
        <v>Standard (EADGBE)</v>
      </c>
      <c r="J198" s="44" t="s">
        <v>62</v>
      </c>
      <c r="K198" s="59" t="s">
        <v>10</v>
      </c>
      <c r="L198" s="44" t="str">
        <f>INDEX(Helper!$F:$F, MATCH(K198, Helper!$E:$E, 0))</f>
        <v>#F5943C</v>
      </c>
      <c r="M198" s="45" t="s">
        <v>582</v>
      </c>
      <c r="N198" s="45" t="s">
        <v>614</v>
      </c>
      <c r="O198" s="45" t="s">
        <v>905</v>
      </c>
      <c r="P198" s="74" t="s">
        <v>1133</v>
      </c>
    </row>
    <row r="199" spans="1:16" ht="81">
      <c r="A199" s="44">
        <v>196</v>
      </c>
      <c r="B199" s="44">
        <v>1</v>
      </c>
      <c r="C199" s="44">
        <v>2</v>
      </c>
      <c r="D199" s="45" t="str">
        <f>INDEX(Helper!$N$2:$N$4, MATCH(C199, Helper!$M$2:$M$4, 0))</f>
        <v>Intermediate</v>
      </c>
      <c r="E199" s="45" t="s">
        <v>186</v>
      </c>
      <c r="F199" s="45" t="s">
        <v>188</v>
      </c>
      <c r="G199" s="5">
        <v>1</v>
      </c>
      <c r="H199" s="44">
        <v>1</v>
      </c>
      <c r="I199" s="44" t="str">
        <f>INDEX(Helper!$C:$C, MATCH(H199, Helper!$A:$A, 0))</f>
        <v>Standard (EADGBE)</v>
      </c>
      <c r="J199" s="44" t="s">
        <v>64</v>
      </c>
      <c r="K199" s="59" t="s">
        <v>10</v>
      </c>
      <c r="L199" s="44" t="str">
        <f>INDEX(Helper!$F:$F, MATCH(K199, Helper!$E:$E, 0))</f>
        <v>#F5943C</v>
      </c>
      <c r="M199" s="45" t="s">
        <v>583</v>
      </c>
      <c r="N199" s="45" t="s">
        <v>614</v>
      </c>
      <c r="O199" s="45" t="s">
        <v>906</v>
      </c>
      <c r="P199" s="74" t="s">
        <v>1134</v>
      </c>
    </row>
    <row r="200" spans="1:16" ht="270">
      <c r="A200" s="44">
        <v>197</v>
      </c>
      <c r="B200" s="44">
        <v>1</v>
      </c>
      <c r="C200" s="44">
        <v>2</v>
      </c>
      <c r="D200" s="45" t="str">
        <f>INDEX(Helper!$N$2:$N$4, MATCH(C200, Helper!$M$2:$M$4, 0))</f>
        <v>Intermediate</v>
      </c>
      <c r="E200" s="45" t="s">
        <v>121</v>
      </c>
      <c r="F200" s="45" t="s">
        <v>189</v>
      </c>
      <c r="G200" s="5">
        <v>0</v>
      </c>
      <c r="H200" s="44">
        <v>3</v>
      </c>
      <c r="I200" s="44" t="str">
        <f>INDEX(Helper!$C:$C, MATCH(H200, Helper!$A:$A, 0))</f>
        <v>Half Step Down (D#G#C#F#A#D#)</v>
      </c>
      <c r="J200" s="44" t="s">
        <v>70</v>
      </c>
      <c r="K200" s="59" t="s">
        <v>10</v>
      </c>
      <c r="L200" s="44" t="str">
        <f>INDEX(Helper!$F:$F, MATCH(K200, Helper!$E:$E, 0))</f>
        <v>#F5943C</v>
      </c>
      <c r="M200" s="45" t="s">
        <v>584</v>
      </c>
      <c r="N200" s="45" t="s">
        <v>614</v>
      </c>
      <c r="O200" s="45" t="s">
        <v>907</v>
      </c>
      <c r="P200" s="74" t="s">
        <v>1135</v>
      </c>
    </row>
    <row r="201" spans="1:16" ht="270">
      <c r="A201" s="44">
        <v>198</v>
      </c>
      <c r="B201" s="44">
        <v>1</v>
      </c>
      <c r="C201" s="44">
        <v>2</v>
      </c>
      <c r="D201" s="45" t="str">
        <f>INDEX(Helper!$N$2:$N$4, MATCH(C201, Helper!$M$2:$M$4, 0))</f>
        <v>Intermediate</v>
      </c>
      <c r="E201" s="45" t="s">
        <v>127</v>
      </c>
      <c r="F201" s="45" t="s">
        <v>190</v>
      </c>
      <c r="G201" s="5">
        <v>1</v>
      </c>
      <c r="H201" s="44">
        <v>1</v>
      </c>
      <c r="I201" s="44" t="str">
        <f>INDEX(Helper!$C:$C, MATCH(H201, Helper!$A:$A, 0))</f>
        <v>Standard (EADGBE)</v>
      </c>
      <c r="J201" s="44" t="s">
        <v>393</v>
      </c>
      <c r="K201" s="59" t="s">
        <v>10</v>
      </c>
      <c r="L201" s="44" t="str">
        <f>INDEX(Helper!$F:$F, MATCH(K201, Helper!$E:$E, 0))</f>
        <v>#F5943C</v>
      </c>
      <c r="M201" s="45" t="s">
        <v>585</v>
      </c>
      <c r="N201" s="45" t="s">
        <v>614</v>
      </c>
      <c r="O201" s="45" t="s">
        <v>908</v>
      </c>
      <c r="P201" s="74" t="s">
        <v>1136</v>
      </c>
    </row>
    <row r="202" spans="1:16" ht="270">
      <c r="A202" s="44">
        <v>199</v>
      </c>
      <c r="B202" s="44">
        <v>1</v>
      </c>
      <c r="C202" s="44">
        <v>2</v>
      </c>
      <c r="D202" s="45" t="str">
        <f>INDEX(Helper!$N$2:$N$4, MATCH(C202, Helper!$M$2:$M$4, 0))</f>
        <v>Intermediate</v>
      </c>
      <c r="E202" s="45" t="s">
        <v>138</v>
      </c>
      <c r="F202" s="45" t="s">
        <v>909</v>
      </c>
      <c r="G202" s="5">
        <v>0</v>
      </c>
      <c r="H202" s="44">
        <v>1</v>
      </c>
      <c r="I202" s="44" t="str">
        <f>INDEX(Helper!$C:$C, MATCH(H202, Helper!$A:$A, 0))</f>
        <v>Standard (EADGBE)</v>
      </c>
      <c r="J202" s="44" t="s">
        <v>66</v>
      </c>
      <c r="K202" s="67" t="s">
        <v>12</v>
      </c>
      <c r="L202" s="44" t="str">
        <f>INDEX(Helper!$F:$F, MATCH(K202, Helper!$E:$E, 0))</f>
        <v>#FFE129</v>
      </c>
      <c r="M202" s="45" t="s">
        <v>380</v>
      </c>
      <c r="N202" s="45" t="s">
        <v>614</v>
      </c>
      <c r="O202" s="45" t="s">
        <v>910</v>
      </c>
      <c r="P202" s="74" t="s">
        <v>1137</v>
      </c>
    </row>
    <row r="203" spans="1:16" ht="81">
      <c r="A203" s="44">
        <v>200</v>
      </c>
      <c r="B203" s="44">
        <v>1</v>
      </c>
      <c r="C203" s="44">
        <v>2</v>
      </c>
      <c r="D203" s="45" t="str">
        <f>INDEX(Helper!$N$2:$N$4, MATCH(C203, Helper!$M$2:$M$4, 0))</f>
        <v>Intermediate</v>
      </c>
      <c r="E203" s="45" t="s">
        <v>142</v>
      </c>
      <c r="F203" s="45" t="s">
        <v>191</v>
      </c>
      <c r="G203" s="5">
        <v>1</v>
      </c>
      <c r="H203" s="44">
        <v>13</v>
      </c>
      <c r="I203" s="44" t="str">
        <f>INDEX(Helper!$C:$C, MATCH(H203, Helper!$A:$A, 0))</f>
        <v>C Standard (CFA#D#GC)</v>
      </c>
      <c r="J203" s="44" t="s">
        <v>64</v>
      </c>
      <c r="K203" s="61" t="s">
        <v>11</v>
      </c>
      <c r="L203" s="44" t="str">
        <f>INDEX(Helper!$F:$F, MATCH(K203, Helper!$E:$E, 0))</f>
        <v>#E8AD1D</v>
      </c>
      <c r="M203" s="45" t="s">
        <v>586</v>
      </c>
      <c r="N203" s="45" t="s">
        <v>614</v>
      </c>
      <c r="O203" s="45" t="s">
        <v>913</v>
      </c>
      <c r="P203" s="74" t="s">
        <v>1138</v>
      </c>
    </row>
    <row r="204" spans="1:16" ht="364.5">
      <c r="A204" s="44">
        <v>201</v>
      </c>
      <c r="B204" s="44">
        <v>1</v>
      </c>
      <c r="C204" s="44">
        <v>2</v>
      </c>
      <c r="D204" s="45" t="str">
        <f>INDEX(Helper!$N$2:$N$4, MATCH(C204, Helper!$M$2:$M$4, 0))</f>
        <v>Intermediate</v>
      </c>
      <c r="E204" s="45" t="s">
        <v>144</v>
      </c>
      <c r="F204" s="45" t="s">
        <v>192</v>
      </c>
      <c r="G204" s="5">
        <v>1</v>
      </c>
      <c r="H204" s="44">
        <v>2</v>
      </c>
      <c r="I204" s="44" t="str">
        <f>INDEX(Helper!$C:$C, MATCH(H204, Helper!$A:$A, 0))</f>
        <v>Drop D (DADGBE)</v>
      </c>
      <c r="J204" s="44" t="s">
        <v>626</v>
      </c>
      <c r="K204" s="64" t="s">
        <v>15</v>
      </c>
      <c r="L204" s="44" t="str">
        <f>INDEX(Helper!$F:$F, MATCH(K204, Helper!$E:$E, 0))</f>
        <v>#C2C2A1</v>
      </c>
      <c r="M204" s="45" t="s">
        <v>379</v>
      </c>
      <c r="N204" s="45" t="s">
        <v>614</v>
      </c>
      <c r="O204" s="75" t="s">
        <v>934</v>
      </c>
      <c r="P204" s="74" t="s">
        <v>1139</v>
      </c>
    </row>
    <row r="205" spans="1:16" ht="270">
      <c r="A205" s="44">
        <v>202</v>
      </c>
      <c r="B205" s="44">
        <v>1</v>
      </c>
      <c r="C205" s="44">
        <v>2</v>
      </c>
      <c r="D205" s="45" t="str">
        <f>INDEX(Helper!$N$2:$N$4, MATCH(C205, Helper!$M$2:$M$4, 0))</f>
        <v>Intermediate</v>
      </c>
      <c r="E205" s="45" t="s">
        <v>146</v>
      </c>
      <c r="F205" s="45" t="s">
        <v>193</v>
      </c>
      <c r="G205" s="5">
        <v>1</v>
      </c>
      <c r="H205" s="44">
        <v>1</v>
      </c>
      <c r="I205" s="44" t="str">
        <f>INDEX(Helper!$C:$C, MATCH(H205, Helper!$A:$A, 0))</f>
        <v>Standard (EADGBE)</v>
      </c>
      <c r="J205" s="44" t="s">
        <v>64</v>
      </c>
      <c r="K205" s="65" t="s">
        <v>13</v>
      </c>
      <c r="L205" s="44" t="str">
        <f>INDEX(Helper!$F:$F, MATCH(K205, Helper!$E:$E, 0))</f>
        <v>#FF4F53</v>
      </c>
      <c r="M205" s="45" t="s">
        <v>587</v>
      </c>
      <c r="N205" s="45" t="s">
        <v>614</v>
      </c>
      <c r="O205" s="45" t="s">
        <v>914</v>
      </c>
      <c r="P205" s="74" t="s">
        <v>1140</v>
      </c>
    </row>
    <row r="206" spans="1:16" ht="81">
      <c r="A206" s="44">
        <v>203</v>
      </c>
      <c r="B206" s="44">
        <v>1</v>
      </c>
      <c r="C206" s="44">
        <v>1</v>
      </c>
      <c r="D206" s="45" t="str">
        <f>INDEX(Helper!$N$2:$N$4, MATCH(C206, Helper!$M$2:$M$4, 0))</f>
        <v>Beginner</v>
      </c>
      <c r="E206" s="45" t="s">
        <v>148</v>
      </c>
      <c r="F206" s="45" t="s">
        <v>196</v>
      </c>
      <c r="G206" s="5">
        <v>0</v>
      </c>
      <c r="H206" s="53">
        <v>9</v>
      </c>
      <c r="I206" s="44" t="str">
        <f>INDEX(Helper!$C:$C, MATCH(H206, Helper!$A:$A, 0))</f>
        <v>C#G#C#F#A#D#</v>
      </c>
      <c r="J206" s="44" t="s">
        <v>393</v>
      </c>
      <c r="K206" s="64" t="s">
        <v>15</v>
      </c>
      <c r="L206" s="44" t="str">
        <f>INDEX(Helper!$F:$F, MATCH(K206, Helper!$E:$E, 0))</f>
        <v>#C2C2A1</v>
      </c>
      <c r="M206" s="45" t="s">
        <v>378</v>
      </c>
      <c r="N206" s="45" t="s">
        <v>614</v>
      </c>
      <c r="O206" s="46" t="s">
        <v>828</v>
      </c>
      <c r="P206" s="74" t="s">
        <v>1141</v>
      </c>
    </row>
    <row r="207" spans="1:16" ht="270">
      <c r="A207" s="44">
        <v>204</v>
      </c>
      <c r="B207" s="44">
        <v>1</v>
      </c>
      <c r="C207" s="44">
        <v>2</v>
      </c>
      <c r="D207" s="45" t="str">
        <f>INDEX(Helper!$N$2:$N$4, MATCH(C207, Helper!$M$2:$M$4, 0))</f>
        <v>Intermediate</v>
      </c>
      <c r="E207" s="45" t="s">
        <v>81</v>
      </c>
      <c r="F207" s="45" t="s">
        <v>197</v>
      </c>
      <c r="G207" s="5">
        <v>0</v>
      </c>
      <c r="H207" s="44">
        <v>1</v>
      </c>
      <c r="I207" s="44" t="str">
        <f>INDEX(Helper!$C:$C, MATCH(H207, Helper!$A:$A, 0))</f>
        <v>Standard (EADGBE)</v>
      </c>
      <c r="J207" s="44" t="s">
        <v>65</v>
      </c>
      <c r="K207" s="65" t="s">
        <v>13</v>
      </c>
      <c r="L207" s="44" t="str">
        <f>INDEX(Helper!$F:$F, MATCH(K207, Helper!$E:$E, 0))</f>
        <v>#FF4F53</v>
      </c>
      <c r="M207" s="45" t="s">
        <v>588</v>
      </c>
      <c r="N207" s="45" t="s">
        <v>614</v>
      </c>
      <c r="O207" s="45" t="s">
        <v>865</v>
      </c>
      <c r="P207" s="74" t="s">
        <v>1142</v>
      </c>
    </row>
    <row r="208" spans="1:16" ht="283.5">
      <c r="A208" s="44">
        <v>205</v>
      </c>
      <c r="B208" s="44">
        <v>1</v>
      </c>
      <c r="C208" s="44">
        <v>2</v>
      </c>
      <c r="D208" s="45" t="str">
        <f>INDEX(Helper!$N$2:$N$4, MATCH(C208, Helper!$M$2:$M$4, 0))</f>
        <v>Intermediate</v>
      </c>
      <c r="E208" s="45" t="s">
        <v>81</v>
      </c>
      <c r="F208" s="45" t="s">
        <v>198</v>
      </c>
      <c r="G208" s="5">
        <v>1</v>
      </c>
      <c r="H208" s="44">
        <v>1</v>
      </c>
      <c r="I208" s="44" t="str">
        <f>INDEX(Helper!$C:$C, MATCH(H208, Helper!$A:$A, 0))</f>
        <v>Standard (EADGBE)</v>
      </c>
      <c r="J208" s="44" t="s">
        <v>66</v>
      </c>
      <c r="K208" s="65" t="s">
        <v>13</v>
      </c>
      <c r="L208" s="44" t="str">
        <f>INDEX(Helper!$F:$F, MATCH(K208, Helper!$E:$E, 0))</f>
        <v>#FF4F53</v>
      </c>
      <c r="M208" s="45" t="s">
        <v>935</v>
      </c>
      <c r="N208" s="45" t="s">
        <v>614</v>
      </c>
      <c r="O208" s="46" t="s">
        <v>899</v>
      </c>
      <c r="P208" s="74" t="s">
        <v>1143</v>
      </c>
    </row>
    <row r="209" spans="1:16" ht="175.5">
      <c r="A209" s="44">
        <v>206</v>
      </c>
      <c r="B209" s="44">
        <v>1</v>
      </c>
      <c r="C209" s="44">
        <v>2</v>
      </c>
      <c r="D209" s="45" t="str">
        <f>INDEX(Helper!$N$2:$N$4, MATCH(C209, Helper!$M$2:$M$4, 0))</f>
        <v>Intermediate</v>
      </c>
      <c r="E209" s="45" t="s">
        <v>81</v>
      </c>
      <c r="F209" s="45" t="s">
        <v>199</v>
      </c>
      <c r="G209" s="5">
        <v>0</v>
      </c>
      <c r="H209" s="44">
        <v>1</v>
      </c>
      <c r="I209" s="44" t="str">
        <f>INDEX(Helper!$C:$C, MATCH(H209, Helper!$A:$A, 0))</f>
        <v>Standard (EADGBE)</v>
      </c>
      <c r="J209" s="44" t="s">
        <v>623</v>
      </c>
      <c r="K209" s="65" t="s">
        <v>13</v>
      </c>
      <c r="L209" s="44" t="str">
        <f>INDEX(Helper!$F:$F, MATCH(K209, Helper!$E:$E, 0))</f>
        <v>#FF4F53</v>
      </c>
      <c r="M209" s="45" t="s">
        <v>589</v>
      </c>
      <c r="N209" s="45" t="s">
        <v>614</v>
      </c>
      <c r="O209" s="45" t="s">
        <v>866</v>
      </c>
      <c r="P209" s="74" t="s">
        <v>1144</v>
      </c>
    </row>
    <row r="210" spans="1:16" ht="175.5">
      <c r="A210" s="44">
        <v>207</v>
      </c>
      <c r="B210" s="44">
        <v>1</v>
      </c>
      <c r="C210" s="44">
        <v>2</v>
      </c>
      <c r="D210" s="45" t="str">
        <f>INDEX(Helper!$N$2:$N$4, MATCH(C210, Helper!$M$2:$M$4, 0))</f>
        <v>Intermediate</v>
      </c>
      <c r="E210" s="45" t="s">
        <v>386</v>
      </c>
      <c r="F210" s="45" t="s">
        <v>868</v>
      </c>
      <c r="G210" s="5">
        <v>1</v>
      </c>
      <c r="H210" s="44">
        <v>1</v>
      </c>
      <c r="I210" s="44" t="str">
        <f>INDEX(Helper!$C:$C, MATCH(H210, Helper!$A:$A, 0))</f>
        <v>Standard (EADGBE)</v>
      </c>
      <c r="J210" s="44" t="s">
        <v>67</v>
      </c>
      <c r="K210" s="59" t="s">
        <v>10</v>
      </c>
      <c r="L210" s="44" t="str">
        <f>INDEX(Helper!$F:$F, MATCH(K210, Helper!$E:$E, 0))</f>
        <v>#F5943C</v>
      </c>
      <c r="M210" s="45" t="s">
        <v>590</v>
      </c>
      <c r="N210" s="45" t="s">
        <v>614</v>
      </c>
      <c r="O210" s="45" t="s">
        <v>867</v>
      </c>
      <c r="P210" s="74" t="s">
        <v>1145</v>
      </c>
    </row>
    <row r="211" spans="1:16" ht="405">
      <c r="A211" s="44">
        <v>208</v>
      </c>
      <c r="B211" s="44">
        <v>1</v>
      </c>
      <c r="C211" s="44">
        <v>3</v>
      </c>
      <c r="D211" s="45" t="str">
        <f>INDEX(Helper!$N$2:$N$4, MATCH(C211, Helper!$M$2:$M$4, 0))</f>
        <v>Advanced</v>
      </c>
      <c r="E211" s="45" t="s">
        <v>386</v>
      </c>
      <c r="F211" s="45" t="s">
        <v>869</v>
      </c>
      <c r="G211" s="5">
        <v>1</v>
      </c>
      <c r="H211" s="44">
        <v>1</v>
      </c>
      <c r="I211" s="44" t="str">
        <f>INDEX(Helper!$C:$C, MATCH(H211, Helper!$A:$A, 0))</f>
        <v>Standard (EADGBE)</v>
      </c>
      <c r="J211" s="44" t="s">
        <v>63</v>
      </c>
      <c r="K211" s="59" t="s">
        <v>10</v>
      </c>
      <c r="L211" s="44" t="str">
        <f>INDEX(Helper!$F:$F, MATCH(K211, Helper!$E:$E, 0))</f>
        <v>#F5943C</v>
      </c>
      <c r="M211" s="45" t="s">
        <v>591</v>
      </c>
      <c r="N211" s="45" t="s">
        <v>614</v>
      </c>
      <c r="O211" s="46" t="s">
        <v>872</v>
      </c>
      <c r="P211" s="74" t="s">
        <v>1146</v>
      </c>
    </row>
    <row r="212" spans="1:16" ht="409.5">
      <c r="A212" s="44">
        <v>209</v>
      </c>
      <c r="B212" s="44">
        <v>1</v>
      </c>
      <c r="C212" s="44">
        <v>3</v>
      </c>
      <c r="D212" s="45" t="str">
        <f>INDEX(Helper!$N$2:$N$4, MATCH(C212, Helper!$M$2:$M$4, 0))</f>
        <v>Advanced</v>
      </c>
      <c r="E212" s="45" t="s">
        <v>386</v>
      </c>
      <c r="F212" s="45" t="s">
        <v>469</v>
      </c>
      <c r="G212" s="5">
        <v>0</v>
      </c>
      <c r="H212" s="44">
        <v>3</v>
      </c>
      <c r="I212" s="44" t="str">
        <f>INDEX(Helper!$C:$C, MATCH(H212, Helper!$A:$A, 0))</f>
        <v>Half Step Down (D#G#C#F#A#D#)</v>
      </c>
      <c r="J212" s="44" t="s">
        <v>794</v>
      </c>
      <c r="K212" s="59" t="s">
        <v>10</v>
      </c>
      <c r="L212" s="44" t="str">
        <f>INDEX(Helper!$F:$F, MATCH(K212, Helper!$E:$E, 0))</f>
        <v>#F5943C</v>
      </c>
      <c r="M212" s="45" t="s">
        <v>592</v>
      </c>
      <c r="N212" s="45" t="s">
        <v>614</v>
      </c>
      <c r="O212" s="45" t="s">
        <v>870</v>
      </c>
      <c r="P212" s="74" t="s">
        <v>1147</v>
      </c>
    </row>
    <row r="213" spans="1:16" ht="175.5">
      <c r="A213" s="44">
        <v>210</v>
      </c>
      <c r="B213" s="44">
        <v>1</v>
      </c>
      <c r="C213" s="44">
        <v>3</v>
      </c>
      <c r="D213" s="45" t="str">
        <f>INDEX(Helper!$N$2:$N$4, MATCH(C213, Helper!$M$2:$M$4, 0))</f>
        <v>Advanced</v>
      </c>
      <c r="E213" s="45" t="s">
        <v>41</v>
      </c>
      <c r="F213" s="45" t="s">
        <v>200</v>
      </c>
      <c r="G213" s="5">
        <v>0</v>
      </c>
      <c r="H213" s="44">
        <v>3</v>
      </c>
      <c r="I213" s="44" t="str">
        <f>INDEX(Helper!$C:$C, MATCH(H213, Helper!$A:$A, 0))</f>
        <v>Half Step Down (D#G#C#F#A#D#)</v>
      </c>
      <c r="J213" s="44" t="s">
        <v>68</v>
      </c>
      <c r="K213" s="59" t="s">
        <v>10</v>
      </c>
      <c r="L213" s="44" t="str">
        <f>INDEX(Helper!$F:$F, MATCH(K213, Helper!$E:$E, 0))</f>
        <v>#F5943C</v>
      </c>
      <c r="M213" s="45" t="s">
        <v>938</v>
      </c>
      <c r="N213" s="45" t="s">
        <v>614</v>
      </c>
      <c r="O213" s="45" t="s">
        <v>871</v>
      </c>
      <c r="P213" s="74" t="s">
        <v>1148</v>
      </c>
    </row>
    <row r="214" spans="1:16" ht="364.5">
      <c r="A214" s="44">
        <v>211</v>
      </c>
      <c r="B214" s="44">
        <v>1</v>
      </c>
      <c r="C214" s="44">
        <v>3</v>
      </c>
      <c r="D214" s="45" t="str">
        <f>INDEX(Helper!$N$2:$N$4, MATCH(C214, Helper!$M$2:$M$4, 0))</f>
        <v>Advanced</v>
      </c>
      <c r="E214" s="45" t="s">
        <v>99</v>
      </c>
      <c r="F214" s="45" t="s">
        <v>201</v>
      </c>
      <c r="G214" s="5">
        <v>1</v>
      </c>
      <c r="H214" s="44">
        <v>3</v>
      </c>
      <c r="I214" s="44" t="str">
        <f>INDEX(Helper!$C:$C, MATCH(H214, Helper!$A:$A, 0))</f>
        <v>Half Step Down (D#G#C#F#A#D#)</v>
      </c>
      <c r="J214" s="44" t="s">
        <v>794</v>
      </c>
      <c r="K214" s="59" t="s">
        <v>10</v>
      </c>
      <c r="L214" s="44" t="str">
        <f>INDEX(Helper!$F:$F, MATCH(K214, Helper!$E:$E, 0))</f>
        <v>#F5943C</v>
      </c>
      <c r="M214" s="45" t="s">
        <v>593</v>
      </c>
      <c r="N214" s="45" t="s">
        <v>614</v>
      </c>
      <c r="O214" s="45" t="s">
        <v>873</v>
      </c>
      <c r="P214" s="74" t="s">
        <v>1149</v>
      </c>
    </row>
    <row r="215" spans="1:16" ht="364.5">
      <c r="A215" s="44">
        <v>212</v>
      </c>
      <c r="B215" s="44">
        <v>1</v>
      </c>
      <c r="C215" s="44">
        <v>3</v>
      </c>
      <c r="D215" s="45" t="str">
        <f>INDEX(Helper!$N$2:$N$4, MATCH(C215, Helper!$M$2:$M$4, 0))</f>
        <v>Advanced</v>
      </c>
      <c r="E215" s="45" t="s">
        <v>99</v>
      </c>
      <c r="F215" s="45" t="s">
        <v>202</v>
      </c>
      <c r="G215" s="5">
        <v>0</v>
      </c>
      <c r="H215" s="44">
        <v>1</v>
      </c>
      <c r="I215" s="44" t="str">
        <f>INDEX(Helper!$C:$C, MATCH(H215, Helper!$A:$A, 0))</f>
        <v>Standard (EADGBE)</v>
      </c>
      <c r="J215" s="44" t="s">
        <v>68</v>
      </c>
      <c r="K215" s="59" t="s">
        <v>10</v>
      </c>
      <c r="L215" s="44" t="str">
        <f>INDEX(Helper!$F:$F, MATCH(K215, Helper!$E:$E, 0))</f>
        <v>#F5943C</v>
      </c>
      <c r="M215" s="45" t="s">
        <v>594</v>
      </c>
      <c r="N215" s="45" t="s">
        <v>614</v>
      </c>
      <c r="O215" s="46" t="s">
        <v>874</v>
      </c>
      <c r="P215" s="74" t="s">
        <v>1150</v>
      </c>
    </row>
    <row r="216" spans="1:16" ht="409.5">
      <c r="A216" s="44">
        <v>213</v>
      </c>
      <c r="B216" s="44">
        <v>1</v>
      </c>
      <c r="C216" s="44">
        <v>3</v>
      </c>
      <c r="D216" s="45" t="str">
        <f>INDEX(Helper!$N$2:$N$4, MATCH(C216, Helper!$M$2:$M$4, 0))</f>
        <v>Advanced</v>
      </c>
      <c r="E216" s="45" t="s">
        <v>99</v>
      </c>
      <c r="F216" s="45" t="s">
        <v>203</v>
      </c>
      <c r="G216" s="5">
        <v>0</v>
      </c>
      <c r="H216" s="44">
        <v>1</v>
      </c>
      <c r="I216" s="44" t="str">
        <f>INDEX(Helper!$C:$C, MATCH(H216, Helper!$A:$A, 0))</f>
        <v>Standard (EADGBE)</v>
      </c>
      <c r="J216" s="44" t="s">
        <v>626</v>
      </c>
      <c r="K216" s="59" t="s">
        <v>10</v>
      </c>
      <c r="L216" s="44" t="str">
        <f>INDEX(Helper!$F:$F, MATCH(K216, Helper!$E:$E, 0))</f>
        <v>#F5943C</v>
      </c>
      <c r="M216" s="45" t="s">
        <v>377</v>
      </c>
      <c r="N216" s="45" t="s">
        <v>614</v>
      </c>
      <c r="O216" s="46" t="s">
        <v>877</v>
      </c>
      <c r="P216" s="74" t="s">
        <v>1151</v>
      </c>
    </row>
    <row r="217" spans="1:16" ht="175.5">
      <c r="A217" s="44">
        <v>214</v>
      </c>
      <c r="B217" s="44">
        <v>1</v>
      </c>
      <c r="C217" s="44">
        <v>3</v>
      </c>
      <c r="D217" s="45" t="str">
        <f>INDEX(Helper!$N$2:$N$4, MATCH(C217, Helper!$M$2:$M$4, 0))</f>
        <v>Advanced</v>
      </c>
      <c r="E217" s="45" t="s">
        <v>171</v>
      </c>
      <c r="F217" s="45" t="s">
        <v>204</v>
      </c>
      <c r="G217" s="5">
        <v>1</v>
      </c>
      <c r="H217" s="44">
        <v>1</v>
      </c>
      <c r="I217" s="44" t="str">
        <f>INDEX(Helper!$C:$C, MATCH(H217, Helper!$A:$A, 0))</f>
        <v>Standard (EADGBE)</v>
      </c>
      <c r="J217" s="44" t="s">
        <v>63</v>
      </c>
      <c r="K217" s="63" t="s">
        <v>19</v>
      </c>
      <c r="L217" s="44" t="str">
        <f>INDEX(Helper!$F:$F, MATCH(K217, Helper!$E:$E, 0))</f>
        <v>#FFDD21</v>
      </c>
      <c r="M217" s="45" t="s">
        <v>595</v>
      </c>
      <c r="N217" s="45" t="s">
        <v>614</v>
      </c>
      <c r="O217" s="46" t="s">
        <v>876</v>
      </c>
      <c r="P217" s="74" t="s">
        <v>1152</v>
      </c>
    </row>
    <row r="218" spans="1:16" ht="175.5">
      <c r="A218" s="44">
        <v>215</v>
      </c>
      <c r="B218" s="44">
        <v>1</v>
      </c>
      <c r="C218" s="44">
        <v>3</v>
      </c>
      <c r="D218" s="45" t="str">
        <f>INDEX(Helper!$N$2:$N$4, MATCH(C218, Helper!$M$2:$M$4, 0))</f>
        <v>Advanced</v>
      </c>
      <c r="E218" s="45" t="s">
        <v>181</v>
      </c>
      <c r="F218" s="45" t="s">
        <v>205</v>
      </c>
      <c r="G218" s="5">
        <v>1</v>
      </c>
      <c r="H218" s="44">
        <v>9</v>
      </c>
      <c r="I218" s="44" t="str">
        <f>INDEX(Helper!$C:$C, MATCH(H218, Helper!$A:$A, 0))</f>
        <v>C#G#C#F#A#D#</v>
      </c>
      <c r="J218" s="44" t="s">
        <v>794</v>
      </c>
      <c r="K218" s="64" t="s">
        <v>15</v>
      </c>
      <c r="L218" s="44" t="str">
        <f>INDEX(Helper!$F:$F, MATCH(K218, Helper!$E:$E, 0))</f>
        <v>#C2C2A1</v>
      </c>
      <c r="M218" s="45" t="s">
        <v>596</v>
      </c>
      <c r="N218" s="45" t="s">
        <v>614</v>
      </c>
      <c r="O218" s="45" t="s">
        <v>875</v>
      </c>
      <c r="P218" s="74" t="s">
        <v>1153</v>
      </c>
    </row>
    <row r="219" spans="1:16" ht="175.5">
      <c r="A219" s="44">
        <v>216</v>
      </c>
      <c r="B219" s="44">
        <v>1</v>
      </c>
      <c r="C219" s="44">
        <v>2</v>
      </c>
      <c r="D219" s="45" t="str">
        <f>INDEX(Helper!$N$2:$N$4, MATCH(C219, Helper!$M$2:$M$4, 0))</f>
        <v>Intermediate</v>
      </c>
      <c r="E219" s="45" t="s">
        <v>181</v>
      </c>
      <c r="F219" s="45" t="s">
        <v>206</v>
      </c>
      <c r="G219" s="5">
        <v>1</v>
      </c>
      <c r="H219" s="44">
        <v>11</v>
      </c>
      <c r="I219" s="44" t="str">
        <f>INDEX(Helper!$C:$C, MATCH(H219, Helper!$A:$A, 0))</f>
        <v>CGCFAD</v>
      </c>
      <c r="J219" s="44" t="s">
        <v>68</v>
      </c>
      <c r="K219" s="64" t="s">
        <v>15</v>
      </c>
      <c r="L219" s="44" t="str">
        <f>INDEX(Helper!$F:$F, MATCH(K219, Helper!$E:$E, 0))</f>
        <v>#C2C2A1</v>
      </c>
      <c r="M219" s="45" t="s">
        <v>597</v>
      </c>
      <c r="N219" s="45" t="s">
        <v>614</v>
      </c>
      <c r="O219" s="45" t="s">
        <v>879</v>
      </c>
      <c r="P219" s="74" t="s">
        <v>878</v>
      </c>
    </row>
    <row r="220" spans="1:16" ht="175.5">
      <c r="A220" s="44">
        <v>217</v>
      </c>
      <c r="B220" s="44">
        <v>1</v>
      </c>
      <c r="C220" s="44">
        <v>3</v>
      </c>
      <c r="D220" s="45" t="str">
        <f>INDEX(Helper!$N$2:$N$4, MATCH(C220, Helper!$M$2:$M$4, 0))</f>
        <v>Advanced</v>
      </c>
      <c r="E220" s="45" t="s">
        <v>181</v>
      </c>
      <c r="F220" s="45" t="s">
        <v>207</v>
      </c>
      <c r="G220" s="5">
        <v>0</v>
      </c>
      <c r="H220" s="44">
        <v>11</v>
      </c>
      <c r="I220" s="44" t="str">
        <f>INDEX(Helper!$C:$C, MATCH(H220, Helper!$A:$A, 0))</f>
        <v>CGCFAD</v>
      </c>
      <c r="J220" s="44" t="s">
        <v>68</v>
      </c>
      <c r="K220" s="64" t="s">
        <v>15</v>
      </c>
      <c r="L220" s="44" t="str">
        <f>INDEX(Helper!$F:$F, MATCH(K220, Helper!$E:$E, 0))</f>
        <v>#C2C2A1</v>
      </c>
      <c r="M220" s="45" t="s">
        <v>598</v>
      </c>
      <c r="N220" s="45" t="s">
        <v>614</v>
      </c>
      <c r="O220" s="45" t="s">
        <v>882</v>
      </c>
      <c r="P220" s="74" t="s">
        <v>1154</v>
      </c>
    </row>
    <row r="221" spans="1:16" ht="81">
      <c r="A221" s="44">
        <v>218</v>
      </c>
      <c r="B221" s="44">
        <v>1</v>
      </c>
      <c r="C221" s="44">
        <v>3</v>
      </c>
      <c r="D221" s="45" t="str">
        <f>INDEX(Helper!$N$2:$N$4, MATCH(C221, Helper!$M$2:$M$4, 0))</f>
        <v>Advanced</v>
      </c>
      <c r="E221" s="45" t="s">
        <v>208</v>
      </c>
      <c r="F221" s="45" t="s">
        <v>209</v>
      </c>
      <c r="G221" s="5">
        <v>0</v>
      </c>
      <c r="H221" s="53">
        <v>3</v>
      </c>
      <c r="I221" s="44" t="str">
        <f>INDEX(Helper!$C:$C, MATCH(H221, Helper!$A:$A, 0))</f>
        <v>Half Step Down (D#G#C#F#A#D#)</v>
      </c>
      <c r="J221" s="44" t="s">
        <v>794</v>
      </c>
      <c r="K221" s="65" t="s">
        <v>13</v>
      </c>
      <c r="L221" s="44" t="str">
        <f>INDEX(Helper!$F:$F, MATCH(K221, Helper!$E:$E, 0))</f>
        <v>#FF4F53</v>
      </c>
      <c r="M221" s="45" t="s">
        <v>599</v>
      </c>
      <c r="N221" s="45" t="s">
        <v>614</v>
      </c>
      <c r="O221" s="45" t="s">
        <v>883</v>
      </c>
      <c r="P221" s="74" t="s">
        <v>1155</v>
      </c>
    </row>
    <row r="222" spans="1:16" ht="409.5">
      <c r="A222" s="44">
        <v>219</v>
      </c>
      <c r="B222" s="44">
        <v>1</v>
      </c>
      <c r="C222" s="44">
        <v>3</v>
      </c>
      <c r="D222" s="45" t="str">
        <f>INDEX(Helper!$N$2:$N$4, MATCH(C222, Helper!$M$2:$M$4, 0))</f>
        <v>Advanced</v>
      </c>
      <c r="E222" s="45" t="s">
        <v>210</v>
      </c>
      <c r="F222" s="45" t="s">
        <v>212</v>
      </c>
      <c r="G222" s="5">
        <v>0</v>
      </c>
      <c r="H222" s="44">
        <v>1</v>
      </c>
      <c r="I222" s="44" t="str">
        <f>INDEX(Helper!$C:$C, MATCH(H222, Helper!$A:$A, 0))</f>
        <v>Standard (EADGBE)</v>
      </c>
      <c r="J222" s="44" t="s">
        <v>68</v>
      </c>
      <c r="K222" s="57" t="s">
        <v>21</v>
      </c>
      <c r="L222" s="44" t="str">
        <f>INDEX(Helper!$F:$F, MATCH(K222, Helper!$E:$E, 0))</f>
        <v>#45F0E2</v>
      </c>
      <c r="M222" s="45" t="s">
        <v>600</v>
      </c>
      <c r="N222" s="45" t="s">
        <v>614</v>
      </c>
      <c r="O222" s="45" t="s">
        <v>884</v>
      </c>
      <c r="P222" s="74" t="s">
        <v>1156</v>
      </c>
    </row>
    <row r="223" spans="1:16" ht="81">
      <c r="A223" s="44">
        <v>220</v>
      </c>
      <c r="B223" s="44">
        <v>1</v>
      </c>
      <c r="C223" s="44">
        <v>3</v>
      </c>
      <c r="D223" s="45" t="str">
        <f>INDEX(Helper!$N$2:$N$4, MATCH(C223, Helper!$M$2:$M$4, 0))</f>
        <v>Advanced</v>
      </c>
      <c r="E223" s="45" t="s">
        <v>134</v>
      </c>
      <c r="F223" s="45" t="s">
        <v>213</v>
      </c>
      <c r="G223" s="5">
        <v>1</v>
      </c>
      <c r="H223" s="44">
        <v>1</v>
      </c>
      <c r="I223" s="44" t="str">
        <f>INDEX(Helper!$C:$C, MATCH(H223, Helper!$A:$A, 0))</f>
        <v>Standard (EADGBE)</v>
      </c>
      <c r="J223" s="44" t="s">
        <v>393</v>
      </c>
      <c r="K223" s="57" t="s">
        <v>21</v>
      </c>
      <c r="L223" s="44" t="str">
        <f>INDEX(Helper!$F:$F, MATCH(K223, Helper!$E:$E, 0))</f>
        <v>#45F0E2</v>
      </c>
      <c r="M223" s="45" t="s">
        <v>601</v>
      </c>
      <c r="N223" s="45" t="s">
        <v>614</v>
      </c>
      <c r="O223" s="45" t="s">
        <v>885</v>
      </c>
      <c r="P223" s="74" t="s">
        <v>1157</v>
      </c>
    </row>
    <row r="224" spans="1:16" ht="364.5">
      <c r="A224" s="44">
        <v>221</v>
      </c>
      <c r="B224" s="44">
        <v>1</v>
      </c>
      <c r="C224" s="44">
        <v>3</v>
      </c>
      <c r="D224" s="45" t="str">
        <f>INDEX(Helper!$N$2:$N$4, MATCH(C224, Helper!$M$2:$M$4, 0))</f>
        <v>Advanced</v>
      </c>
      <c r="E224" s="45" t="s">
        <v>214</v>
      </c>
      <c r="F224" s="45" t="s">
        <v>215</v>
      </c>
      <c r="G224" s="5">
        <v>0</v>
      </c>
      <c r="H224" s="44">
        <v>12</v>
      </c>
      <c r="I224" s="44" t="str">
        <f>INDEX(Helper!$C:$C, MATCH(H224, Helper!$A:$A, 0))</f>
        <v>Dropped A (AEADF#B)</v>
      </c>
      <c r="J224" s="44" t="s">
        <v>626</v>
      </c>
      <c r="K224" s="64" t="s">
        <v>15</v>
      </c>
      <c r="L224" s="44" t="str">
        <f>INDEX(Helper!$F:$F, MATCH(K224, Helper!$E:$E, 0))</f>
        <v>#C2C2A1</v>
      </c>
      <c r="M224" s="45" t="s">
        <v>602</v>
      </c>
      <c r="N224" s="45" t="s">
        <v>614</v>
      </c>
      <c r="O224" s="45" t="s">
        <v>886</v>
      </c>
      <c r="P224" s="74" t="s">
        <v>1158</v>
      </c>
    </row>
    <row r="225" spans="1:16" ht="270">
      <c r="A225" s="44">
        <v>222</v>
      </c>
      <c r="B225" s="44">
        <v>1</v>
      </c>
      <c r="C225" s="44">
        <v>3</v>
      </c>
      <c r="D225" s="45" t="str">
        <f>INDEX(Helper!$N$2:$N$4, MATCH(C225, Helper!$M$2:$M$4, 0))</f>
        <v>Advanced</v>
      </c>
      <c r="E225" s="45" t="s">
        <v>194</v>
      </c>
      <c r="F225" s="45" t="s">
        <v>216</v>
      </c>
      <c r="G225" s="5">
        <v>1</v>
      </c>
      <c r="H225" s="44">
        <v>2</v>
      </c>
      <c r="I225" s="44" t="str">
        <f>INDEX(Helper!$C:$C, MATCH(H225, Helper!$A:$A, 0))</f>
        <v>Drop D (DADGBE)</v>
      </c>
      <c r="J225" s="44" t="s">
        <v>794</v>
      </c>
      <c r="K225" s="64" t="s">
        <v>15</v>
      </c>
      <c r="L225" s="44" t="str">
        <f>INDEX(Helper!$F:$F, MATCH(K225, Helper!$E:$E, 0))</f>
        <v>#C2C2A1</v>
      </c>
      <c r="M225" s="48" t="s">
        <v>603</v>
      </c>
      <c r="N225" s="45" t="s">
        <v>614</v>
      </c>
      <c r="O225" s="48" t="s">
        <v>889</v>
      </c>
      <c r="P225" s="74" t="s">
        <v>1159</v>
      </c>
    </row>
    <row r="226" spans="1:16" ht="409.5">
      <c r="A226" s="44">
        <v>223</v>
      </c>
      <c r="B226" s="44">
        <v>1</v>
      </c>
      <c r="C226" s="44">
        <v>3</v>
      </c>
      <c r="D226" s="45" t="str">
        <f>INDEX(Helper!$N$2:$N$4, MATCH(C226, Helper!$M$2:$M$4, 0))</f>
        <v>Advanced</v>
      </c>
      <c r="E226" s="45" t="s">
        <v>194</v>
      </c>
      <c r="F226" s="45" t="s">
        <v>195</v>
      </c>
      <c r="G226" s="5">
        <v>1</v>
      </c>
      <c r="H226" s="44">
        <v>11</v>
      </c>
      <c r="I226" s="44" t="str">
        <f>INDEX(Helper!$C:$C, MATCH(H226, Helper!$A:$A, 0))</f>
        <v>CGCFAD</v>
      </c>
      <c r="J226" s="44" t="s">
        <v>637</v>
      </c>
      <c r="K226" s="64" t="s">
        <v>15</v>
      </c>
      <c r="L226" s="44" t="str">
        <f>INDEX(Helper!$F:$F, MATCH(K226, Helper!$E:$E, 0))</f>
        <v>#C2C2A1</v>
      </c>
      <c r="M226" s="45" t="s">
        <v>604</v>
      </c>
      <c r="N226" s="45" t="s">
        <v>614</v>
      </c>
      <c r="O226" s="46" t="s">
        <v>890</v>
      </c>
      <c r="P226" s="74" t="s">
        <v>1160</v>
      </c>
    </row>
    <row r="227" spans="1:16" ht="409.5">
      <c r="A227" s="44">
        <v>224</v>
      </c>
      <c r="B227" s="44">
        <v>1</v>
      </c>
      <c r="C227" s="44">
        <v>3</v>
      </c>
      <c r="D227" s="45" t="str">
        <f>INDEX(Helper!$N$2:$N$4, MATCH(C227, Helper!$M$2:$M$4, 0))</f>
        <v>Advanced</v>
      </c>
      <c r="E227" s="45" t="s">
        <v>116</v>
      </c>
      <c r="F227" s="45" t="s">
        <v>184</v>
      </c>
      <c r="G227" s="5">
        <v>0</v>
      </c>
      <c r="H227" s="44">
        <v>1</v>
      </c>
      <c r="I227" s="44" t="str">
        <f>INDEX(Helper!$C:$C, MATCH(H227, Helper!$A:$A, 0))</f>
        <v>Standard (EADGBE)</v>
      </c>
      <c r="J227" s="44" t="s">
        <v>60</v>
      </c>
      <c r="K227" s="63" t="s">
        <v>19</v>
      </c>
      <c r="L227" s="44" t="str">
        <f>INDEX(Helper!$F:$F, MATCH(K227, Helper!$E:$E, 0))</f>
        <v>#FFDD21</v>
      </c>
      <c r="M227" s="45" t="s">
        <v>381</v>
      </c>
      <c r="N227" s="45" t="s">
        <v>614</v>
      </c>
      <c r="O227" s="46" t="s">
        <v>891</v>
      </c>
      <c r="P227" s="74" t="s">
        <v>1161</v>
      </c>
    </row>
    <row r="228" spans="1:16" ht="270">
      <c r="A228" s="44">
        <v>225</v>
      </c>
      <c r="B228" s="44">
        <v>1</v>
      </c>
      <c r="C228" s="44">
        <v>3</v>
      </c>
      <c r="D228" s="45" t="str">
        <f>INDEX(Helper!$N$2:$N$4, MATCH(C228, Helper!$M$2:$M$4, 0))</f>
        <v>Advanced</v>
      </c>
      <c r="E228" s="45" t="s">
        <v>178</v>
      </c>
      <c r="F228" s="45" t="s">
        <v>845</v>
      </c>
      <c r="G228" s="5">
        <v>1</v>
      </c>
      <c r="H228" s="44">
        <v>1</v>
      </c>
      <c r="I228" s="44" t="str">
        <f>INDEX(Helper!$C:$C, MATCH(H228, Helper!$A:$A, 0))</f>
        <v>Standard (EADGBE)</v>
      </c>
      <c r="J228" s="44" t="s">
        <v>393</v>
      </c>
      <c r="K228" s="65" t="s">
        <v>13</v>
      </c>
      <c r="L228" s="44" t="str">
        <f>INDEX(Helper!$F:$F, MATCH(K228, Helper!$E:$E, 0))</f>
        <v>#FF4F53</v>
      </c>
      <c r="M228" s="45" t="s">
        <v>605</v>
      </c>
      <c r="N228" s="45" t="s">
        <v>614</v>
      </c>
      <c r="O228" s="45" t="s">
        <v>847</v>
      </c>
      <c r="P228" s="74" t="s">
        <v>1162</v>
      </c>
    </row>
    <row r="229" spans="1:16" ht="409.5">
      <c r="A229" s="44">
        <v>226</v>
      </c>
      <c r="B229" s="44">
        <v>1</v>
      </c>
      <c r="C229" s="44">
        <v>3</v>
      </c>
      <c r="D229" s="45" t="str">
        <f>INDEX(Helper!$N$2:$N$4, MATCH(C229, Helper!$M$2:$M$4, 0))</f>
        <v>Advanced</v>
      </c>
      <c r="E229" s="45" t="s">
        <v>394</v>
      </c>
      <c r="F229" s="45" t="s">
        <v>395</v>
      </c>
      <c r="G229" s="5">
        <v>0</v>
      </c>
      <c r="H229" s="44">
        <v>1</v>
      </c>
      <c r="I229" s="44" t="str">
        <f>INDEX(Helper!$C:$C, MATCH(H229, Helper!$A:$A, 0))</f>
        <v>Standard (EADGBE)</v>
      </c>
      <c r="J229" s="44" t="s">
        <v>67</v>
      </c>
      <c r="K229" s="64" t="s">
        <v>15</v>
      </c>
      <c r="L229" s="44" t="str">
        <f>INDEX(Helper!$F:$F, MATCH(K229, Helper!$E:$E, 0))</f>
        <v>#C2C2A1</v>
      </c>
      <c r="M229" s="45" t="s">
        <v>396</v>
      </c>
      <c r="N229" s="45" t="s">
        <v>614</v>
      </c>
      <c r="O229" s="45" t="s">
        <v>892</v>
      </c>
      <c r="P229" s="74" t="s">
        <v>1163</v>
      </c>
    </row>
    <row r="230" spans="1:16" ht="364.5">
      <c r="A230" s="44">
        <v>227</v>
      </c>
      <c r="B230" s="44">
        <v>1</v>
      </c>
      <c r="C230" s="44">
        <v>3</v>
      </c>
      <c r="D230" s="45" t="str">
        <f>INDEX(Helper!$N$2:$N$4, MATCH(C230, Helper!$M$2:$M$4, 0))</f>
        <v>Advanced</v>
      </c>
      <c r="E230" s="54" t="s">
        <v>78</v>
      </c>
      <c r="F230" s="54" t="s">
        <v>479</v>
      </c>
      <c r="G230" s="5">
        <v>0</v>
      </c>
      <c r="H230" s="44">
        <v>2</v>
      </c>
      <c r="I230" s="44" t="str">
        <f>INDEX(Helper!$C:$C, MATCH(H230, Helper!$A:$A, 0))</f>
        <v>Drop D (DADGBE)</v>
      </c>
      <c r="J230" s="44" t="s">
        <v>65</v>
      </c>
      <c r="K230" s="65" t="s">
        <v>13</v>
      </c>
      <c r="L230" s="44" t="str">
        <f>INDEX(Helper!$F:$F, MATCH(K230, Helper!$E:$E, 0))</f>
        <v>#FF4F53</v>
      </c>
      <c r="M230" s="45" t="s">
        <v>480</v>
      </c>
      <c r="N230" s="45" t="s">
        <v>614</v>
      </c>
      <c r="O230" s="45" t="s">
        <v>893</v>
      </c>
      <c r="P230" s="74" t="s">
        <v>1164</v>
      </c>
    </row>
    <row r="231" spans="1:16" ht="81">
      <c r="A231" s="44">
        <v>228</v>
      </c>
      <c r="B231" s="44">
        <v>1</v>
      </c>
      <c r="C231" s="44">
        <v>1</v>
      </c>
      <c r="D231" s="45" t="str">
        <f>INDEX(Helper!$N$2:$N$4, MATCH(C231, Helper!$M$2:$M$4, 0))</f>
        <v>Beginner</v>
      </c>
      <c r="E231" s="45" t="s">
        <v>151</v>
      </c>
      <c r="F231" s="45" t="s">
        <v>788</v>
      </c>
      <c r="G231" s="5">
        <v>1</v>
      </c>
      <c r="H231" s="44">
        <v>1</v>
      </c>
      <c r="I231" s="44" t="str">
        <f>INDEX(Helper!$C:$C, MATCH(H231, Helper!$A:$A, 0))</f>
        <v>Standard (EADGBE)</v>
      </c>
      <c r="J231" s="44" t="s">
        <v>637</v>
      </c>
      <c r="K231" s="65" t="s">
        <v>13</v>
      </c>
      <c r="L231" s="44" t="str">
        <f>INDEX(Helper!$F:$F, MATCH(K231, Helper!$E:$E, 0))</f>
        <v>#FF4F53</v>
      </c>
      <c r="M231" s="45" t="s">
        <v>846</v>
      </c>
      <c r="N231" s="45" t="s">
        <v>639</v>
      </c>
      <c r="O231" s="46" t="s">
        <v>894</v>
      </c>
      <c r="P231" s="74" t="s">
        <v>1165</v>
      </c>
    </row>
    <row r="232" spans="1:16" ht="81">
      <c r="A232" s="44">
        <v>229</v>
      </c>
      <c r="B232" s="44">
        <v>1</v>
      </c>
      <c r="C232" s="44">
        <v>2</v>
      </c>
      <c r="D232" s="45" t="str">
        <f>INDEX(Helper!$N$2:$N$4, MATCH(C232, Helper!$M$2:$M$4, 0))</f>
        <v>Intermediate</v>
      </c>
      <c r="E232" s="45" t="s">
        <v>864</v>
      </c>
      <c r="F232" s="45" t="s">
        <v>863</v>
      </c>
      <c r="G232" s="5">
        <v>1</v>
      </c>
      <c r="H232" s="44">
        <v>3</v>
      </c>
      <c r="I232" s="44" t="str">
        <f>INDEX(Helper!$C:$C, MATCH(H232, Helper!$A:$A, 0))</f>
        <v>Half Step Down (D#G#C#F#A#D#)</v>
      </c>
      <c r="J232" s="44" t="s">
        <v>633</v>
      </c>
      <c r="K232" s="65" t="s">
        <v>13</v>
      </c>
      <c r="L232" s="44" t="str">
        <f>INDEX(Helper!$F:$F, MATCH(K232, Helper!$E:$E, 0))</f>
        <v>#FF4F53</v>
      </c>
      <c r="M232" s="45" t="s">
        <v>895</v>
      </c>
      <c r="N232" s="45" t="s">
        <v>614</v>
      </c>
      <c r="O232" s="46" t="s">
        <v>896</v>
      </c>
      <c r="P232" s="74" t="s">
        <v>1166</v>
      </c>
    </row>
    <row r="233" spans="1:16" ht="270">
      <c r="A233" s="44">
        <v>230</v>
      </c>
      <c r="B233" s="44">
        <v>1</v>
      </c>
      <c r="C233" s="44">
        <v>3</v>
      </c>
      <c r="D233" s="45" t="str">
        <f>INDEX(Helper!$N$2:$N$4, MATCH(C233, Helper!$M$2:$M$4, 0))</f>
        <v>Advanced</v>
      </c>
      <c r="E233" s="45" t="s">
        <v>254</v>
      </c>
      <c r="F233" s="45" t="s">
        <v>932</v>
      </c>
      <c r="G233" s="5">
        <v>0</v>
      </c>
      <c r="H233" s="44">
        <v>1</v>
      </c>
      <c r="I233" s="44" t="str">
        <f>INDEX(Helper!$C:$C, MATCH(H233, Helper!$A:$A, 0))</f>
        <v>Standard (EADGBE)</v>
      </c>
      <c r="J233" s="44" t="s">
        <v>842</v>
      </c>
      <c r="K233" s="64" t="s">
        <v>15</v>
      </c>
      <c r="L233" s="44" t="str">
        <f>INDEX(Helper!$F:$F, MATCH(K233, Helper!$E:$E, 0))</f>
        <v>#C2C2A1</v>
      </c>
      <c r="M233" s="45" t="s">
        <v>897</v>
      </c>
      <c r="N233" s="45" t="s">
        <v>614</v>
      </c>
      <c r="O233" s="46" t="s">
        <v>898</v>
      </c>
      <c r="P233" s="74" t="s">
        <v>1167</v>
      </c>
    </row>
    <row r="234" spans="1:16" ht="81">
      <c r="A234" s="44">
        <v>231</v>
      </c>
      <c r="B234" s="44">
        <v>1</v>
      </c>
      <c r="C234" s="53">
        <v>2</v>
      </c>
      <c r="D234" s="45" t="str">
        <f>INDEX(Helper!$N$2:$N$4, MATCH(C234, Helper!$M$2:$M$4, 0))</f>
        <v>Intermediate</v>
      </c>
      <c r="E234" s="45" t="s">
        <v>271</v>
      </c>
      <c r="F234" s="45" t="s">
        <v>1366</v>
      </c>
      <c r="G234" s="7">
        <v>2</v>
      </c>
      <c r="H234" s="44">
        <v>1</v>
      </c>
      <c r="I234" s="44" t="str">
        <f>INDEX(Helper!$C:$C, MATCH(H234, Helper!$A:$A, 0))</f>
        <v>Standard (EADGBE)</v>
      </c>
      <c r="J234" s="44" t="s">
        <v>61</v>
      </c>
      <c r="K234" s="64" t="s">
        <v>15</v>
      </c>
      <c r="L234" s="44" t="str">
        <f>INDEX(Helper!$F:$F, MATCH(K234, Helper!$E:$E, 0))</f>
        <v>#C2C2A1</v>
      </c>
      <c r="M234" s="54" t="s">
        <v>1273</v>
      </c>
      <c r="N234" s="45" t="s">
        <v>614</v>
      </c>
      <c r="O234" s="81" t="s">
        <v>1368</v>
      </c>
      <c r="P234" s="80" t="s">
        <v>1367</v>
      </c>
    </row>
    <row r="235" spans="1:16" ht="175.5">
      <c r="A235" s="44">
        <v>232</v>
      </c>
      <c r="B235" s="44">
        <v>1</v>
      </c>
      <c r="C235" s="44">
        <v>3</v>
      </c>
      <c r="D235" s="45" t="str">
        <f>INDEX(Helper!$N$2:$N$4, MATCH(C235, Helper!$M$2:$M$4, 0))</f>
        <v>Advanced</v>
      </c>
      <c r="E235" s="45" t="s">
        <v>271</v>
      </c>
      <c r="F235" s="45" t="s">
        <v>1208</v>
      </c>
      <c r="G235" s="5">
        <v>0</v>
      </c>
      <c r="H235" s="44">
        <v>1</v>
      </c>
      <c r="I235" s="44" t="str">
        <f>INDEX(Helper!$C:$C, MATCH(H235, Helper!$A:$A, 0))</f>
        <v>Standard (EADGBE)</v>
      </c>
      <c r="J235" s="44" t="s">
        <v>618</v>
      </c>
      <c r="K235" s="64" t="s">
        <v>15</v>
      </c>
      <c r="L235" s="44" t="str">
        <f>INDEX(Helper!$F:$F, MATCH(K235, Helper!$E:$E, 0))</f>
        <v>#C2C2A1</v>
      </c>
      <c r="M235" s="45" t="s">
        <v>1274</v>
      </c>
      <c r="N235" s="45" t="s">
        <v>614</v>
      </c>
      <c r="O235" s="75" t="s">
        <v>1370</v>
      </c>
      <c r="P235" s="74" t="s">
        <v>1369</v>
      </c>
    </row>
    <row r="236" spans="1:16" ht="81">
      <c r="A236" s="44">
        <v>233</v>
      </c>
      <c r="B236" s="44">
        <v>1</v>
      </c>
      <c r="C236" s="44">
        <v>2</v>
      </c>
      <c r="D236" s="45" t="str">
        <f>INDEX(Helper!$N$2:$N$4, MATCH(C236, Helper!$M$2:$M$4, 0))</f>
        <v>Intermediate</v>
      </c>
      <c r="E236" s="45" t="s">
        <v>271</v>
      </c>
      <c r="F236" s="45" t="s">
        <v>1209</v>
      </c>
      <c r="G236" s="5">
        <v>2</v>
      </c>
      <c r="H236" s="44">
        <v>1</v>
      </c>
      <c r="I236" s="44" t="str">
        <f>INDEX(Helper!$C:$C, MATCH(H236, Helper!$A:$A, 0))</f>
        <v>Standard (EADGBE)</v>
      </c>
      <c r="J236" s="44" t="s">
        <v>618</v>
      </c>
      <c r="K236" s="64" t="s">
        <v>15</v>
      </c>
      <c r="L236" s="44" t="str">
        <f>INDEX(Helper!$F:$F, MATCH(K236, Helper!$E:$E, 0))</f>
        <v>#C2C2A1</v>
      </c>
      <c r="M236" s="45" t="s">
        <v>1275</v>
      </c>
      <c r="N236" s="45" t="s">
        <v>614</v>
      </c>
      <c r="O236" s="75" t="s">
        <v>1372</v>
      </c>
      <c r="P236" s="74" t="s">
        <v>1371</v>
      </c>
    </row>
    <row r="237" spans="1:16" ht="175.5">
      <c r="A237" s="44">
        <v>234</v>
      </c>
      <c r="B237" s="44">
        <v>1</v>
      </c>
      <c r="C237" s="44">
        <v>2</v>
      </c>
      <c r="D237" s="45" t="str">
        <f>INDEX(Helper!$N$2:$N$4, MATCH(C237, Helper!$M$2:$M$4, 0))</f>
        <v>Intermediate</v>
      </c>
      <c r="E237" s="45" t="s">
        <v>271</v>
      </c>
      <c r="F237" s="45" t="s">
        <v>1210</v>
      </c>
      <c r="G237" s="5">
        <v>0</v>
      </c>
      <c r="H237" s="44">
        <v>1</v>
      </c>
      <c r="I237" s="44" t="str">
        <f>INDEX(Helper!$C:$C, MATCH(H237, Helper!$A:$A, 0))</f>
        <v>Standard (EADGBE)</v>
      </c>
      <c r="J237" s="44" t="s">
        <v>61</v>
      </c>
      <c r="K237" s="64" t="s">
        <v>15</v>
      </c>
      <c r="L237" s="44" t="str">
        <f>INDEX(Helper!$F:$F, MATCH(K237, Helper!$E:$E, 0))</f>
        <v>#C2C2A1</v>
      </c>
      <c r="M237" s="45" t="s">
        <v>1276</v>
      </c>
      <c r="N237" s="45" t="s">
        <v>614</v>
      </c>
      <c r="O237" s="75" t="s">
        <v>1374</v>
      </c>
      <c r="P237" s="74" t="s">
        <v>1373</v>
      </c>
    </row>
    <row r="238" spans="1:16" ht="409.5">
      <c r="A238" s="44">
        <v>235</v>
      </c>
      <c r="B238" s="44">
        <v>1</v>
      </c>
      <c r="C238" s="44">
        <v>2</v>
      </c>
      <c r="D238" s="45" t="str">
        <f>INDEX(Helper!$N$2:$N$4, MATCH(C238, Helper!$M$2:$M$4, 0))</f>
        <v>Intermediate</v>
      </c>
      <c r="E238" s="45" t="s">
        <v>271</v>
      </c>
      <c r="F238" s="45" t="s">
        <v>1211</v>
      </c>
      <c r="G238" s="5">
        <v>2</v>
      </c>
      <c r="H238" s="44">
        <v>1</v>
      </c>
      <c r="I238" s="44" t="str">
        <f>INDEX(Helper!$C:$C, MATCH(H238, Helper!$A:$A, 0))</f>
        <v>Standard (EADGBE)</v>
      </c>
      <c r="J238" s="44" t="s">
        <v>64</v>
      </c>
      <c r="K238" s="64" t="s">
        <v>15</v>
      </c>
      <c r="L238" s="44" t="str">
        <f>INDEX(Helper!$F:$F, MATCH(K238, Helper!$E:$E, 0))</f>
        <v>#C2C2A1</v>
      </c>
      <c r="M238" s="45" t="s">
        <v>1277</v>
      </c>
      <c r="N238" s="45" t="s">
        <v>614</v>
      </c>
      <c r="O238" s="75" t="s">
        <v>1376</v>
      </c>
      <c r="P238" s="74" t="s">
        <v>1375</v>
      </c>
    </row>
    <row r="239" spans="1:16" ht="175.5">
      <c r="A239" s="44">
        <v>236</v>
      </c>
      <c r="B239" s="44">
        <v>1</v>
      </c>
      <c r="C239" s="44">
        <v>2</v>
      </c>
      <c r="D239" s="45" t="str">
        <f>INDEX(Helper!$N$2:$N$4, MATCH(C239, Helper!$M$2:$M$4, 0))</f>
        <v>Intermediate</v>
      </c>
      <c r="E239" s="45" t="s">
        <v>271</v>
      </c>
      <c r="F239" s="45" t="s">
        <v>1212</v>
      </c>
      <c r="G239" s="5">
        <v>2</v>
      </c>
      <c r="H239" s="44">
        <v>1</v>
      </c>
      <c r="I239" s="44" t="str">
        <f>INDEX(Helper!$C:$C, MATCH(H239, Helper!$A:$A, 0))</f>
        <v>Standard (EADGBE)</v>
      </c>
      <c r="J239" s="44" t="s">
        <v>618</v>
      </c>
      <c r="K239" s="64" t="s">
        <v>15</v>
      </c>
      <c r="L239" s="44" t="str">
        <f>INDEX(Helper!$F:$F, MATCH(K239, Helper!$E:$E, 0))</f>
        <v>#C2C2A1</v>
      </c>
      <c r="M239" s="45" t="s">
        <v>1278</v>
      </c>
      <c r="N239" s="45" t="s">
        <v>614</v>
      </c>
      <c r="O239" s="75" t="s">
        <v>1378</v>
      </c>
      <c r="P239" s="74" t="s">
        <v>1377</v>
      </c>
    </row>
    <row r="240" spans="1:16" ht="175.5">
      <c r="A240" s="44">
        <v>237</v>
      </c>
      <c r="B240" s="44">
        <v>1</v>
      </c>
      <c r="C240" s="44">
        <v>3</v>
      </c>
      <c r="D240" s="45" t="str">
        <f>INDEX(Helper!$N$2:$N$4, MATCH(C240, Helper!$M$2:$M$4, 0))</f>
        <v>Advanced</v>
      </c>
      <c r="E240" s="45" t="s">
        <v>271</v>
      </c>
      <c r="F240" s="45" t="s">
        <v>1168</v>
      </c>
      <c r="G240" s="5">
        <v>2</v>
      </c>
      <c r="H240" s="44">
        <v>1</v>
      </c>
      <c r="I240" s="44" t="str">
        <f>INDEX(Helper!$C:$C, MATCH(H240, Helper!$A:$A, 0))</f>
        <v>Standard (EADGBE)</v>
      </c>
      <c r="J240" s="44" t="s">
        <v>66</v>
      </c>
      <c r="K240" s="64" t="s">
        <v>15</v>
      </c>
      <c r="L240" s="44" t="str">
        <f>INDEX(Helper!$F:$F, MATCH(K240, Helper!$E:$E, 0))</f>
        <v>#C2C2A1</v>
      </c>
      <c r="M240" s="45" t="s">
        <v>1279</v>
      </c>
      <c r="N240" s="45" t="s">
        <v>614</v>
      </c>
      <c r="O240" s="75" t="s">
        <v>1380</v>
      </c>
      <c r="P240" s="74" t="s">
        <v>1379</v>
      </c>
    </row>
    <row r="241" spans="1:16" ht="270">
      <c r="A241" s="44">
        <v>238</v>
      </c>
      <c r="B241" s="44">
        <v>1</v>
      </c>
      <c r="C241" s="44">
        <v>2</v>
      </c>
      <c r="D241" s="45" t="str">
        <f>INDEX(Helper!$N$2:$N$4, MATCH(C241, Helper!$M$2:$M$4, 0))</f>
        <v>Intermediate</v>
      </c>
      <c r="E241" s="45" t="s">
        <v>271</v>
      </c>
      <c r="F241" s="45" t="s">
        <v>1169</v>
      </c>
      <c r="G241" s="5">
        <v>0</v>
      </c>
      <c r="H241" s="44">
        <v>3</v>
      </c>
      <c r="I241" s="44" t="str">
        <f>INDEX(Helper!$C:$C, MATCH(H241, Helper!$A:$A, 0))</f>
        <v>Half Step Down (D#G#C#F#A#D#)</v>
      </c>
      <c r="J241" s="44" t="s">
        <v>794</v>
      </c>
      <c r="K241" s="64" t="s">
        <v>15</v>
      </c>
      <c r="L241" s="44" t="str">
        <f>INDEX(Helper!$F:$F, MATCH(K241, Helper!$E:$E, 0))</f>
        <v>#C2C2A1</v>
      </c>
      <c r="M241" s="45" t="s">
        <v>1280</v>
      </c>
      <c r="N241" s="45" t="s">
        <v>614</v>
      </c>
      <c r="O241" s="75" t="s">
        <v>1382</v>
      </c>
      <c r="P241" s="74" t="s">
        <v>1381</v>
      </c>
    </row>
    <row r="242" spans="1:16" ht="81">
      <c r="A242" s="44">
        <v>239</v>
      </c>
      <c r="B242" s="44">
        <v>1</v>
      </c>
      <c r="C242" s="44">
        <v>1</v>
      </c>
      <c r="D242" s="45" t="str">
        <f>INDEX(Helper!$N$2:$N$4, MATCH(C242, Helper!$M$2:$M$4, 0))</f>
        <v>Beginner</v>
      </c>
      <c r="E242" s="45" t="s">
        <v>271</v>
      </c>
      <c r="F242" s="45" t="s">
        <v>1264</v>
      </c>
      <c r="G242" s="5">
        <v>2</v>
      </c>
      <c r="H242" s="44">
        <v>11</v>
      </c>
      <c r="I242" s="44" t="str">
        <f>INDEX(Helper!$C:$C, MATCH(H242, Helper!$A:$A, 0))</f>
        <v>CGCFAD</v>
      </c>
      <c r="J242" s="44" t="s">
        <v>64</v>
      </c>
      <c r="K242" s="64" t="s">
        <v>15</v>
      </c>
      <c r="L242" s="44" t="str">
        <f>INDEX(Helper!$F:$F, MATCH(K242, Helper!$E:$E, 0))</f>
        <v>#C2C2A1</v>
      </c>
      <c r="M242" s="45" t="s">
        <v>1281</v>
      </c>
      <c r="N242" s="45" t="s">
        <v>614</v>
      </c>
      <c r="O242" s="75" t="s">
        <v>1383</v>
      </c>
      <c r="P242" s="74" t="s">
        <v>1384</v>
      </c>
    </row>
    <row r="243" spans="1:16" ht="81">
      <c r="A243" s="44">
        <v>240</v>
      </c>
      <c r="B243" s="44">
        <v>1</v>
      </c>
      <c r="C243" s="44">
        <v>1</v>
      </c>
      <c r="D243" s="45" t="str">
        <f>INDEX(Helper!$N$2:$N$4, MATCH(C243, Helper!$M$2:$M$4, 0))</f>
        <v>Beginner</v>
      </c>
      <c r="E243" s="45" t="s">
        <v>271</v>
      </c>
      <c r="F243" s="45" t="s">
        <v>1213</v>
      </c>
      <c r="G243" s="5">
        <v>0</v>
      </c>
      <c r="H243" s="44">
        <v>3</v>
      </c>
      <c r="I243" s="44" t="str">
        <f>INDEX(Helper!$C:$C, MATCH(H243, Helper!$A:$A, 0))</f>
        <v>Half Step Down (D#G#C#F#A#D#)</v>
      </c>
      <c r="J243" s="44" t="s">
        <v>68</v>
      </c>
      <c r="K243" s="64" t="s">
        <v>15</v>
      </c>
      <c r="L243" s="44" t="str">
        <f>INDEX(Helper!$F:$F, MATCH(K243, Helper!$E:$E, 0))</f>
        <v>#C2C2A1</v>
      </c>
      <c r="M243" s="45" t="s">
        <v>1283</v>
      </c>
      <c r="N243" s="45" t="s">
        <v>639</v>
      </c>
      <c r="O243" s="75" t="s">
        <v>1385</v>
      </c>
      <c r="P243" s="74" t="s">
        <v>1386</v>
      </c>
    </row>
    <row r="244" spans="1:16" ht="162">
      <c r="A244" s="44">
        <v>241</v>
      </c>
      <c r="B244" s="44">
        <v>1</v>
      </c>
      <c r="C244" s="44">
        <v>2</v>
      </c>
      <c r="D244" s="45" t="str">
        <f>INDEX(Helper!$N$2:$N$4, MATCH(C244, Helper!$M$2:$M$4, 0))</f>
        <v>Intermediate</v>
      </c>
      <c r="E244" s="45" t="s">
        <v>271</v>
      </c>
      <c r="F244" s="45" t="s">
        <v>1214</v>
      </c>
      <c r="G244" s="5">
        <v>0</v>
      </c>
      <c r="H244" s="44">
        <v>1</v>
      </c>
      <c r="I244" s="44" t="str">
        <f>INDEX(Helper!$C:$C, MATCH(H244, Helper!$A:$A, 0))</f>
        <v>Standard (EADGBE)</v>
      </c>
      <c r="J244" s="44" t="s">
        <v>61</v>
      </c>
      <c r="K244" s="64" t="s">
        <v>15</v>
      </c>
      <c r="L244" s="44" t="str">
        <f>INDEX(Helper!$F:$F, MATCH(K244, Helper!$E:$E, 0))</f>
        <v>#C2C2A1</v>
      </c>
      <c r="M244" s="45" t="s">
        <v>1282</v>
      </c>
      <c r="N244" s="45" t="s">
        <v>614</v>
      </c>
      <c r="O244" s="84" t="s">
        <v>1387</v>
      </c>
      <c r="P244" s="74" t="s">
        <v>1583</v>
      </c>
    </row>
    <row r="245" spans="1:16" ht="81">
      <c r="A245" s="44">
        <v>242</v>
      </c>
      <c r="B245" s="44">
        <v>1</v>
      </c>
      <c r="C245" s="44">
        <v>2</v>
      </c>
      <c r="D245" s="45" t="str">
        <f>INDEX(Helper!$N$2:$N$4, MATCH(C245, Helper!$M$2:$M$4, 0))</f>
        <v>Intermediate</v>
      </c>
      <c r="E245" s="45" t="s">
        <v>271</v>
      </c>
      <c r="F245" s="45" t="s">
        <v>1215</v>
      </c>
      <c r="G245" s="5">
        <v>2</v>
      </c>
      <c r="H245" s="44">
        <v>5</v>
      </c>
      <c r="I245" s="44" t="str">
        <f>INDEX(Helper!$C:$C, MATCH(H245, Helper!$A:$A, 0))</f>
        <v>Whole Step Down (DGCFAD)</v>
      </c>
      <c r="J245" s="44" t="s">
        <v>65</v>
      </c>
      <c r="K245" s="64" t="s">
        <v>15</v>
      </c>
      <c r="L245" s="44" t="str">
        <f>INDEX(Helper!$F:$F, MATCH(K245, Helper!$E:$E, 0))</f>
        <v>#C2C2A1</v>
      </c>
      <c r="M245" s="45" t="s">
        <v>1284</v>
      </c>
      <c r="N245" s="45" t="s">
        <v>614</v>
      </c>
      <c r="O245" s="75" t="s">
        <v>1388</v>
      </c>
      <c r="P245" s="74" t="s">
        <v>1389</v>
      </c>
    </row>
    <row r="246" spans="1:16" ht="81">
      <c r="A246" s="44">
        <v>243</v>
      </c>
      <c r="B246" s="44">
        <v>1</v>
      </c>
      <c r="C246" s="44">
        <v>2</v>
      </c>
      <c r="D246" s="45" t="str">
        <f>INDEX(Helper!$N$2:$N$4, MATCH(C246, Helper!$M$2:$M$4, 0))</f>
        <v>Intermediate</v>
      </c>
      <c r="E246" s="45" t="s">
        <v>34</v>
      </c>
      <c r="F246" s="45" t="s">
        <v>1265</v>
      </c>
      <c r="G246" s="5">
        <v>2</v>
      </c>
      <c r="H246" s="44">
        <v>1</v>
      </c>
      <c r="I246" s="44" t="str">
        <f>INDEX(Helper!$C:$C, MATCH(H246, Helper!$A:$A, 0))</f>
        <v>Standard (EADGBE)</v>
      </c>
      <c r="J246" s="44" t="s">
        <v>626</v>
      </c>
      <c r="K246" s="59" t="s">
        <v>10</v>
      </c>
      <c r="L246" s="44" t="str">
        <f>INDEX(Helper!$F:$F, MATCH(K246, Helper!$E:$E, 0))</f>
        <v>#F5943C</v>
      </c>
      <c r="M246" s="45" t="s">
        <v>1285</v>
      </c>
      <c r="N246" s="45" t="s">
        <v>614</v>
      </c>
      <c r="O246" s="84" t="s">
        <v>1391</v>
      </c>
      <c r="P246" s="74" t="s">
        <v>1390</v>
      </c>
    </row>
    <row r="247" spans="1:16" ht="81">
      <c r="A247" s="44">
        <v>244</v>
      </c>
      <c r="B247" s="44">
        <v>1</v>
      </c>
      <c r="C247" s="44">
        <v>3</v>
      </c>
      <c r="D247" s="45" t="str">
        <f>INDEX(Helper!$N$2:$N$4, MATCH(C247, Helper!$M$2:$M$4, 0))</f>
        <v>Advanced</v>
      </c>
      <c r="E247" s="45" t="s">
        <v>34</v>
      </c>
      <c r="F247" s="45" t="s">
        <v>1216</v>
      </c>
      <c r="G247" s="5">
        <v>2</v>
      </c>
      <c r="H247" s="44">
        <v>1</v>
      </c>
      <c r="I247" s="44" t="str">
        <f>INDEX(Helper!$C:$C, MATCH(H247, Helper!$A:$A, 0))</f>
        <v>Standard (EADGBE)</v>
      </c>
      <c r="J247" s="44" t="s">
        <v>626</v>
      </c>
      <c r="K247" s="59" t="s">
        <v>10</v>
      </c>
      <c r="L247" s="44" t="str">
        <f>INDEX(Helper!$F:$F, MATCH(K247, Helper!$E:$E, 0))</f>
        <v>#F5943C</v>
      </c>
      <c r="M247" s="45" t="s">
        <v>1286</v>
      </c>
      <c r="N247" s="45" t="s">
        <v>614</v>
      </c>
      <c r="O247" s="75" t="s">
        <v>1393</v>
      </c>
      <c r="P247" s="74" t="s">
        <v>1392</v>
      </c>
    </row>
    <row r="248" spans="1:16" ht="81">
      <c r="A248" s="44">
        <v>245</v>
      </c>
      <c r="B248" s="44">
        <v>1</v>
      </c>
      <c r="C248" s="44">
        <v>2</v>
      </c>
      <c r="D248" s="45" t="str">
        <f>INDEX(Helper!$N$2:$N$4, MATCH(C248, Helper!$M$2:$M$4, 0))</f>
        <v>Intermediate</v>
      </c>
      <c r="E248" s="45" t="s">
        <v>34</v>
      </c>
      <c r="F248" s="45" t="s">
        <v>1217</v>
      </c>
      <c r="G248" s="5">
        <v>2</v>
      </c>
      <c r="H248" s="44">
        <v>1</v>
      </c>
      <c r="I248" s="44" t="str">
        <f>INDEX(Helper!$C:$C, MATCH(H248, Helper!$A:$A, 0))</f>
        <v>Standard (EADGBE)</v>
      </c>
      <c r="J248" s="44" t="s">
        <v>626</v>
      </c>
      <c r="K248" s="59" t="s">
        <v>10</v>
      </c>
      <c r="L248" s="44" t="str">
        <f>INDEX(Helper!$F:$F, MATCH(K248, Helper!$E:$E, 0))</f>
        <v>#F5943C</v>
      </c>
      <c r="M248" s="45" t="s">
        <v>1287</v>
      </c>
      <c r="N248" s="45" t="s">
        <v>639</v>
      </c>
      <c r="O248" s="82" t="s">
        <v>1395</v>
      </c>
      <c r="P248" s="74" t="s">
        <v>1394</v>
      </c>
    </row>
    <row r="249" spans="1:16" ht="121.5">
      <c r="A249" s="44">
        <v>246</v>
      </c>
      <c r="B249" s="44">
        <v>1</v>
      </c>
      <c r="C249" s="44">
        <v>2</v>
      </c>
      <c r="D249" s="45" t="str">
        <f>INDEX(Helper!$N$2:$N$4, MATCH(C249, Helper!$M$2:$M$4, 0))</f>
        <v>Intermediate</v>
      </c>
      <c r="E249" s="45" t="s">
        <v>34</v>
      </c>
      <c r="F249" s="45" t="s">
        <v>1218</v>
      </c>
      <c r="G249" s="5">
        <v>2</v>
      </c>
      <c r="H249" s="44">
        <v>1</v>
      </c>
      <c r="I249" s="44" t="str">
        <f>INDEX(Helper!$C:$C, MATCH(H249, Helper!$A:$A, 0))</f>
        <v>Standard (EADGBE)</v>
      </c>
      <c r="J249" s="44" t="s">
        <v>65</v>
      </c>
      <c r="K249" s="59" t="s">
        <v>10</v>
      </c>
      <c r="L249" s="44" t="str">
        <f>INDEX(Helper!$F:$F, MATCH(K249, Helper!$E:$E, 0))</f>
        <v>#F5943C</v>
      </c>
      <c r="M249" s="45" t="s">
        <v>1288</v>
      </c>
      <c r="N249" s="45" t="s">
        <v>614</v>
      </c>
      <c r="O249" s="75" t="s">
        <v>1396</v>
      </c>
      <c r="P249" s="74" t="s">
        <v>1568</v>
      </c>
    </row>
    <row r="250" spans="1:16" ht="175.5">
      <c r="A250" s="44">
        <v>247</v>
      </c>
      <c r="B250" s="44">
        <v>1</v>
      </c>
      <c r="C250" s="44">
        <v>2</v>
      </c>
      <c r="D250" s="45" t="str">
        <f>INDEX(Helper!$N$2:$N$4, MATCH(C250, Helper!$M$2:$M$4, 0))</f>
        <v>Intermediate</v>
      </c>
      <c r="E250" s="45" t="s">
        <v>34</v>
      </c>
      <c r="F250" s="45" t="s">
        <v>1219</v>
      </c>
      <c r="G250" s="5">
        <v>0</v>
      </c>
      <c r="H250" s="44">
        <v>1</v>
      </c>
      <c r="I250" s="44" t="str">
        <f>INDEX(Helper!$C:$C, MATCH(H250, Helper!$A:$A, 0))</f>
        <v>Standard (EADGBE)</v>
      </c>
      <c r="J250" s="44" t="s">
        <v>59</v>
      </c>
      <c r="K250" s="59" t="s">
        <v>10</v>
      </c>
      <c r="L250" s="44" t="str">
        <f>INDEX(Helper!$F:$F, MATCH(K250, Helper!$E:$E, 0))</f>
        <v>#F5943C</v>
      </c>
      <c r="M250" s="45" t="s">
        <v>1289</v>
      </c>
      <c r="N250" s="45" t="s">
        <v>614</v>
      </c>
      <c r="O250" s="75" t="s">
        <v>1398</v>
      </c>
      <c r="P250" s="74" t="s">
        <v>1397</v>
      </c>
    </row>
    <row r="251" spans="1:16" ht="81">
      <c r="A251" s="44">
        <v>248</v>
      </c>
      <c r="B251" s="44">
        <v>1</v>
      </c>
      <c r="C251" s="44">
        <v>1</v>
      </c>
      <c r="D251" s="45" t="str">
        <f>INDEX(Helper!$N$2:$N$4, MATCH(C251, Helper!$M$2:$M$4, 0))</f>
        <v>Beginner</v>
      </c>
      <c r="E251" s="45" t="s">
        <v>34</v>
      </c>
      <c r="F251" s="45" t="s">
        <v>1220</v>
      </c>
      <c r="G251" s="5">
        <v>2</v>
      </c>
      <c r="H251" s="44">
        <v>1</v>
      </c>
      <c r="I251" s="44" t="str">
        <f>INDEX(Helper!$C:$C, MATCH(H251, Helper!$A:$A, 0))</f>
        <v>Standard (EADGBE)</v>
      </c>
      <c r="J251" s="44" t="s">
        <v>63</v>
      </c>
      <c r="K251" s="59" t="s">
        <v>10</v>
      </c>
      <c r="L251" s="44" t="str">
        <f>INDEX(Helper!$F:$F, MATCH(K251, Helper!$E:$E, 0))</f>
        <v>#F5943C</v>
      </c>
      <c r="M251" s="45" t="s">
        <v>1290</v>
      </c>
      <c r="N251" s="45" t="s">
        <v>614</v>
      </c>
      <c r="O251" s="75" t="s">
        <v>1399</v>
      </c>
      <c r="P251" s="74" t="s">
        <v>1571</v>
      </c>
    </row>
    <row r="252" spans="1:16" ht="81">
      <c r="A252" s="44">
        <v>249</v>
      </c>
      <c r="B252" s="44">
        <v>1</v>
      </c>
      <c r="C252" s="44">
        <v>1</v>
      </c>
      <c r="D252" s="45" t="str">
        <f>INDEX(Helper!$N$2:$N$4, MATCH(C252, Helper!$M$2:$M$4, 0))</f>
        <v>Beginner</v>
      </c>
      <c r="E252" s="45" t="s">
        <v>34</v>
      </c>
      <c r="F252" s="45" t="s">
        <v>1266</v>
      </c>
      <c r="G252" s="5">
        <v>0</v>
      </c>
      <c r="H252" s="44">
        <v>3</v>
      </c>
      <c r="I252" s="44" t="str">
        <f>INDEX(Helper!$C:$C, MATCH(H252, Helper!$A:$A, 0))</f>
        <v>Half Step Down (D#G#C#F#A#D#)</v>
      </c>
      <c r="J252" s="44" t="s">
        <v>393</v>
      </c>
      <c r="K252" s="59" t="s">
        <v>10</v>
      </c>
      <c r="L252" s="44" t="str">
        <f>INDEX(Helper!$F:$F, MATCH(K252, Helper!$E:$E, 0))</f>
        <v>#F5943C</v>
      </c>
      <c r="M252" s="45" t="s">
        <v>1291</v>
      </c>
      <c r="N252" s="45" t="s">
        <v>614</v>
      </c>
      <c r="O252" s="84" t="s">
        <v>1400</v>
      </c>
      <c r="P252" s="74" t="s">
        <v>1401</v>
      </c>
    </row>
    <row r="253" spans="1:16" ht="81">
      <c r="A253" s="44">
        <v>250</v>
      </c>
      <c r="B253" s="44">
        <v>1</v>
      </c>
      <c r="C253" s="44">
        <v>2</v>
      </c>
      <c r="D253" s="45" t="str">
        <f>INDEX(Helper!$N$2:$N$4, MATCH(C253, Helper!$M$2:$M$4, 0))</f>
        <v>Intermediate</v>
      </c>
      <c r="E253" s="45" t="s">
        <v>34</v>
      </c>
      <c r="F253" s="45" t="s">
        <v>1221</v>
      </c>
      <c r="G253" s="5">
        <v>0</v>
      </c>
      <c r="H253" s="44">
        <v>3</v>
      </c>
      <c r="I253" s="44" t="str">
        <f>INDEX(Helper!$C:$C, MATCH(H253, Helper!$A:$A, 0))</f>
        <v>Half Step Down (D#G#C#F#A#D#)</v>
      </c>
      <c r="J253" s="44" t="s">
        <v>66</v>
      </c>
      <c r="K253" s="59" t="s">
        <v>10</v>
      </c>
      <c r="L253" s="44" t="str">
        <f>INDEX(Helper!$F:$F, MATCH(K253, Helper!$E:$E, 0))</f>
        <v>#F5943C</v>
      </c>
      <c r="M253" s="45" t="s">
        <v>1292</v>
      </c>
      <c r="N253" s="45" t="s">
        <v>614</v>
      </c>
      <c r="O253" s="84" t="s">
        <v>1402</v>
      </c>
      <c r="P253" s="74" t="s">
        <v>1403</v>
      </c>
    </row>
    <row r="254" spans="1:16" ht="364.5">
      <c r="A254" s="44">
        <v>251</v>
      </c>
      <c r="B254" s="44">
        <v>1</v>
      </c>
      <c r="C254" s="44">
        <v>1</v>
      </c>
      <c r="D254" s="45" t="str">
        <f>INDEX(Helper!$N$2:$N$4, MATCH(C254, Helper!$M$2:$M$4, 0))</f>
        <v>Beginner</v>
      </c>
      <c r="E254" s="45" t="s">
        <v>34</v>
      </c>
      <c r="F254" s="45" t="s">
        <v>1222</v>
      </c>
      <c r="G254" s="5">
        <v>2</v>
      </c>
      <c r="H254" s="44">
        <v>3</v>
      </c>
      <c r="I254" s="44" t="str">
        <f>INDEX(Helper!$C:$C, MATCH(H254, Helper!$A:$A, 0))</f>
        <v>Half Step Down (D#G#C#F#A#D#)</v>
      </c>
      <c r="J254" s="44" t="s">
        <v>794</v>
      </c>
      <c r="K254" s="59" t="s">
        <v>10</v>
      </c>
      <c r="L254" s="44" t="str">
        <f>INDEX(Helper!$F:$F, MATCH(K254, Helper!$E:$E, 0))</f>
        <v>#F5943C</v>
      </c>
      <c r="M254" s="45" t="s">
        <v>1293</v>
      </c>
      <c r="N254" s="45" t="s">
        <v>614</v>
      </c>
      <c r="O254" s="75" t="s">
        <v>1405</v>
      </c>
      <c r="P254" s="74" t="s">
        <v>1404</v>
      </c>
    </row>
    <row r="255" spans="1:16" ht="81">
      <c r="A255" s="44">
        <v>252</v>
      </c>
      <c r="B255" s="44">
        <v>1</v>
      </c>
      <c r="C255" s="44">
        <v>2</v>
      </c>
      <c r="D255" s="45" t="str">
        <f>INDEX(Helper!$N$2:$N$4, MATCH(C255, Helper!$M$2:$M$4, 0))</f>
        <v>Intermediate</v>
      </c>
      <c r="E255" s="45" t="s">
        <v>34</v>
      </c>
      <c r="F255" s="45" t="s">
        <v>1223</v>
      </c>
      <c r="G255" s="5">
        <v>2</v>
      </c>
      <c r="H255" s="44">
        <v>1</v>
      </c>
      <c r="I255" s="44" t="str">
        <f>INDEX(Helper!$C:$C, MATCH(H255, Helper!$A:$A, 0))</f>
        <v>Standard (EADGBE)</v>
      </c>
      <c r="J255" s="44" t="s">
        <v>1267</v>
      </c>
      <c r="K255" s="59" t="s">
        <v>10</v>
      </c>
      <c r="L255" s="44" t="str">
        <f>INDEX(Helper!$F:$F, MATCH(K255, Helper!$E:$E, 0))</f>
        <v>#F5943C</v>
      </c>
      <c r="M255" s="45" t="s">
        <v>1294</v>
      </c>
      <c r="N255" s="45" t="s">
        <v>614</v>
      </c>
      <c r="O255" s="75" t="s">
        <v>1406</v>
      </c>
      <c r="P255" s="74" t="s">
        <v>1407</v>
      </c>
    </row>
    <row r="256" spans="1:16" ht="81">
      <c r="A256" s="44">
        <v>253</v>
      </c>
      <c r="B256" s="44">
        <v>1</v>
      </c>
      <c r="C256" s="44">
        <v>1</v>
      </c>
      <c r="D256" s="45" t="str">
        <f>INDEX(Helper!$N$2:$N$4, MATCH(C256, Helper!$M$2:$M$4, 0))</f>
        <v>Beginner</v>
      </c>
      <c r="E256" s="45" t="s">
        <v>34</v>
      </c>
      <c r="F256" s="45" t="s">
        <v>1170</v>
      </c>
      <c r="G256" s="5">
        <v>0</v>
      </c>
      <c r="H256" s="44">
        <v>1</v>
      </c>
      <c r="I256" s="44" t="str">
        <f>INDEX(Helper!$C:$C, MATCH(H256, Helper!$A:$A, 0))</f>
        <v>Standard (EADGBE)</v>
      </c>
      <c r="J256" s="44" t="s">
        <v>393</v>
      </c>
      <c r="K256" s="59" t="s">
        <v>10</v>
      </c>
      <c r="L256" s="44" t="str">
        <f>INDEX(Helper!$F:$F, MATCH(K256, Helper!$E:$E, 0))</f>
        <v>#F5943C</v>
      </c>
      <c r="M256" s="45" t="s">
        <v>1295</v>
      </c>
      <c r="N256" s="45" t="s">
        <v>614</v>
      </c>
      <c r="O256" s="75" t="s">
        <v>1409</v>
      </c>
      <c r="P256" s="74" t="s">
        <v>1408</v>
      </c>
    </row>
    <row r="257" spans="1:16" ht="81">
      <c r="A257" s="44">
        <v>254</v>
      </c>
      <c r="B257" s="44">
        <v>1</v>
      </c>
      <c r="C257" s="44">
        <v>2</v>
      </c>
      <c r="D257" s="45" t="str">
        <f>INDEX(Helper!$N$2:$N$4, MATCH(C257, Helper!$M$2:$M$4, 0))</f>
        <v>Intermediate</v>
      </c>
      <c r="E257" s="45" t="s">
        <v>34</v>
      </c>
      <c r="F257" s="45" t="s">
        <v>1171</v>
      </c>
      <c r="G257" s="5">
        <v>2</v>
      </c>
      <c r="H257" s="44">
        <v>1</v>
      </c>
      <c r="I257" s="44" t="str">
        <f>INDEX(Helper!$C:$C, MATCH(H257, Helper!$A:$A, 0))</f>
        <v>Standard (EADGBE)</v>
      </c>
      <c r="J257" s="44" t="s">
        <v>393</v>
      </c>
      <c r="K257" s="59" t="s">
        <v>10</v>
      </c>
      <c r="L257" s="44" t="str">
        <f>INDEX(Helper!$F:$F, MATCH(K257, Helper!$E:$E, 0))</f>
        <v>#F5943C</v>
      </c>
      <c r="M257" s="45" t="s">
        <v>1296</v>
      </c>
      <c r="N257" s="45" t="s">
        <v>614</v>
      </c>
      <c r="O257" s="84" t="s">
        <v>1411</v>
      </c>
      <c r="P257" s="74" t="s">
        <v>1410</v>
      </c>
    </row>
    <row r="258" spans="1:16" ht="175.5">
      <c r="A258" s="44">
        <v>255</v>
      </c>
      <c r="B258" s="44">
        <v>1</v>
      </c>
      <c r="C258" s="44">
        <v>1</v>
      </c>
      <c r="D258" s="45" t="str">
        <f>INDEX(Helper!$N$2:$N$4, MATCH(C258, Helper!$M$2:$M$4, 0))</f>
        <v>Beginner</v>
      </c>
      <c r="E258" s="45" t="s">
        <v>232</v>
      </c>
      <c r="F258" s="45" t="s">
        <v>1224</v>
      </c>
      <c r="G258" s="5">
        <v>2</v>
      </c>
      <c r="H258" s="44">
        <v>3</v>
      </c>
      <c r="I258" s="44" t="str">
        <f>INDEX(Helper!$C:$C, MATCH(H258, Helper!$A:$A, 0))</f>
        <v>Half Step Down (D#G#C#F#A#D#)</v>
      </c>
      <c r="J258" s="44" t="s">
        <v>794</v>
      </c>
      <c r="K258" s="65" t="s">
        <v>13</v>
      </c>
      <c r="L258" s="44" t="str">
        <f>INDEX(Helper!$F:$F, MATCH(K258, Helper!$E:$E, 0))</f>
        <v>#FF4F53</v>
      </c>
      <c r="M258" s="45" t="s">
        <v>1297</v>
      </c>
      <c r="N258" s="45" t="s">
        <v>614</v>
      </c>
      <c r="O258" s="75" t="s">
        <v>1413</v>
      </c>
      <c r="P258" s="74" t="s">
        <v>1412</v>
      </c>
    </row>
    <row r="259" spans="1:16" ht="81">
      <c r="A259" s="44">
        <v>256</v>
      </c>
      <c r="B259" s="44">
        <v>1</v>
      </c>
      <c r="C259" s="44">
        <v>1</v>
      </c>
      <c r="D259" s="45" t="str">
        <f>INDEX(Helper!$N$2:$N$4, MATCH(C259, Helper!$M$2:$M$4, 0))</f>
        <v>Beginner</v>
      </c>
      <c r="E259" s="45" t="s">
        <v>232</v>
      </c>
      <c r="F259" s="45" t="s">
        <v>1225</v>
      </c>
      <c r="G259" s="5">
        <v>0</v>
      </c>
      <c r="H259" s="44">
        <v>9</v>
      </c>
      <c r="I259" s="44" t="str">
        <f>INDEX(Helper!$C:$C, MATCH(H259, Helper!$A:$A, 0))</f>
        <v>C#G#C#F#A#D#</v>
      </c>
      <c r="J259" s="44" t="s">
        <v>70</v>
      </c>
      <c r="K259" s="65" t="s">
        <v>13</v>
      </c>
      <c r="L259" s="44" t="str">
        <f>INDEX(Helper!$F:$F, MATCH(K259, Helper!$E:$E, 0))</f>
        <v>#FF4F53</v>
      </c>
      <c r="M259" s="45" t="s">
        <v>1298</v>
      </c>
      <c r="N259" s="45" t="s">
        <v>614</v>
      </c>
      <c r="O259" s="84" t="s">
        <v>1414</v>
      </c>
      <c r="P259" s="74" t="s">
        <v>1415</v>
      </c>
    </row>
    <row r="260" spans="1:16" ht="81">
      <c r="A260" s="44">
        <v>257</v>
      </c>
      <c r="B260" s="44">
        <v>1</v>
      </c>
      <c r="C260" s="44">
        <v>1</v>
      </c>
      <c r="D260" s="45" t="str">
        <f>INDEX(Helper!$N$2:$N$4, MATCH(C260, Helper!$M$2:$M$4, 0))</f>
        <v>Beginner</v>
      </c>
      <c r="E260" s="45" t="s">
        <v>232</v>
      </c>
      <c r="F260" s="45" t="s">
        <v>1172</v>
      </c>
      <c r="G260" s="5">
        <v>2</v>
      </c>
      <c r="H260" s="44">
        <v>3</v>
      </c>
      <c r="I260" s="44" t="str">
        <f>INDEX(Helper!$C:$C, MATCH(H260, Helper!$A:$A, 0))</f>
        <v>Half Step Down (D#G#C#F#A#D#)</v>
      </c>
      <c r="J260" s="44" t="s">
        <v>70</v>
      </c>
      <c r="K260" s="65" t="s">
        <v>13</v>
      </c>
      <c r="L260" s="44" t="str">
        <f>INDEX(Helper!$F:$F, MATCH(K260, Helper!$E:$E, 0))</f>
        <v>#FF4F53</v>
      </c>
      <c r="M260" s="45" t="s">
        <v>1299</v>
      </c>
      <c r="N260" s="45" t="s">
        <v>614</v>
      </c>
      <c r="O260" s="75" t="s">
        <v>1417</v>
      </c>
      <c r="P260" s="74" t="s">
        <v>1416</v>
      </c>
    </row>
    <row r="261" spans="1:16" ht="81">
      <c r="A261" s="44">
        <v>258</v>
      </c>
      <c r="B261" s="44">
        <v>1</v>
      </c>
      <c r="C261" s="44">
        <v>2</v>
      </c>
      <c r="D261" s="45" t="str">
        <f>INDEX(Helper!$N$2:$N$4, MATCH(C261, Helper!$M$2:$M$4, 0))</f>
        <v>Intermediate</v>
      </c>
      <c r="E261" s="45" t="s">
        <v>232</v>
      </c>
      <c r="F261" s="45" t="s">
        <v>1173</v>
      </c>
      <c r="G261" s="5">
        <v>0</v>
      </c>
      <c r="H261" s="44">
        <v>5</v>
      </c>
      <c r="I261" s="44" t="str">
        <f>INDEX(Helper!$C:$C, MATCH(H261, Helper!$A:$A, 0))</f>
        <v>Whole Step Down (DGCFAD)</v>
      </c>
      <c r="J261" s="44" t="s">
        <v>65</v>
      </c>
      <c r="K261" s="65" t="s">
        <v>13</v>
      </c>
      <c r="L261" s="44" t="str">
        <f>INDEX(Helper!$F:$F, MATCH(K261, Helper!$E:$E, 0))</f>
        <v>#FF4F53</v>
      </c>
      <c r="M261" s="45" t="s">
        <v>1300</v>
      </c>
      <c r="N261" s="45" t="s">
        <v>614</v>
      </c>
      <c r="O261" s="84" t="s">
        <v>1421</v>
      </c>
      <c r="P261" s="74" t="s">
        <v>1418</v>
      </c>
    </row>
    <row r="262" spans="1:16" ht="270">
      <c r="A262" s="44">
        <v>259</v>
      </c>
      <c r="B262" s="44">
        <v>1</v>
      </c>
      <c r="C262" s="44">
        <v>2</v>
      </c>
      <c r="D262" s="45" t="str">
        <f>INDEX(Helper!$N$2:$N$4, MATCH(C262, Helper!$M$2:$M$4, 0))</f>
        <v>Intermediate</v>
      </c>
      <c r="E262" s="45" t="s">
        <v>232</v>
      </c>
      <c r="F262" s="45" t="s">
        <v>1226</v>
      </c>
      <c r="G262" s="5">
        <v>2</v>
      </c>
      <c r="H262" s="44">
        <v>1</v>
      </c>
      <c r="I262" s="44" t="str">
        <f>INDEX(Helper!$C:$C, MATCH(H262, Helper!$A:$A, 0))</f>
        <v>Standard (EADGBE)</v>
      </c>
      <c r="J262" s="44" t="s">
        <v>842</v>
      </c>
      <c r="K262" s="65" t="s">
        <v>13</v>
      </c>
      <c r="L262" s="44" t="str">
        <f>INDEX(Helper!$F:$F, MATCH(K262, Helper!$E:$E, 0))</f>
        <v>#FF4F53</v>
      </c>
      <c r="M262" s="45" t="s">
        <v>1301</v>
      </c>
      <c r="N262" s="45" t="s">
        <v>614</v>
      </c>
      <c r="O262" s="75" t="s">
        <v>1420</v>
      </c>
      <c r="P262" s="74" t="s">
        <v>1419</v>
      </c>
    </row>
    <row r="263" spans="1:16" ht="81">
      <c r="A263" s="44">
        <v>260</v>
      </c>
      <c r="B263" s="44">
        <v>1</v>
      </c>
      <c r="C263" s="44">
        <v>2</v>
      </c>
      <c r="D263" s="45" t="str">
        <f>INDEX(Helper!$N$2:$N$4, MATCH(C263, Helper!$M$2:$M$4, 0))</f>
        <v>Intermediate</v>
      </c>
      <c r="E263" s="45" t="s">
        <v>1176</v>
      </c>
      <c r="F263" s="45" t="s">
        <v>1227</v>
      </c>
      <c r="G263" s="5">
        <v>2</v>
      </c>
      <c r="H263" s="44">
        <v>1</v>
      </c>
      <c r="I263" s="44" t="str">
        <f>INDEX(Helper!$C:$C, MATCH(H263, Helper!$A:$A, 0))</f>
        <v>Standard (EADGBE)</v>
      </c>
      <c r="J263" s="44" t="s">
        <v>626</v>
      </c>
      <c r="K263" s="65" t="s">
        <v>13</v>
      </c>
      <c r="L263" s="44" t="str">
        <f>INDEX(Helper!$F:$F, MATCH(K263, Helper!$E:$E, 0))</f>
        <v>#FF4F53</v>
      </c>
      <c r="M263" s="45" t="s">
        <v>1302</v>
      </c>
      <c r="N263" s="45" t="s">
        <v>614</v>
      </c>
      <c r="O263" s="85" t="s">
        <v>1422</v>
      </c>
      <c r="P263" s="74" t="s">
        <v>1424</v>
      </c>
    </row>
    <row r="264" spans="1:16" ht="81">
      <c r="A264" s="44">
        <v>261</v>
      </c>
      <c r="B264" s="44">
        <v>1</v>
      </c>
      <c r="C264" s="44">
        <v>1</v>
      </c>
      <c r="D264" s="45" t="str">
        <f>INDEX(Helper!$N$2:$N$4, MATCH(C264, Helper!$M$2:$M$4, 0))</f>
        <v>Beginner</v>
      </c>
      <c r="E264" s="45" t="s">
        <v>1176</v>
      </c>
      <c r="F264" s="45" t="s">
        <v>1174</v>
      </c>
      <c r="G264" s="5">
        <v>0</v>
      </c>
      <c r="H264" s="44">
        <v>1</v>
      </c>
      <c r="I264" s="44" t="str">
        <f>INDEX(Helper!$C:$C, MATCH(H264, Helper!$A:$A, 0))</f>
        <v>Standard (EADGBE)</v>
      </c>
      <c r="J264" s="44" t="s">
        <v>626</v>
      </c>
      <c r="K264" s="65" t="s">
        <v>13</v>
      </c>
      <c r="L264" s="44" t="str">
        <f>INDEX(Helper!$F:$F, MATCH(K264, Helper!$E:$E, 0))</f>
        <v>#FF4F53</v>
      </c>
      <c r="M264" s="45" t="s">
        <v>1303</v>
      </c>
      <c r="N264" s="45" t="s">
        <v>614</v>
      </c>
      <c r="O264" s="75" t="s">
        <v>1423</v>
      </c>
      <c r="P264" s="74" t="s">
        <v>1569</v>
      </c>
    </row>
    <row r="265" spans="1:16" ht="81">
      <c r="A265" s="44">
        <v>262</v>
      </c>
      <c r="B265" s="44">
        <v>1</v>
      </c>
      <c r="C265" s="44">
        <v>2</v>
      </c>
      <c r="D265" s="45" t="str">
        <f>INDEX(Helper!$N$2:$N$4, MATCH(C265, Helper!$M$2:$M$4, 0))</f>
        <v>Intermediate</v>
      </c>
      <c r="E265" s="45" t="s">
        <v>1176</v>
      </c>
      <c r="F265" s="45" t="s">
        <v>1228</v>
      </c>
      <c r="G265" s="5">
        <v>0</v>
      </c>
      <c r="H265" s="44">
        <v>1</v>
      </c>
      <c r="I265" s="44" t="str">
        <f>INDEX(Helper!$C:$C, MATCH(H265, Helper!$A:$A, 0))</f>
        <v>Standard (EADGBE)</v>
      </c>
      <c r="J265" s="44" t="s">
        <v>61</v>
      </c>
      <c r="K265" s="65" t="s">
        <v>13</v>
      </c>
      <c r="L265" s="44" t="str">
        <f>INDEX(Helper!$F:$F, MATCH(K265, Helper!$E:$E, 0))</f>
        <v>#FF4F53</v>
      </c>
      <c r="M265" s="45" t="s">
        <v>1304</v>
      </c>
      <c r="N265" s="45" t="s">
        <v>614</v>
      </c>
      <c r="O265" s="84" t="s">
        <v>1426</v>
      </c>
      <c r="P265" s="74" t="s">
        <v>1425</v>
      </c>
    </row>
    <row r="266" spans="1:16" ht="81">
      <c r="A266" s="44">
        <v>263</v>
      </c>
      <c r="B266" s="44">
        <v>1</v>
      </c>
      <c r="C266" s="44">
        <v>2</v>
      </c>
      <c r="D266" s="45" t="str">
        <f>INDEX(Helper!$N$2:$N$4, MATCH(C266, Helper!$M$2:$M$4, 0))</f>
        <v>Intermediate</v>
      </c>
      <c r="E266" s="45" t="s">
        <v>1176</v>
      </c>
      <c r="F266" s="45" t="s">
        <v>1175</v>
      </c>
      <c r="G266" s="5">
        <v>2</v>
      </c>
      <c r="H266" s="44">
        <v>1</v>
      </c>
      <c r="I266" s="44" t="str">
        <f>INDEX(Helper!$C:$C, MATCH(H266, Helper!$A:$A, 0))</f>
        <v>Standard (EADGBE)</v>
      </c>
      <c r="J266" s="44" t="s">
        <v>393</v>
      </c>
      <c r="K266" s="65" t="s">
        <v>13</v>
      </c>
      <c r="L266" s="44" t="str">
        <f>INDEX(Helper!$F:$F, MATCH(K266, Helper!$E:$E, 0))</f>
        <v>#FF4F53</v>
      </c>
      <c r="M266" s="45" t="s">
        <v>1305</v>
      </c>
      <c r="N266" s="45" t="s">
        <v>614</v>
      </c>
      <c r="O266" s="84" t="s">
        <v>1428</v>
      </c>
      <c r="P266" s="74" t="s">
        <v>1427</v>
      </c>
    </row>
    <row r="267" spans="1:16" ht="81">
      <c r="A267" s="44">
        <v>264</v>
      </c>
      <c r="B267" s="44">
        <v>1</v>
      </c>
      <c r="C267" s="44">
        <v>2</v>
      </c>
      <c r="D267" s="45" t="str">
        <f>INDEX(Helper!$N$2:$N$4, MATCH(C267, Helper!$M$2:$M$4, 0))</f>
        <v>Intermediate</v>
      </c>
      <c r="E267" s="45" t="s">
        <v>1178</v>
      </c>
      <c r="F267" s="45" t="s">
        <v>1229</v>
      </c>
      <c r="G267" s="5">
        <v>0</v>
      </c>
      <c r="H267" s="44">
        <v>1</v>
      </c>
      <c r="I267" s="44" t="str">
        <f>INDEX(Helper!$C:$C, MATCH(H267, Helper!$A:$A, 0))</f>
        <v>Standard (EADGBE)</v>
      </c>
      <c r="J267" s="44" t="s">
        <v>1267</v>
      </c>
      <c r="K267" s="60" t="s">
        <v>1253</v>
      </c>
      <c r="L267" s="44" t="str">
        <f>INDEX(Helper!$F:$F, MATCH(K267, Helper!$E:$E, 0))</f>
        <v>#B3F141</v>
      </c>
      <c r="M267" s="45" t="s">
        <v>1306</v>
      </c>
      <c r="N267" s="45" t="s">
        <v>614</v>
      </c>
      <c r="O267" s="84" t="s">
        <v>1430</v>
      </c>
      <c r="P267" s="74" t="s">
        <v>1429</v>
      </c>
    </row>
    <row r="268" spans="1:16" ht="81">
      <c r="A268" s="44">
        <v>265</v>
      </c>
      <c r="B268" s="44">
        <v>1</v>
      </c>
      <c r="C268" s="44">
        <v>1</v>
      </c>
      <c r="D268" s="45" t="str">
        <f>INDEX(Helper!$N$2:$N$4, MATCH(C268, Helper!$M$2:$M$4, 0))</f>
        <v>Beginner</v>
      </c>
      <c r="E268" s="45" t="s">
        <v>1178</v>
      </c>
      <c r="F268" s="45" t="s">
        <v>1230</v>
      </c>
      <c r="G268" s="5">
        <v>2</v>
      </c>
      <c r="H268" s="44">
        <v>1</v>
      </c>
      <c r="I268" s="44" t="str">
        <f>INDEX(Helper!$C:$C, MATCH(H268, Helper!$A:$A, 0))</f>
        <v>Standard (EADGBE)</v>
      </c>
      <c r="J268" s="44" t="s">
        <v>626</v>
      </c>
      <c r="K268" s="60" t="s">
        <v>1253</v>
      </c>
      <c r="L268" s="44" t="str">
        <f>INDEX(Helper!$F:$F, MATCH(K268, Helper!$E:$E, 0))</f>
        <v>#B3F141</v>
      </c>
      <c r="M268" s="45" t="s">
        <v>1307</v>
      </c>
      <c r="N268" s="45" t="s">
        <v>614</v>
      </c>
      <c r="O268" s="75" t="s">
        <v>1432</v>
      </c>
      <c r="P268" s="74" t="s">
        <v>1431</v>
      </c>
    </row>
    <row r="269" spans="1:16" ht="81">
      <c r="A269" s="44">
        <v>266</v>
      </c>
      <c r="B269" s="44">
        <v>1</v>
      </c>
      <c r="C269" s="44">
        <v>1</v>
      </c>
      <c r="D269" s="45" t="str">
        <f>INDEX(Helper!$N$2:$N$4, MATCH(C269, Helper!$M$2:$M$4, 0))</f>
        <v>Beginner</v>
      </c>
      <c r="E269" s="45" t="s">
        <v>1178</v>
      </c>
      <c r="F269" s="45" t="s">
        <v>1177</v>
      </c>
      <c r="G269" s="5">
        <v>0</v>
      </c>
      <c r="H269" s="44">
        <v>1</v>
      </c>
      <c r="I269" s="44" t="str">
        <f>INDEX(Helper!$C:$C, MATCH(H269, Helper!$A:$A, 0))</f>
        <v>Standard (EADGBE)</v>
      </c>
      <c r="J269" s="44" t="s">
        <v>794</v>
      </c>
      <c r="K269" s="60" t="s">
        <v>1253</v>
      </c>
      <c r="L269" s="44" t="str">
        <f>INDEX(Helper!$F:$F, MATCH(K269, Helper!$E:$E, 0))</f>
        <v>#B3F141</v>
      </c>
      <c r="M269" s="45" t="s">
        <v>1308</v>
      </c>
      <c r="N269" s="45" t="s">
        <v>614</v>
      </c>
      <c r="O269" s="84" t="s">
        <v>1433</v>
      </c>
      <c r="P269" s="74" t="s">
        <v>1570</v>
      </c>
    </row>
    <row r="270" spans="1:16" ht="175.5">
      <c r="A270" s="44">
        <v>267</v>
      </c>
      <c r="B270" s="44">
        <v>1</v>
      </c>
      <c r="C270" s="44">
        <v>2</v>
      </c>
      <c r="D270" s="45" t="str">
        <f>INDEX(Helper!$N$2:$N$4, MATCH(C270, Helper!$M$2:$M$4, 0))</f>
        <v>Intermediate</v>
      </c>
      <c r="E270" s="45" t="s">
        <v>148</v>
      </c>
      <c r="F270" s="45" t="s">
        <v>1231</v>
      </c>
      <c r="G270" s="5">
        <v>2</v>
      </c>
      <c r="H270" s="44">
        <v>9</v>
      </c>
      <c r="I270" s="44" t="str">
        <f>INDEX(Helper!$C:$C, MATCH(H270, Helper!$A:$A, 0))</f>
        <v>C#G#C#F#A#D#</v>
      </c>
      <c r="J270" s="44" t="s">
        <v>636</v>
      </c>
      <c r="K270" s="64" t="s">
        <v>15</v>
      </c>
      <c r="L270" s="44" t="str">
        <f>INDEX(Helper!$F:$F, MATCH(K270, Helper!$E:$E, 0))</f>
        <v>#C2C2A1</v>
      </c>
      <c r="M270" s="45" t="s">
        <v>1309</v>
      </c>
      <c r="N270" s="45" t="s">
        <v>614</v>
      </c>
      <c r="O270" s="84" t="s">
        <v>1434</v>
      </c>
      <c r="P270" s="76" t="s">
        <v>1435</v>
      </c>
    </row>
    <row r="271" spans="1:16" ht="81">
      <c r="A271" s="44">
        <v>268</v>
      </c>
      <c r="B271" s="44">
        <v>1</v>
      </c>
      <c r="C271" s="44">
        <v>1</v>
      </c>
      <c r="D271" s="45" t="str">
        <f>INDEX(Helper!$N$2:$N$4, MATCH(C271, Helper!$M$2:$M$4, 0))</f>
        <v>Beginner</v>
      </c>
      <c r="E271" s="45" t="s">
        <v>148</v>
      </c>
      <c r="F271" s="45" t="s">
        <v>1232</v>
      </c>
      <c r="G271" s="5">
        <v>2</v>
      </c>
      <c r="H271" s="44">
        <v>15</v>
      </c>
      <c r="I271" s="44" t="str">
        <f>INDEX(Helper!$C:$C, MATCH(H271, Helper!$A:$A, 0))</f>
        <v>BF#BEG#C#</v>
      </c>
      <c r="J271" s="44" t="s">
        <v>1267</v>
      </c>
      <c r="K271" s="64" t="s">
        <v>15</v>
      </c>
      <c r="L271" s="44" t="str">
        <f>INDEX(Helper!$F:$F, MATCH(K271, Helper!$E:$E, 0))</f>
        <v>#C2C2A1</v>
      </c>
      <c r="M271" s="45" t="s">
        <v>1310</v>
      </c>
      <c r="N271" s="45" t="s">
        <v>614</v>
      </c>
      <c r="O271" s="84" t="s">
        <v>1437</v>
      </c>
      <c r="P271" s="74" t="s">
        <v>1436</v>
      </c>
    </row>
    <row r="272" spans="1:16" ht="81">
      <c r="A272" s="44">
        <v>269</v>
      </c>
      <c r="B272" s="44">
        <v>1</v>
      </c>
      <c r="C272" s="44">
        <v>1</v>
      </c>
      <c r="D272" s="45" t="str">
        <f>INDEX(Helper!$N$2:$N$4, MATCH(C272, Helper!$M$2:$M$4, 0))</f>
        <v>Beginner</v>
      </c>
      <c r="E272" s="45" t="s">
        <v>148</v>
      </c>
      <c r="F272" s="45" t="s">
        <v>1233</v>
      </c>
      <c r="G272" s="5">
        <v>2</v>
      </c>
      <c r="H272" s="44">
        <v>15</v>
      </c>
      <c r="I272" s="44" t="str">
        <f>INDEX(Helper!$C:$C, MATCH(H272, Helper!$A:$A, 0))</f>
        <v>BF#BEG#C#</v>
      </c>
      <c r="J272" s="44" t="s">
        <v>844</v>
      </c>
      <c r="K272" s="64" t="s">
        <v>15</v>
      </c>
      <c r="L272" s="44" t="str">
        <f>INDEX(Helper!$F:$F, MATCH(K272, Helper!$E:$E, 0))</f>
        <v>#C2C2A1</v>
      </c>
      <c r="M272" s="45" t="s">
        <v>1311</v>
      </c>
      <c r="N272" s="45" t="s">
        <v>614</v>
      </c>
      <c r="O272" s="84" t="s">
        <v>1440</v>
      </c>
      <c r="P272" s="74" t="s">
        <v>1439</v>
      </c>
    </row>
    <row r="273" spans="1:16" ht="175.5">
      <c r="A273" s="44">
        <v>270</v>
      </c>
      <c r="B273" s="44">
        <v>1</v>
      </c>
      <c r="C273" s="44">
        <v>1</v>
      </c>
      <c r="D273" s="45" t="str">
        <f>INDEX(Helper!$N$2:$N$4, MATCH(C273, Helper!$M$2:$M$4, 0))</f>
        <v>Beginner</v>
      </c>
      <c r="E273" s="45" t="s">
        <v>148</v>
      </c>
      <c r="F273" s="45" t="s">
        <v>1234</v>
      </c>
      <c r="G273" s="5">
        <v>2</v>
      </c>
      <c r="H273" s="44">
        <v>2</v>
      </c>
      <c r="I273" s="44" t="str">
        <f>INDEX(Helper!$C:$C, MATCH(H273, Helper!$A:$A, 0))</f>
        <v>Drop D (DADGBE)</v>
      </c>
      <c r="J273" s="44" t="s">
        <v>64</v>
      </c>
      <c r="K273" s="64" t="s">
        <v>15</v>
      </c>
      <c r="L273" s="44" t="str">
        <f>INDEX(Helper!$F:$F, MATCH(K273, Helper!$E:$E, 0))</f>
        <v>#C2C2A1</v>
      </c>
      <c r="M273" s="45" t="s">
        <v>1312</v>
      </c>
      <c r="N273" s="45" t="s">
        <v>614</v>
      </c>
      <c r="O273" s="84" t="s">
        <v>1441</v>
      </c>
      <c r="P273" s="74" t="s">
        <v>1444</v>
      </c>
    </row>
    <row r="274" spans="1:16" ht="175.5">
      <c r="A274" s="44">
        <v>271</v>
      </c>
      <c r="B274" s="44">
        <v>1</v>
      </c>
      <c r="C274" s="44">
        <v>2</v>
      </c>
      <c r="D274" s="45" t="str">
        <f>INDEX(Helper!$N$2:$N$4, MATCH(C274, Helper!$M$2:$M$4, 0))</f>
        <v>Intermediate</v>
      </c>
      <c r="E274" s="45" t="s">
        <v>148</v>
      </c>
      <c r="F274" s="45" t="s">
        <v>1235</v>
      </c>
      <c r="G274" s="5">
        <v>0</v>
      </c>
      <c r="H274" s="44">
        <v>2</v>
      </c>
      <c r="I274" s="44" t="str">
        <f>INDEX(Helper!$C:$C, MATCH(H274, Helper!$A:$A, 0))</f>
        <v>Drop D (DADGBE)</v>
      </c>
      <c r="J274" s="44" t="s">
        <v>623</v>
      </c>
      <c r="K274" s="64" t="s">
        <v>15</v>
      </c>
      <c r="L274" s="44" t="str">
        <f>INDEX(Helper!$F:$F, MATCH(K274, Helper!$E:$E, 0))</f>
        <v>#C2C2A1</v>
      </c>
      <c r="M274" s="45" t="s">
        <v>1313</v>
      </c>
      <c r="N274" s="45" t="s">
        <v>614</v>
      </c>
      <c r="O274" s="84" t="s">
        <v>1442</v>
      </c>
      <c r="P274" s="74" t="s">
        <v>1443</v>
      </c>
    </row>
    <row r="275" spans="1:16" ht="270">
      <c r="A275" s="44">
        <v>272</v>
      </c>
      <c r="B275" s="44">
        <v>1</v>
      </c>
      <c r="C275" s="44">
        <v>2</v>
      </c>
      <c r="D275" s="45" t="str">
        <f>INDEX(Helper!$N$2:$N$4, MATCH(C275, Helper!$M$2:$M$4, 0))</f>
        <v>Intermediate</v>
      </c>
      <c r="E275" s="45" t="s">
        <v>194</v>
      </c>
      <c r="F275" s="45" t="s">
        <v>1179</v>
      </c>
      <c r="G275" s="5">
        <v>2</v>
      </c>
      <c r="H275" s="44">
        <v>11</v>
      </c>
      <c r="I275" s="44" t="str">
        <f>INDEX(Helper!$C:$C, MATCH(H275, Helper!$A:$A, 0))</f>
        <v>CGCFAD</v>
      </c>
      <c r="J275" s="44" t="s">
        <v>68</v>
      </c>
      <c r="K275" s="64" t="s">
        <v>15</v>
      </c>
      <c r="L275" s="44" t="str">
        <f>INDEX(Helper!$F:$F, MATCH(K275, Helper!$E:$E, 0))</f>
        <v>#C2C2A1</v>
      </c>
      <c r="M275" s="45" t="s">
        <v>1314</v>
      </c>
      <c r="N275" s="45" t="s">
        <v>614</v>
      </c>
      <c r="O275" s="84" t="s">
        <v>1446</v>
      </c>
      <c r="P275" s="74" t="s">
        <v>1445</v>
      </c>
    </row>
    <row r="276" spans="1:16" ht="364.5">
      <c r="A276" s="44">
        <v>273</v>
      </c>
      <c r="B276" s="44">
        <v>1</v>
      </c>
      <c r="C276" s="44">
        <v>2</v>
      </c>
      <c r="D276" s="45" t="str">
        <f>INDEX(Helper!$N$2:$N$4, MATCH(C276, Helper!$M$2:$M$4, 0))</f>
        <v>Intermediate</v>
      </c>
      <c r="E276" s="45" t="s">
        <v>194</v>
      </c>
      <c r="F276" s="45" t="s">
        <v>1236</v>
      </c>
      <c r="G276" s="5">
        <v>0</v>
      </c>
      <c r="H276" s="44">
        <v>9</v>
      </c>
      <c r="I276" s="44" t="str">
        <f>INDEX(Helper!$C:$C, MATCH(H276, Helper!$A:$A, 0))</f>
        <v>C#G#C#F#A#D#</v>
      </c>
      <c r="J276" s="44" t="s">
        <v>1267</v>
      </c>
      <c r="K276" s="64" t="s">
        <v>15</v>
      </c>
      <c r="L276" s="44" t="str">
        <f>INDEX(Helper!$F:$F, MATCH(K276, Helper!$E:$E, 0))</f>
        <v>#C2C2A1</v>
      </c>
      <c r="M276" s="45" t="s">
        <v>1315</v>
      </c>
      <c r="N276" s="45" t="s">
        <v>614</v>
      </c>
      <c r="O276" s="84" t="s">
        <v>1448</v>
      </c>
      <c r="P276" s="74" t="s">
        <v>1447</v>
      </c>
    </row>
    <row r="277" spans="1:16" ht="409.5">
      <c r="A277" s="44">
        <v>274</v>
      </c>
      <c r="B277" s="44">
        <v>1</v>
      </c>
      <c r="C277" s="44">
        <v>3</v>
      </c>
      <c r="D277" s="45" t="str">
        <f>INDEX(Helper!$N$2:$N$4, MATCH(C277, Helper!$M$2:$M$4, 0))</f>
        <v>Advanced</v>
      </c>
      <c r="E277" s="45" t="s">
        <v>254</v>
      </c>
      <c r="F277" s="45" t="s">
        <v>1180</v>
      </c>
      <c r="G277" s="5">
        <v>2</v>
      </c>
      <c r="H277" s="44">
        <v>1</v>
      </c>
      <c r="I277" s="44" t="str">
        <f>INDEX(Helper!$C:$C, MATCH(H277, Helper!$A:$A, 0))</f>
        <v>Standard (EADGBE)</v>
      </c>
      <c r="J277" s="44" t="s">
        <v>626</v>
      </c>
      <c r="K277" s="64" t="s">
        <v>15</v>
      </c>
      <c r="L277" s="44" t="str">
        <f>INDEX(Helper!$F:$F, MATCH(K277, Helper!$E:$E, 0))</f>
        <v>#C2C2A1</v>
      </c>
      <c r="M277" s="45" t="s">
        <v>1316</v>
      </c>
      <c r="N277" s="45" t="s">
        <v>614</v>
      </c>
      <c r="O277" s="75" t="s">
        <v>1450</v>
      </c>
      <c r="P277" s="74" t="s">
        <v>1449</v>
      </c>
    </row>
    <row r="278" spans="1:16" ht="409.5">
      <c r="A278" s="44">
        <v>275</v>
      </c>
      <c r="B278" s="44">
        <v>1</v>
      </c>
      <c r="C278" s="44">
        <v>2</v>
      </c>
      <c r="D278" s="45" t="str">
        <f>INDEX(Helper!$N$2:$N$4, MATCH(C278, Helper!$M$2:$M$4, 0))</f>
        <v>Intermediate</v>
      </c>
      <c r="E278" s="45" t="s">
        <v>254</v>
      </c>
      <c r="F278" s="45" t="s">
        <v>1318</v>
      </c>
      <c r="G278" s="5">
        <v>0</v>
      </c>
      <c r="H278" s="44">
        <v>1</v>
      </c>
      <c r="I278" s="44" t="str">
        <f>INDEX(Helper!$C:$C, MATCH(H278, Helper!$A:$A, 0))</f>
        <v>Standard (EADGBE)</v>
      </c>
      <c r="J278" s="44" t="s">
        <v>66</v>
      </c>
      <c r="K278" s="64" t="s">
        <v>15</v>
      </c>
      <c r="L278" s="44" t="str">
        <f>INDEX(Helper!$F:$F, MATCH(K278, Helper!$E:$E, 0))</f>
        <v>#C2C2A1</v>
      </c>
      <c r="M278" s="45" t="s">
        <v>1317</v>
      </c>
      <c r="N278" s="45" t="s">
        <v>614</v>
      </c>
      <c r="O278" s="75" t="s">
        <v>1452</v>
      </c>
      <c r="P278" s="74" t="s">
        <v>1451</v>
      </c>
    </row>
    <row r="279" spans="1:16" ht="364.5">
      <c r="A279" s="44">
        <v>276</v>
      </c>
      <c r="B279" s="44">
        <v>1</v>
      </c>
      <c r="C279" s="44">
        <v>2</v>
      </c>
      <c r="D279" s="45" t="str">
        <f>INDEX(Helper!$N$2:$N$4, MATCH(C279, Helper!$M$2:$M$4, 0))</f>
        <v>Intermediate</v>
      </c>
      <c r="E279" s="45" t="s">
        <v>254</v>
      </c>
      <c r="F279" s="45" t="s">
        <v>1181</v>
      </c>
      <c r="G279" s="5">
        <v>2</v>
      </c>
      <c r="H279" s="44">
        <v>1</v>
      </c>
      <c r="I279" s="44" t="str">
        <f>INDEX(Helper!$C:$C, MATCH(H279, Helper!$A:$A, 0))</f>
        <v>Standard (EADGBE)</v>
      </c>
      <c r="J279" s="44" t="s">
        <v>63</v>
      </c>
      <c r="K279" s="64" t="s">
        <v>15</v>
      </c>
      <c r="L279" s="44" t="str">
        <f>INDEX(Helper!$F:$F, MATCH(K279, Helper!$E:$E, 0))</f>
        <v>#C2C2A1</v>
      </c>
      <c r="M279" s="45" t="s">
        <v>1319</v>
      </c>
      <c r="N279" s="45" t="s">
        <v>614</v>
      </c>
      <c r="O279" s="84" t="s">
        <v>1454</v>
      </c>
      <c r="P279" s="74" t="s">
        <v>1453</v>
      </c>
    </row>
    <row r="280" spans="1:16" ht="81">
      <c r="A280" s="44">
        <v>277</v>
      </c>
      <c r="B280" s="44">
        <v>1</v>
      </c>
      <c r="C280" s="44">
        <v>1</v>
      </c>
      <c r="D280" s="45" t="str">
        <f>INDEX(Helper!$N$2:$N$4, MATCH(C280, Helper!$M$2:$M$4, 0))</f>
        <v>Beginner</v>
      </c>
      <c r="E280" s="45" t="s">
        <v>1183</v>
      </c>
      <c r="F280" s="45" t="s">
        <v>1182</v>
      </c>
      <c r="G280" s="5">
        <v>0</v>
      </c>
      <c r="H280" s="44">
        <v>2</v>
      </c>
      <c r="I280" s="44" t="str">
        <f>INDEX(Helper!$C:$C, MATCH(H280, Helper!$A:$A, 0))</f>
        <v>Drop D (DADGBE)</v>
      </c>
      <c r="J280" s="44" t="s">
        <v>794</v>
      </c>
      <c r="K280" s="64" t="s">
        <v>15</v>
      </c>
      <c r="L280" s="44" t="str">
        <f>INDEX(Helper!$F:$F, MATCH(K280, Helper!$E:$E, 0))</f>
        <v>#C2C2A1</v>
      </c>
      <c r="M280" s="45" t="s">
        <v>1320</v>
      </c>
      <c r="N280" s="45" t="s">
        <v>614</v>
      </c>
      <c r="O280" s="75" t="s">
        <v>1458</v>
      </c>
      <c r="P280" s="74" t="s">
        <v>1455</v>
      </c>
    </row>
    <row r="281" spans="1:16" ht="81">
      <c r="A281" s="44">
        <v>278</v>
      </c>
      <c r="B281" s="44">
        <v>1</v>
      </c>
      <c r="C281" s="44">
        <v>1</v>
      </c>
      <c r="D281" s="45" t="str">
        <f>INDEX(Helper!$N$2:$N$4, MATCH(C281, Helper!$M$2:$M$4, 0))</f>
        <v>Beginner</v>
      </c>
      <c r="E281" s="45" t="s">
        <v>1185</v>
      </c>
      <c r="F281" s="45" t="s">
        <v>1184</v>
      </c>
      <c r="G281" s="5">
        <v>2</v>
      </c>
      <c r="H281" s="44">
        <v>1</v>
      </c>
      <c r="I281" s="44" t="str">
        <f>INDEX(Helper!$C:$C, MATCH(H281, Helper!$A:$A, 0))</f>
        <v>Standard (EADGBE)</v>
      </c>
      <c r="J281" s="44" t="s">
        <v>393</v>
      </c>
      <c r="K281" s="60" t="s">
        <v>29</v>
      </c>
      <c r="L281" s="44" t="str">
        <f>INDEX(Helper!$F:$F, MATCH(K281, Helper!$E:$E, 0))</f>
        <v>#66E586</v>
      </c>
      <c r="M281" s="45" t="s">
        <v>1321</v>
      </c>
      <c r="N281" s="45" t="s">
        <v>614</v>
      </c>
      <c r="O281" s="75" t="s">
        <v>1457</v>
      </c>
      <c r="P281" s="74" t="s">
        <v>1456</v>
      </c>
    </row>
    <row r="282" spans="1:16" ht="175.5">
      <c r="A282" s="44">
        <v>279</v>
      </c>
      <c r="B282" s="44">
        <v>1</v>
      </c>
      <c r="C282" s="44">
        <v>2</v>
      </c>
      <c r="D282" s="45" t="str">
        <f>INDEX(Helper!$N$2:$N$4, MATCH(C282, Helper!$M$2:$M$4, 0))</f>
        <v>Intermediate</v>
      </c>
      <c r="E282" s="45" t="s">
        <v>35</v>
      </c>
      <c r="F282" s="45" t="s">
        <v>1237</v>
      </c>
      <c r="G282" s="5">
        <v>2</v>
      </c>
      <c r="H282" s="44">
        <v>2</v>
      </c>
      <c r="I282" s="44" t="str">
        <f>INDEX(Helper!$C:$C, MATCH(H282, Helper!$A:$A, 0))</f>
        <v>Drop D (DADGBE)</v>
      </c>
      <c r="J282" s="44" t="s">
        <v>62</v>
      </c>
      <c r="K282" s="64" t="s">
        <v>15</v>
      </c>
      <c r="L282" s="44" t="str">
        <f>INDEX(Helper!$F:$F, MATCH(K282, Helper!$E:$E, 0))</f>
        <v>#C2C2A1</v>
      </c>
      <c r="M282" s="45" t="s">
        <v>1322</v>
      </c>
      <c r="N282" s="45" t="s">
        <v>614</v>
      </c>
      <c r="O282" s="84" t="s">
        <v>1460</v>
      </c>
      <c r="P282" s="74" t="s">
        <v>1459</v>
      </c>
    </row>
    <row r="283" spans="1:16" ht="81">
      <c r="A283" s="44">
        <v>280</v>
      </c>
      <c r="B283" s="44">
        <v>1</v>
      </c>
      <c r="C283" s="44">
        <v>3</v>
      </c>
      <c r="D283" s="45" t="str">
        <f>INDEX(Helper!$N$2:$N$4, MATCH(C283, Helper!$M$2:$M$4, 0))</f>
        <v>Advanced</v>
      </c>
      <c r="E283" s="45" t="s">
        <v>35</v>
      </c>
      <c r="F283" s="45" t="s">
        <v>1238</v>
      </c>
      <c r="G283" s="5">
        <v>0</v>
      </c>
      <c r="H283" s="44">
        <v>9</v>
      </c>
      <c r="I283" s="44" t="str">
        <f>INDEX(Helper!$C:$C, MATCH(H283, Helper!$A:$A, 0))</f>
        <v>C#G#C#F#A#D#</v>
      </c>
      <c r="J283" s="44" t="s">
        <v>70</v>
      </c>
      <c r="K283" s="64" t="s">
        <v>15</v>
      </c>
      <c r="L283" s="44" t="str">
        <f>INDEX(Helper!$F:$F, MATCH(K283, Helper!$E:$E, 0))</f>
        <v>#C2C2A1</v>
      </c>
      <c r="M283" s="45" t="s">
        <v>1323</v>
      </c>
      <c r="N283" s="45" t="s">
        <v>614</v>
      </c>
      <c r="O283" s="75" t="s">
        <v>1463</v>
      </c>
      <c r="P283" s="74" t="s">
        <v>1572</v>
      </c>
    </row>
    <row r="284" spans="1:16" ht="364.5">
      <c r="A284" s="44">
        <v>281</v>
      </c>
      <c r="B284" s="44">
        <v>1</v>
      </c>
      <c r="C284" s="44">
        <v>3</v>
      </c>
      <c r="D284" s="45" t="str">
        <f>INDEX(Helper!$N$2:$N$4, MATCH(C284, Helper!$M$2:$M$4, 0))</f>
        <v>Advanced</v>
      </c>
      <c r="E284" s="45" t="s">
        <v>35</v>
      </c>
      <c r="F284" s="45" t="s">
        <v>1186</v>
      </c>
      <c r="G284" s="5">
        <v>2</v>
      </c>
      <c r="H284" s="44">
        <v>9</v>
      </c>
      <c r="I284" s="44" t="str">
        <f>INDEX(Helper!$C:$C, MATCH(H284, Helper!$A:$A, 0))</f>
        <v>C#G#C#F#A#D#</v>
      </c>
      <c r="J284" s="44" t="s">
        <v>619</v>
      </c>
      <c r="K284" s="64" t="s">
        <v>15</v>
      </c>
      <c r="L284" s="44" t="str">
        <f>INDEX(Helper!$F:$F, MATCH(K284, Helper!$E:$E, 0))</f>
        <v>#C2C2A1</v>
      </c>
      <c r="M284" s="45" t="s">
        <v>1324</v>
      </c>
      <c r="N284" s="45" t="s">
        <v>614</v>
      </c>
      <c r="O284" s="75" t="s">
        <v>1462</v>
      </c>
      <c r="P284" s="74" t="s">
        <v>1461</v>
      </c>
    </row>
    <row r="285" spans="1:16" ht="175.5">
      <c r="A285" s="44">
        <v>282</v>
      </c>
      <c r="B285" s="44">
        <v>1</v>
      </c>
      <c r="C285" s="44">
        <v>2</v>
      </c>
      <c r="D285" s="45" t="str">
        <f>INDEX(Helper!$N$2:$N$4, MATCH(C285, Helper!$M$2:$M$4, 0))</f>
        <v>Intermediate</v>
      </c>
      <c r="E285" s="45" t="s">
        <v>1189</v>
      </c>
      <c r="F285" s="45" t="s">
        <v>1239</v>
      </c>
      <c r="G285" s="5">
        <v>0</v>
      </c>
      <c r="H285" s="44">
        <v>2</v>
      </c>
      <c r="I285" s="44" t="str">
        <f>INDEX(Helper!$C:$C, MATCH(H285, Helper!$A:$A, 0))</f>
        <v>Drop D (DADGBE)</v>
      </c>
      <c r="J285" s="44" t="s">
        <v>64</v>
      </c>
      <c r="K285" s="57" t="s">
        <v>21</v>
      </c>
      <c r="L285" s="44" t="str">
        <f>INDEX(Helper!$F:$F, MATCH(K285, Helper!$E:$E, 0))</f>
        <v>#45F0E2</v>
      </c>
      <c r="M285" s="45" t="s">
        <v>1325</v>
      </c>
      <c r="N285" s="45" t="s">
        <v>614</v>
      </c>
      <c r="O285" s="84" t="s">
        <v>1465</v>
      </c>
      <c r="P285" s="74" t="s">
        <v>1464</v>
      </c>
    </row>
    <row r="286" spans="1:16" ht="364.5">
      <c r="A286" s="44">
        <v>283</v>
      </c>
      <c r="B286" s="44">
        <v>1</v>
      </c>
      <c r="C286" s="44">
        <v>2</v>
      </c>
      <c r="D286" s="45" t="str">
        <f>INDEX(Helper!$N$2:$N$4, MATCH(C286, Helper!$M$2:$M$4, 0))</f>
        <v>Intermediate</v>
      </c>
      <c r="E286" s="45" t="s">
        <v>1189</v>
      </c>
      <c r="F286" s="45" t="s">
        <v>1187</v>
      </c>
      <c r="G286" s="5">
        <v>2</v>
      </c>
      <c r="H286" s="44">
        <v>1</v>
      </c>
      <c r="I286" s="44" t="str">
        <f>INDEX(Helper!$C:$C, MATCH(H286, Helper!$A:$A, 0))</f>
        <v>Standard (EADGBE)</v>
      </c>
      <c r="J286" s="44" t="s">
        <v>65</v>
      </c>
      <c r="K286" s="57" t="s">
        <v>21</v>
      </c>
      <c r="L286" s="44" t="str">
        <f>INDEX(Helper!$F:$F, MATCH(K286, Helper!$E:$E, 0))</f>
        <v>#45F0E2</v>
      </c>
      <c r="M286" s="45" t="s">
        <v>1326</v>
      </c>
      <c r="N286" s="45" t="s">
        <v>614</v>
      </c>
      <c r="O286" s="84" t="s">
        <v>1467</v>
      </c>
      <c r="P286" s="74" t="s">
        <v>1466</v>
      </c>
    </row>
    <row r="287" spans="1:16" ht="175.5">
      <c r="A287" s="44">
        <v>284</v>
      </c>
      <c r="B287" s="44">
        <v>1</v>
      </c>
      <c r="C287" s="44">
        <v>2</v>
      </c>
      <c r="D287" s="45" t="str">
        <f>INDEX(Helper!$N$2:$N$4, MATCH(C287, Helper!$M$2:$M$4, 0))</f>
        <v>Intermediate</v>
      </c>
      <c r="E287" s="45" t="s">
        <v>1189</v>
      </c>
      <c r="F287" s="45" t="s">
        <v>1240</v>
      </c>
      <c r="G287" s="5">
        <v>2</v>
      </c>
      <c r="H287" s="44">
        <v>1</v>
      </c>
      <c r="I287" s="44" t="str">
        <f>INDEX(Helper!$C:$C, MATCH(H287, Helper!$A:$A, 0))</f>
        <v>Standard (EADGBE)</v>
      </c>
      <c r="J287" s="44" t="s">
        <v>66</v>
      </c>
      <c r="K287" s="57" t="s">
        <v>21</v>
      </c>
      <c r="L287" s="44" t="str">
        <f>INDEX(Helper!$F:$F, MATCH(K287, Helper!$E:$E, 0))</f>
        <v>#45F0E2</v>
      </c>
      <c r="M287" s="45" t="s">
        <v>1327</v>
      </c>
      <c r="N287" s="45" t="s">
        <v>614</v>
      </c>
      <c r="O287" s="84" t="s">
        <v>1469</v>
      </c>
      <c r="P287" s="74" t="s">
        <v>1468</v>
      </c>
    </row>
    <row r="288" spans="1:16" ht="81">
      <c r="A288" s="44">
        <v>285</v>
      </c>
      <c r="B288" s="44">
        <v>1</v>
      </c>
      <c r="C288" s="44">
        <v>2</v>
      </c>
      <c r="D288" s="45" t="str">
        <f>INDEX(Helper!$N$2:$N$4, MATCH(C288, Helper!$M$2:$M$4, 0))</f>
        <v>Intermediate</v>
      </c>
      <c r="E288" s="45" t="s">
        <v>1189</v>
      </c>
      <c r="F288" s="45" t="s">
        <v>1188</v>
      </c>
      <c r="G288" s="5">
        <v>2</v>
      </c>
      <c r="H288" s="44">
        <v>16</v>
      </c>
      <c r="I288" s="44" t="str">
        <f>INDEX(Helper!$C:$C, MATCH(H288, Helper!$A:$A, 0))</f>
        <v>Drop C (CADGBE)</v>
      </c>
      <c r="J288" s="44" t="s">
        <v>623</v>
      </c>
      <c r="K288" s="57" t="s">
        <v>21</v>
      </c>
      <c r="L288" s="44" t="str">
        <f>INDEX(Helper!$F:$F, MATCH(K288, Helper!$E:$E, 0))</f>
        <v>#45F0E2</v>
      </c>
      <c r="M288" s="45" t="s">
        <v>1328</v>
      </c>
      <c r="N288" s="45" t="s">
        <v>614</v>
      </c>
      <c r="O288" s="84" t="s">
        <v>1471</v>
      </c>
      <c r="P288" s="74" t="s">
        <v>1470</v>
      </c>
    </row>
    <row r="289" spans="1:16" ht="81">
      <c r="A289" s="44">
        <v>286</v>
      </c>
      <c r="B289" s="44">
        <v>1</v>
      </c>
      <c r="C289" s="44">
        <v>3</v>
      </c>
      <c r="D289" s="45" t="str">
        <f>INDEX(Helper!$N$2:$N$4, MATCH(C289, Helper!$M$2:$M$4, 0))</f>
        <v>Advanced</v>
      </c>
      <c r="E289" s="45" t="s">
        <v>1189</v>
      </c>
      <c r="F289" s="45" t="s">
        <v>1241</v>
      </c>
      <c r="G289" s="5">
        <v>2</v>
      </c>
      <c r="H289" s="44">
        <v>1</v>
      </c>
      <c r="I289" s="44" t="str">
        <f>INDEX(Helper!$C:$C, MATCH(H289, Helper!$A:$A, 0))</f>
        <v>Standard (EADGBE)</v>
      </c>
      <c r="J289" s="44" t="s">
        <v>65</v>
      </c>
      <c r="K289" s="57" t="s">
        <v>21</v>
      </c>
      <c r="L289" s="44" t="str">
        <f>INDEX(Helper!$F:$F, MATCH(K289, Helper!$E:$E, 0))</f>
        <v>#45F0E2</v>
      </c>
      <c r="M289" s="45" t="s">
        <v>1329</v>
      </c>
      <c r="N289" s="45" t="s">
        <v>614</v>
      </c>
      <c r="O289" s="84" t="s">
        <v>1475</v>
      </c>
      <c r="P289" s="74" t="s">
        <v>1474</v>
      </c>
    </row>
    <row r="290" spans="1:16" ht="175.5">
      <c r="A290" s="44">
        <v>287</v>
      </c>
      <c r="B290" s="44">
        <v>1</v>
      </c>
      <c r="C290" s="44">
        <v>2</v>
      </c>
      <c r="D290" s="45" t="str">
        <f>INDEX(Helper!$N$2:$N$4, MATCH(C290, Helper!$M$2:$M$4, 0))</f>
        <v>Intermediate</v>
      </c>
      <c r="E290" s="45" t="s">
        <v>1189</v>
      </c>
      <c r="F290" s="45" t="s">
        <v>1242</v>
      </c>
      <c r="G290" s="5">
        <v>0</v>
      </c>
      <c r="H290" s="44">
        <v>1</v>
      </c>
      <c r="I290" s="44" t="str">
        <f>INDEX(Helper!$C:$C, MATCH(H290, Helper!$A:$A, 0))</f>
        <v>Standard (EADGBE)</v>
      </c>
      <c r="J290" s="44" t="s">
        <v>1267</v>
      </c>
      <c r="K290" s="57" t="s">
        <v>21</v>
      </c>
      <c r="L290" s="44" t="str">
        <f>INDEX(Helper!$F:$F, MATCH(K290, Helper!$E:$E, 0))</f>
        <v>#45F0E2</v>
      </c>
      <c r="M290" s="45" t="s">
        <v>1330</v>
      </c>
      <c r="N290" s="45" t="s">
        <v>614</v>
      </c>
      <c r="O290" s="84" t="s">
        <v>1477</v>
      </c>
      <c r="P290" s="74" t="s">
        <v>1476</v>
      </c>
    </row>
    <row r="291" spans="1:16" ht="175.5">
      <c r="A291" s="44">
        <v>288</v>
      </c>
      <c r="B291" s="44">
        <v>1</v>
      </c>
      <c r="C291" s="44">
        <v>1</v>
      </c>
      <c r="D291" s="45" t="str">
        <f>INDEX(Helper!$N$2:$N$4, MATCH(C291, Helper!$M$2:$M$4, 0))</f>
        <v>Beginner</v>
      </c>
      <c r="E291" s="45" t="s">
        <v>242</v>
      </c>
      <c r="F291" s="45" t="s">
        <v>1243</v>
      </c>
      <c r="G291" s="5">
        <v>0</v>
      </c>
      <c r="H291" s="44">
        <v>1</v>
      </c>
      <c r="I291" s="44" t="str">
        <f>INDEX(Helper!$C:$C, MATCH(H291, Helper!$A:$A, 0))</f>
        <v>Standard (EADGBE)</v>
      </c>
      <c r="J291" s="44" t="s">
        <v>1268</v>
      </c>
      <c r="K291" s="65" t="s">
        <v>13</v>
      </c>
      <c r="L291" s="44" t="str">
        <f>INDEX(Helper!$F:$F, MATCH(K291, Helper!$E:$E, 0))</f>
        <v>#FF4F53</v>
      </c>
      <c r="M291" s="45" t="s">
        <v>1331</v>
      </c>
      <c r="N291" s="45" t="s">
        <v>614</v>
      </c>
      <c r="O291" s="84" t="s">
        <v>1479</v>
      </c>
      <c r="P291" s="74" t="s">
        <v>1478</v>
      </c>
    </row>
    <row r="292" spans="1:16" ht="175.5">
      <c r="A292" s="44">
        <v>289</v>
      </c>
      <c r="B292" s="44">
        <v>1</v>
      </c>
      <c r="C292" s="44">
        <v>2</v>
      </c>
      <c r="D292" s="45" t="str">
        <f>INDEX(Helper!$N$2:$N$4, MATCH(C292, Helper!$M$2:$M$4, 0))</f>
        <v>Intermediate</v>
      </c>
      <c r="E292" s="45" t="s">
        <v>242</v>
      </c>
      <c r="F292" s="45" t="s">
        <v>1244</v>
      </c>
      <c r="G292" s="5">
        <v>2</v>
      </c>
      <c r="H292" s="44">
        <v>1</v>
      </c>
      <c r="I292" s="44" t="str">
        <f>INDEX(Helper!$C:$C, MATCH(H292, Helper!$A:$A, 0))</f>
        <v>Standard (EADGBE)</v>
      </c>
      <c r="J292" s="44" t="s">
        <v>393</v>
      </c>
      <c r="K292" s="65" t="s">
        <v>13</v>
      </c>
      <c r="L292" s="44" t="str">
        <f>INDEX(Helper!$F:$F, MATCH(K292, Helper!$E:$E, 0))</f>
        <v>#FF4F53</v>
      </c>
      <c r="M292" s="45" t="s">
        <v>1333</v>
      </c>
      <c r="N292" s="45" t="s">
        <v>614</v>
      </c>
      <c r="O292" s="75" t="s">
        <v>1480</v>
      </c>
      <c r="P292" s="74" t="s">
        <v>1573</v>
      </c>
    </row>
    <row r="293" spans="1:16" ht="175.5">
      <c r="A293" s="44">
        <v>290</v>
      </c>
      <c r="B293" s="44">
        <v>1</v>
      </c>
      <c r="C293" s="44">
        <v>2</v>
      </c>
      <c r="D293" s="45" t="str">
        <f>INDEX(Helper!$N$2:$N$4, MATCH(C293, Helper!$M$2:$M$4, 0))</f>
        <v>Intermediate</v>
      </c>
      <c r="E293" s="45" t="s">
        <v>242</v>
      </c>
      <c r="F293" s="45" t="s">
        <v>1245</v>
      </c>
      <c r="G293" s="5">
        <v>2</v>
      </c>
      <c r="H293" s="44">
        <v>1</v>
      </c>
      <c r="I293" s="44" t="str">
        <f>INDEX(Helper!$C:$C, MATCH(H293, Helper!$A:$A, 0))</f>
        <v>Standard (EADGBE)</v>
      </c>
      <c r="J293" s="44" t="s">
        <v>1268</v>
      </c>
      <c r="K293" s="65" t="s">
        <v>13</v>
      </c>
      <c r="L293" s="44" t="str">
        <f>INDEX(Helper!$F:$F, MATCH(K293, Helper!$E:$E, 0))</f>
        <v>#FF4F53</v>
      </c>
      <c r="M293" s="45" t="s">
        <v>1332</v>
      </c>
      <c r="N293" s="45" t="s">
        <v>614</v>
      </c>
      <c r="O293" s="84" t="s">
        <v>1482</v>
      </c>
      <c r="P293" s="74" t="s">
        <v>1481</v>
      </c>
    </row>
    <row r="294" spans="1:16" ht="378">
      <c r="A294" s="44">
        <v>291</v>
      </c>
      <c r="B294" s="44">
        <v>1</v>
      </c>
      <c r="C294" s="44">
        <v>2</v>
      </c>
      <c r="D294" s="45" t="str">
        <f>INDEX(Helper!$N$2:$N$4, MATCH(C294, Helper!$M$2:$M$4, 0))</f>
        <v>Intermediate</v>
      </c>
      <c r="E294" s="45" t="s">
        <v>123</v>
      </c>
      <c r="F294" s="45" t="s">
        <v>1190</v>
      </c>
      <c r="G294" s="5">
        <v>2</v>
      </c>
      <c r="H294" s="44">
        <v>1</v>
      </c>
      <c r="I294" s="44" t="str">
        <f>INDEX(Helper!$C:$C, MATCH(H294, Helper!$A:$A, 0))</f>
        <v>Standard (EADGBE)</v>
      </c>
      <c r="J294" s="44" t="s">
        <v>62</v>
      </c>
      <c r="K294" s="65" t="s">
        <v>13</v>
      </c>
      <c r="L294" s="44" t="str">
        <f>INDEX(Helper!$F:$F, MATCH(K294, Helper!$E:$E, 0))</f>
        <v>#FF4F53</v>
      </c>
      <c r="M294" s="45" t="s">
        <v>1334</v>
      </c>
      <c r="N294" s="45" t="s">
        <v>614</v>
      </c>
      <c r="O294" s="84" t="s">
        <v>1484</v>
      </c>
      <c r="P294" s="74" t="s">
        <v>1483</v>
      </c>
    </row>
    <row r="295" spans="1:16" ht="94.5">
      <c r="A295" s="44">
        <v>292</v>
      </c>
      <c r="B295" s="44">
        <v>1</v>
      </c>
      <c r="C295" s="44">
        <v>1</v>
      </c>
      <c r="D295" s="45" t="str">
        <f>INDEX(Helper!$N$2:$N$4, MATCH(C295, Helper!$M$2:$M$4, 0))</f>
        <v>Beginner</v>
      </c>
      <c r="E295" s="45" t="s">
        <v>123</v>
      </c>
      <c r="F295" s="45" t="s">
        <v>1191</v>
      </c>
      <c r="G295" s="5">
        <v>2</v>
      </c>
      <c r="H295" s="44">
        <v>2</v>
      </c>
      <c r="I295" s="44" t="str">
        <f>INDEX(Helper!$C:$C, MATCH(H295, Helper!$A:$A, 0))</f>
        <v>Drop D (DADGBE)</v>
      </c>
      <c r="J295" s="44" t="s">
        <v>393</v>
      </c>
      <c r="K295" s="65" t="s">
        <v>13</v>
      </c>
      <c r="L295" s="44" t="str">
        <f>INDEX(Helper!$F:$F, MATCH(K295, Helper!$E:$E, 0))</f>
        <v>#FF4F53</v>
      </c>
      <c r="M295" s="45" t="s">
        <v>1335</v>
      </c>
      <c r="N295" s="45" t="s">
        <v>614</v>
      </c>
      <c r="O295" s="84" t="s">
        <v>1486</v>
      </c>
      <c r="P295" s="74" t="s">
        <v>1485</v>
      </c>
    </row>
    <row r="296" spans="1:16" ht="175.5">
      <c r="A296" s="44">
        <v>293</v>
      </c>
      <c r="B296" s="44">
        <v>1</v>
      </c>
      <c r="C296" s="44">
        <v>2</v>
      </c>
      <c r="D296" s="45" t="str">
        <f>INDEX(Helper!$N$2:$N$4, MATCH(C296, Helper!$M$2:$M$4, 0))</f>
        <v>Intermediate</v>
      </c>
      <c r="E296" s="45" t="s">
        <v>123</v>
      </c>
      <c r="F296" s="45" t="s">
        <v>1192</v>
      </c>
      <c r="G296" s="5">
        <v>0</v>
      </c>
      <c r="H296" s="44">
        <v>17</v>
      </c>
      <c r="I296" s="44" t="str">
        <f>INDEX(Helper!$C:$C, MATCH(H296, Helper!$A:$A, 0))</f>
        <v>GGDGBD</v>
      </c>
      <c r="J296" s="44" t="s">
        <v>65</v>
      </c>
      <c r="K296" s="65" t="s">
        <v>13</v>
      </c>
      <c r="L296" s="44" t="str">
        <f>INDEX(Helper!$F:$F, MATCH(K296, Helper!$E:$E, 0))</f>
        <v>#FF4F53</v>
      </c>
      <c r="M296" s="45" t="s">
        <v>1336</v>
      </c>
      <c r="N296" s="45" t="s">
        <v>614</v>
      </c>
      <c r="O296" s="75" t="s">
        <v>1488</v>
      </c>
      <c r="P296" s="74" t="s">
        <v>1487</v>
      </c>
    </row>
    <row r="297" spans="1:16" ht="81">
      <c r="A297" s="44">
        <v>294</v>
      </c>
      <c r="B297" s="44">
        <v>1</v>
      </c>
      <c r="C297" s="44">
        <v>1</v>
      </c>
      <c r="D297" s="45" t="str">
        <f>INDEX(Helper!$N$2:$N$4, MATCH(C297, Helper!$M$2:$M$4, 0))</f>
        <v>Beginner</v>
      </c>
      <c r="E297" s="45" t="s">
        <v>123</v>
      </c>
      <c r="F297" s="45" t="s">
        <v>1193</v>
      </c>
      <c r="G297" s="5">
        <v>2</v>
      </c>
      <c r="H297" s="44">
        <v>1</v>
      </c>
      <c r="I297" s="44" t="str">
        <f>INDEX(Helper!$C:$C, MATCH(H297, Helper!$A:$A, 0))</f>
        <v>Standard (EADGBE)</v>
      </c>
      <c r="J297" s="44" t="s">
        <v>66</v>
      </c>
      <c r="K297" s="65" t="s">
        <v>13</v>
      </c>
      <c r="L297" s="44" t="str">
        <f>INDEX(Helper!$F:$F, MATCH(K297, Helper!$E:$E, 0))</f>
        <v>#FF4F53</v>
      </c>
      <c r="M297" s="45" t="s">
        <v>1337</v>
      </c>
      <c r="N297" s="45" t="s">
        <v>614</v>
      </c>
      <c r="O297" s="84" t="s">
        <v>1491</v>
      </c>
      <c r="P297" s="74" t="s">
        <v>1490</v>
      </c>
    </row>
    <row r="298" spans="1:16" ht="81">
      <c r="A298" s="44">
        <v>295</v>
      </c>
      <c r="B298" s="44">
        <v>1</v>
      </c>
      <c r="C298" s="44">
        <v>2</v>
      </c>
      <c r="D298" s="45" t="str">
        <f>INDEX(Helper!$N$2:$N$4, MATCH(C298, Helper!$M$2:$M$4, 0))</f>
        <v>Intermediate</v>
      </c>
      <c r="E298" s="45" t="s">
        <v>123</v>
      </c>
      <c r="F298" s="45" t="s">
        <v>1246</v>
      </c>
      <c r="G298" s="5">
        <v>0</v>
      </c>
      <c r="H298" s="44">
        <v>1</v>
      </c>
      <c r="I298" s="44" t="str">
        <f>INDEX(Helper!$C:$C, MATCH(H298, Helper!$A:$A, 0))</f>
        <v>Standard (EADGBE)</v>
      </c>
      <c r="J298" s="44" t="s">
        <v>626</v>
      </c>
      <c r="K298" s="65" t="s">
        <v>13</v>
      </c>
      <c r="L298" s="44" t="str">
        <f>INDEX(Helper!$F:$F, MATCH(K298, Helper!$E:$E, 0))</f>
        <v>#FF4F53</v>
      </c>
      <c r="M298" s="45" t="s">
        <v>1338</v>
      </c>
      <c r="N298" s="45" t="s">
        <v>614</v>
      </c>
      <c r="O298" s="81" t="s">
        <v>1493</v>
      </c>
      <c r="P298" s="74" t="s">
        <v>1492</v>
      </c>
    </row>
    <row r="299" spans="1:16" ht="283.5">
      <c r="A299" s="44">
        <v>296</v>
      </c>
      <c r="B299" s="44">
        <v>1</v>
      </c>
      <c r="C299" s="44">
        <v>2</v>
      </c>
      <c r="D299" s="45" t="str">
        <f>INDEX(Helper!$N$2:$N$4, MATCH(C299, Helper!$M$2:$M$4, 0))</f>
        <v>Intermediate</v>
      </c>
      <c r="E299" s="45" t="s">
        <v>84</v>
      </c>
      <c r="F299" s="45" t="s">
        <v>1247</v>
      </c>
      <c r="G299" s="5">
        <v>2</v>
      </c>
      <c r="H299" s="44">
        <v>1</v>
      </c>
      <c r="I299" s="44" t="str">
        <f>INDEX(Helper!$C:$C, MATCH(H299, Helper!$A:$A, 0))</f>
        <v>Standard (EADGBE)</v>
      </c>
      <c r="J299" s="44" t="s">
        <v>66</v>
      </c>
      <c r="K299" s="65" t="s">
        <v>13</v>
      </c>
      <c r="L299" s="44" t="str">
        <f>INDEX(Helper!$F:$F, MATCH(K299, Helper!$E:$E, 0))</f>
        <v>#FF4F53</v>
      </c>
      <c r="M299" s="45" t="s">
        <v>1339</v>
      </c>
      <c r="N299" s="45" t="s">
        <v>614</v>
      </c>
      <c r="O299" s="75" t="s">
        <v>1509</v>
      </c>
      <c r="P299" s="74" t="s">
        <v>1508</v>
      </c>
    </row>
    <row r="300" spans="1:16" ht="81">
      <c r="A300" s="44">
        <v>297</v>
      </c>
      <c r="B300" s="44">
        <v>1</v>
      </c>
      <c r="C300" s="44">
        <v>2</v>
      </c>
      <c r="D300" s="45" t="str">
        <f>INDEX(Helper!$N$2:$N$4, MATCH(C300, Helper!$M$2:$M$4, 0))</f>
        <v>Intermediate</v>
      </c>
      <c r="E300" s="45" t="s">
        <v>84</v>
      </c>
      <c r="F300" s="45" t="s">
        <v>1248</v>
      </c>
      <c r="G300" s="5">
        <v>2</v>
      </c>
      <c r="H300" s="44">
        <v>1</v>
      </c>
      <c r="I300" s="44" t="str">
        <f>INDEX(Helper!$C:$C, MATCH(H300, Helper!$A:$A, 0))</f>
        <v>Standard (EADGBE)</v>
      </c>
      <c r="J300" s="44" t="s">
        <v>393</v>
      </c>
      <c r="K300" s="65" t="s">
        <v>13</v>
      </c>
      <c r="L300" s="44" t="str">
        <f>INDEX(Helper!$F:$F, MATCH(K300, Helper!$E:$E, 0))</f>
        <v>#FF4F53</v>
      </c>
      <c r="M300" s="45" t="s">
        <v>1340</v>
      </c>
      <c r="N300" s="45" t="s">
        <v>614</v>
      </c>
      <c r="O300" s="75" t="s">
        <v>1511</v>
      </c>
      <c r="P300" s="74" t="s">
        <v>1510</v>
      </c>
    </row>
    <row r="301" spans="1:16" ht="364.5">
      <c r="A301" s="44">
        <v>298</v>
      </c>
      <c r="B301" s="44">
        <v>1</v>
      </c>
      <c r="C301" s="44">
        <v>2</v>
      </c>
      <c r="D301" s="45" t="str">
        <f>INDEX(Helper!$N$2:$N$4, MATCH(C301, Helper!$M$2:$M$4, 0))</f>
        <v>Intermediate</v>
      </c>
      <c r="E301" s="45" t="s">
        <v>84</v>
      </c>
      <c r="F301" s="45" t="s">
        <v>1249</v>
      </c>
      <c r="G301" s="5">
        <v>0</v>
      </c>
      <c r="H301" s="44">
        <v>1</v>
      </c>
      <c r="I301" s="44" t="str">
        <f>INDEX(Helper!$C:$C, MATCH(H301, Helper!$A:$A, 0))</f>
        <v>Standard (EADGBE)</v>
      </c>
      <c r="J301" s="44" t="s">
        <v>66</v>
      </c>
      <c r="K301" s="65" t="s">
        <v>13</v>
      </c>
      <c r="L301" s="44" t="str">
        <f>INDEX(Helper!$F:$F, MATCH(K301, Helper!$E:$E, 0))</f>
        <v>#FF4F53</v>
      </c>
      <c r="M301" s="45" t="s">
        <v>1341</v>
      </c>
      <c r="N301" s="45" t="s">
        <v>614</v>
      </c>
      <c r="O301" s="75" t="s">
        <v>1513</v>
      </c>
      <c r="P301" s="74" t="s">
        <v>1512</v>
      </c>
    </row>
    <row r="302" spans="1:16" ht="175.5">
      <c r="A302" s="44">
        <v>299</v>
      </c>
      <c r="B302" s="44">
        <v>1</v>
      </c>
      <c r="C302" s="44">
        <v>2</v>
      </c>
      <c r="D302" s="45" t="str">
        <f>INDEX(Helper!$N$2:$N$4, MATCH(C302, Helper!$M$2:$M$4, 0))</f>
        <v>Intermediate</v>
      </c>
      <c r="E302" s="45" t="s">
        <v>269</v>
      </c>
      <c r="F302" s="45" t="s">
        <v>1194</v>
      </c>
      <c r="G302" s="5">
        <v>0</v>
      </c>
      <c r="H302" s="44">
        <v>3</v>
      </c>
      <c r="I302" s="44" t="str">
        <f>INDEX(Helper!$C:$C, MATCH(H302, Helper!$A:$A, 0))</f>
        <v>Half Step Down (D#G#C#F#A#D#)</v>
      </c>
      <c r="J302" s="44" t="s">
        <v>63</v>
      </c>
      <c r="K302" s="64" t="s">
        <v>15</v>
      </c>
      <c r="L302" s="44" t="str">
        <f>INDEX(Helper!$F:$F, MATCH(K302, Helper!$E:$E, 0))</f>
        <v>#C2C2A1</v>
      </c>
      <c r="M302" s="45" t="s">
        <v>1342</v>
      </c>
      <c r="N302" s="45" t="s">
        <v>614</v>
      </c>
      <c r="O302" s="84" t="s">
        <v>1514</v>
      </c>
      <c r="P302" s="74" t="s">
        <v>1574</v>
      </c>
    </row>
    <row r="303" spans="1:16" ht="81">
      <c r="A303" s="44">
        <v>300</v>
      </c>
      <c r="B303" s="44">
        <v>1</v>
      </c>
      <c r="C303" s="44">
        <v>2</v>
      </c>
      <c r="D303" s="45" t="str">
        <f>INDEX(Helper!$N$2:$N$4, MATCH(C303, Helper!$M$2:$M$4, 0))</f>
        <v>Intermediate</v>
      </c>
      <c r="E303" s="45" t="s">
        <v>1196</v>
      </c>
      <c r="F303" s="45" t="s">
        <v>1195</v>
      </c>
      <c r="G303" s="5">
        <v>0</v>
      </c>
      <c r="H303" s="44">
        <v>1</v>
      </c>
      <c r="I303" s="44" t="str">
        <f>INDEX(Helper!$C:$C, MATCH(H303, Helper!$A:$A, 0))</f>
        <v>Standard (EADGBE)</v>
      </c>
      <c r="J303" s="44" t="s">
        <v>65</v>
      </c>
      <c r="K303" s="60" t="s">
        <v>1253</v>
      </c>
      <c r="L303" s="44" t="str">
        <f>INDEX(Helper!$F:$F, MATCH(K303, Helper!$E:$E, 0))</f>
        <v>#B3F141</v>
      </c>
      <c r="M303" s="45" t="s">
        <v>1272</v>
      </c>
      <c r="N303" s="45" t="s">
        <v>614</v>
      </c>
      <c r="O303" s="75" t="s">
        <v>1516</v>
      </c>
      <c r="P303" s="74" t="s">
        <v>1515</v>
      </c>
    </row>
    <row r="304" spans="1:16" ht="81">
      <c r="A304" s="44">
        <v>301</v>
      </c>
      <c r="B304" s="44">
        <v>1</v>
      </c>
      <c r="C304" s="44">
        <v>1</v>
      </c>
      <c r="D304" s="45" t="str">
        <f>INDEX(Helper!$N$2:$N$4, MATCH(C304, Helper!$M$2:$M$4, 0))</f>
        <v>Beginner</v>
      </c>
      <c r="E304" s="45" t="s">
        <v>261</v>
      </c>
      <c r="F304" s="45" t="s">
        <v>1197</v>
      </c>
      <c r="G304" s="5">
        <v>2</v>
      </c>
      <c r="H304" s="44">
        <v>1</v>
      </c>
      <c r="I304" s="44" t="str">
        <f>INDEX(Helper!$C:$C, MATCH(H304, Helper!$A:$A, 0))</f>
        <v>Standard (EADGBE)</v>
      </c>
      <c r="J304" s="44" t="s">
        <v>393</v>
      </c>
      <c r="K304" s="61" t="s">
        <v>11</v>
      </c>
      <c r="L304" s="44" t="str">
        <f>INDEX(Helper!$F:$F, MATCH(K304, Helper!$E:$E, 0))</f>
        <v>#E8AD1D</v>
      </c>
      <c r="M304" s="45" t="s">
        <v>1343</v>
      </c>
      <c r="N304" s="45" t="s">
        <v>614</v>
      </c>
      <c r="O304" s="84" t="s">
        <v>1518</v>
      </c>
      <c r="P304" s="74" t="s">
        <v>1517</v>
      </c>
    </row>
    <row r="305" spans="1:16" ht="409.5">
      <c r="A305" s="44">
        <v>302</v>
      </c>
      <c r="B305" s="44">
        <v>1</v>
      </c>
      <c r="C305" s="44">
        <v>3</v>
      </c>
      <c r="D305" s="45" t="str">
        <f>INDEX(Helper!$N$2:$N$4, MATCH(C305, Helper!$M$2:$M$4, 0))</f>
        <v>Advanced</v>
      </c>
      <c r="E305" s="45" t="s">
        <v>261</v>
      </c>
      <c r="F305" s="45" t="s">
        <v>1269</v>
      </c>
      <c r="G305" s="5">
        <v>0</v>
      </c>
      <c r="H305" s="44">
        <v>1</v>
      </c>
      <c r="I305" s="44" t="str">
        <f>INDEX(Helper!$C:$C, MATCH(H305, Helper!$A:$A, 0))</f>
        <v>Standard (EADGBE)</v>
      </c>
      <c r="J305" s="44" t="s">
        <v>66</v>
      </c>
      <c r="K305" s="61" t="s">
        <v>11</v>
      </c>
      <c r="L305" s="44" t="str">
        <f>INDEX(Helper!$F:$F, MATCH(K305, Helper!$E:$E, 0))</f>
        <v>#E8AD1D</v>
      </c>
      <c r="M305" s="48" t="s">
        <v>1345</v>
      </c>
      <c r="N305" s="45" t="s">
        <v>614</v>
      </c>
      <c r="O305" s="75" t="s">
        <v>1520</v>
      </c>
      <c r="P305" s="74" t="s">
        <v>1519</v>
      </c>
    </row>
    <row r="306" spans="1:16" ht="81">
      <c r="A306" s="44">
        <v>303</v>
      </c>
      <c r="B306" s="44">
        <v>1</v>
      </c>
      <c r="C306" s="44">
        <v>2</v>
      </c>
      <c r="D306" s="45" t="str">
        <f>INDEX(Helper!$N$2:$N$4, MATCH(C306, Helper!$M$2:$M$4, 0))</f>
        <v>Intermediate</v>
      </c>
      <c r="E306" s="45" t="s">
        <v>261</v>
      </c>
      <c r="F306" s="45" t="s">
        <v>1257</v>
      </c>
      <c r="G306" s="5">
        <v>0</v>
      </c>
      <c r="H306" s="44">
        <v>1</v>
      </c>
      <c r="I306" s="44" t="str">
        <f>INDEX(Helper!$C:$C, MATCH(H306, Helper!$A:$A, 0))</f>
        <v>Standard (EADGBE)</v>
      </c>
      <c r="J306" s="44" t="s">
        <v>67</v>
      </c>
      <c r="K306" s="61" t="s">
        <v>11</v>
      </c>
      <c r="L306" s="44" t="str">
        <f>INDEX(Helper!$F:$F, MATCH(K306, Helper!$E:$E, 0))</f>
        <v>#E8AD1D</v>
      </c>
      <c r="M306" s="45" t="s">
        <v>1344</v>
      </c>
      <c r="N306" s="45" t="s">
        <v>614</v>
      </c>
      <c r="O306" s="75" t="s">
        <v>1522</v>
      </c>
      <c r="P306" s="74" t="s">
        <v>1521</v>
      </c>
    </row>
    <row r="307" spans="1:16" ht="175.5">
      <c r="A307" s="44">
        <v>304</v>
      </c>
      <c r="B307" s="44">
        <v>1</v>
      </c>
      <c r="C307" s="44">
        <v>2</v>
      </c>
      <c r="D307" s="45" t="str">
        <f>INDEX(Helper!$N$2:$N$4, MATCH(C307, Helper!$M$2:$M$4, 0))</f>
        <v>Intermediate</v>
      </c>
      <c r="E307" s="45" t="s">
        <v>39</v>
      </c>
      <c r="F307" s="45" t="s">
        <v>1250</v>
      </c>
      <c r="G307" s="5">
        <v>2</v>
      </c>
      <c r="H307" s="44">
        <v>3</v>
      </c>
      <c r="I307" s="44" t="str">
        <f>INDEX(Helper!$C:$C, MATCH(H307, Helper!$A:$A, 0))</f>
        <v>Half Step Down (D#G#C#F#A#D#)</v>
      </c>
      <c r="J307" s="44" t="s">
        <v>794</v>
      </c>
      <c r="K307" s="65" t="s">
        <v>13</v>
      </c>
      <c r="L307" s="44" t="str">
        <f>INDEX(Helper!$F:$F, MATCH(K307, Helper!$E:$E, 0))</f>
        <v>#FF4F53</v>
      </c>
      <c r="M307" s="45" t="s">
        <v>1346</v>
      </c>
      <c r="N307" s="45" t="s">
        <v>614</v>
      </c>
      <c r="O307" s="84" t="s">
        <v>1524</v>
      </c>
      <c r="P307" s="74" t="s">
        <v>1523</v>
      </c>
    </row>
    <row r="308" spans="1:16" ht="81">
      <c r="A308" s="44">
        <v>305</v>
      </c>
      <c r="B308" s="44">
        <v>1</v>
      </c>
      <c r="C308" s="44">
        <v>2</v>
      </c>
      <c r="D308" s="45" t="str">
        <f>INDEX(Helper!$N$2:$N$4, MATCH(C308, Helper!$M$2:$M$4, 0))</f>
        <v>Intermediate</v>
      </c>
      <c r="E308" s="45" t="s">
        <v>39</v>
      </c>
      <c r="F308" s="45" t="s">
        <v>1198</v>
      </c>
      <c r="G308" s="5">
        <v>0</v>
      </c>
      <c r="H308" s="44">
        <v>3</v>
      </c>
      <c r="I308" s="44" t="str">
        <f>INDEX(Helper!$C:$C, MATCH(H308, Helper!$A:$A, 0))</f>
        <v>Half Step Down (D#G#C#F#A#D#)</v>
      </c>
      <c r="J308" s="44" t="s">
        <v>65</v>
      </c>
      <c r="K308" s="65" t="s">
        <v>13</v>
      </c>
      <c r="L308" s="44" t="str">
        <f>INDEX(Helper!$F:$F, MATCH(K308, Helper!$E:$E, 0))</f>
        <v>#FF4F53</v>
      </c>
      <c r="M308" s="45" t="s">
        <v>1347</v>
      </c>
      <c r="N308" s="45" t="s">
        <v>614</v>
      </c>
      <c r="O308" s="84" t="s">
        <v>1526</v>
      </c>
      <c r="P308" s="74" t="s">
        <v>1525</v>
      </c>
    </row>
    <row r="309" spans="1:16" ht="175.5">
      <c r="A309" s="44">
        <v>306</v>
      </c>
      <c r="B309" s="44">
        <v>1</v>
      </c>
      <c r="C309" s="44">
        <v>1</v>
      </c>
      <c r="D309" s="45" t="str">
        <f>INDEX(Helper!$N$2:$N$4, MATCH(C309, Helper!$M$2:$M$4, 0))</f>
        <v>Beginner</v>
      </c>
      <c r="E309" s="45" t="s">
        <v>39</v>
      </c>
      <c r="F309" s="45" t="s">
        <v>1199</v>
      </c>
      <c r="G309" s="5">
        <v>2</v>
      </c>
      <c r="H309" s="44">
        <v>3</v>
      </c>
      <c r="I309" s="44" t="str">
        <f>INDEX(Helper!$C:$C, MATCH(H309, Helper!$A:$A, 0))</f>
        <v>Half Step Down (D#G#C#F#A#D#)</v>
      </c>
      <c r="J309" s="44" t="s">
        <v>636</v>
      </c>
      <c r="K309" s="65" t="s">
        <v>13</v>
      </c>
      <c r="L309" s="44" t="str">
        <f>INDEX(Helper!$F:$F, MATCH(K309, Helper!$E:$E, 0))</f>
        <v>#FF4F53</v>
      </c>
      <c r="M309" s="45" t="s">
        <v>1348</v>
      </c>
      <c r="N309" s="45" t="s">
        <v>614</v>
      </c>
      <c r="O309" s="75" t="s">
        <v>1527</v>
      </c>
      <c r="P309" s="74" t="s">
        <v>1575</v>
      </c>
    </row>
    <row r="310" spans="1:16" ht="364.5">
      <c r="A310" s="44">
        <v>307</v>
      </c>
      <c r="B310" s="44">
        <v>1</v>
      </c>
      <c r="C310" s="44">
        <v>2</v>
      </c>
      <c r="D310" s="45" t="str">
        <f>INDEX(Helper!$N$2:$N$4, MATCH(C310, Helper!$M$2:$M$4, 0))</f>
        <v>Intermediate</v>
      </c>
      <c r="E310" s="45" t="s">
        <v>39</v>
      </c>
      <c r="F310" s="45" t="s">
        <v>1200</v>
      </c>
      <c r="G310" s="5">
        <v>0</v>
      </c>
      <c r="H310" s="44">
        <v>3</v>
      </c>
      <c r="I310" s="44" t="str">
        <f>INDEX(Helper!$C:$C, MATCH(H310, Helper!$A:$A, 0))</f>
        <v>Half Step Down (D#G#C#F#A#D#)</v>
      </c>
      <c r="J310" s="44" t="s">
        <v>623</v>
      </c>
      <c r="K310" s="65" t="s">
        <v>13</v>
      </c>
      <c r="L310" s="44" t="str">
        <f>INDEX(Helper!$F:$F, MATCH(K310, Helper!$E:$E, 0))</f>
        <v>#FF4F53</v>
      </c>
      <c r="M310" s="45" t="s">
        <v>1349</v>
      </c>
      <c r="N310" s="45" t="s">
        <v>614</v>
      </c>
      <c r="O310" s="75" t="s">
        <v>1529</v>
      </c>
      <c r="P310" s="74" t="s">
        <v>1528</v>
      </c>
    </row>
    <row r="311" spans="1:16" ht="81">
      <c r="A311" s="44">
        <v>308</v>
      </c>
      <c r="B311" s="44">
        <v>1</v>
      </c>
      <c r="C311" s="44">
        <v>2</v>
      </c>
      <c r="D311" s="45" t="str">
        <f>INDEX(Helper!$N$2:$N$4, MATCH(C311, Helper!$M$2:$M$4, 0))</f>
        <v>Intermediate</v>
      </c>
      <c r="E311" s="45" t="s">
        <v>39</v>
      </c>
      <c r="F311" s="45" t="s">
        <v>1201</v>
      </c>
      <c r="G311" s="5">
        <v>2</v>
      </c>
      <c r="H311" s="44">
        <v>3</v>
      </c>
      <c r="I311" s="44" t="str">
        <f>INDEX(Helper!$C:$C, MATCH(H311, Helper!$A:$A, 0))</f>
        <v>Half Step Down (D#G#C#F#A#D#)</v>
      </c>
      <c r="J311" s="44" t="s">
        <v>70</v>
      </c>
      <c r="K311" s="65" t="s">
        <v>13</v>
      </c>
      <c r="L311" s="44" t="str">
        <f>INDEX(Helper!$F:$F, MATCH(K311, Helper!$E:$E, 0))</f>
        <v>#FF4F53</v>
      </c>
      <c r="M311" s="45" t="s">
        <v>1350</v>
      </c>
      <c r="N311" s="45" t="s">
        <v>614</v>
      </c>
      <c r="O311" s="84" t="s">
        <v>1530</v>
      </c>
      <c r="P311" s="74" t="s">
        <v>1576</v>
      </c>
    </row>
    <row r="312" spans="1:16" ht="81">
      <c r="A312" s="44">
        <v>309</v>
      </c>
      <c r="B312" s="44">
        <v>1</v>
      </c>
      <c r="C312" s="44">
        <v>2</v>
      </c>
      <c r="D312" s="45" t="str">
        <f>INDEX(Helper!$N$2:$N$4, MATCH(C312, Helper!$M$2:$M$4, 0))</f>
        <v>Intermediate</v>
      </c>
      <c r="E312" s="45" t="s">
        <v>39</v>
      </c>
      <c r="F312" s="45" t="s">
        <v>1251</v>
      </c>
      <c r="G312" s="5">
        <v>0</v>
      </c>
      <c r="H312" s="44">
        <v>3</v>
      </c>
      <c r="I312" s="44" t="str">
        <f>INDEX(Helper!$C:$C, MATCH(H312, Helper!$A:$A, 0))</f>
        <v>Half Step Down (D#G#C#F#A#D#)</v>
      </c>
      <c r="J312" s="44" t="s">
        <v>794</v>
      </c>
      <c r="K312" s="65" t="s">
        <v>13</v>
      </c>
      <c r="L312" s="44" t="str">
        <f>INDEX(Helper!$F:$F, MATCH(K312, Helper!$E:$E, 0))</f>
        <v>#FF4F53</v>
      </c>
      <c r="M312" s="45" t="s">
        <v>1351</v>
      </c>
      <c r="N312" s="45" t="s">
        <v>614</v>
      </c>
      <c r="O312" s="84" t="s">
        <v>1531</v>
      </c>
      <c r="P312" s="74" t="s">
        <v>1577</v>
      </c>
    </row>
    <row r="313" spans="1:16" ht="81">
      <c r="A313" s="44">
        <v>310</v>
      </c>
      <c r="B313" s="44">
        <v>1</v>
      </c>
      <c r="C313" s="44">
        <v>2</v>
      </c>
      <c r="D313" s="45" t="str">
        <f>INDEX(Helper!$N$2:$N$4, MATCH(C313, Helper!$M$2:$M$4, 0))</f>
        <v>Intermediate</v>
      </c>
      <c r="E313" s="45" t="s">
        <v>39</v>
      </c>
      <c r="F313" s="45" t="s">
        <v>1202</v>
      </c>
      <c r="G313" s="5">
        <v>2</v>
      </c>
      <c r="H313" s="44">
        <v>9</v>
      </c>
      <c r="I313" s="44" t="str">
        <f>INDEX(Helper!$C:$C, MATCH(H313, Helper!$A:$A, 0))</f>
        <v>C#G#C#F#A#D#</v>
      </c>
      <c r="J313" s="44" t="s">
        <v>794</v>
      </c>
      <c r="K313" s="65" t="s">
        <v>13</v>
      </c>
      <c r="L313" s="44" t="str">
        <f>INDEX(Helper!$F:$F, MATCH(K313, Helper!$E:$E, 0))</f>
        <v>#FF4F53</v>
      </c>
      <c r="M313" s="45" t="s">
        <v>1352</v>
      </c>
      <c r="N313" s="45" t="s">
        <v>614</v>
      </c>
      <c r="O313" s="84" t="s">
        <v>1535</v>
      </c>
      <c r="P313" s="74" t="s">
        <v>1532</v>
      </c>
    </row>
    <row r="314" spans="1:16" ht="81">
      <c r="A314" s="44">
        <v>311</v>
      </c>
      <c r="B314" s="44">
        <v>1</v>
      </c>
      <c r="C314" s="44">
        <v>1</v>
      </c>
      <c r="D314" s="45" t="str">
        <f>INDEX(Helper!$N$2:$N$4, MATCH(C314, Helper!$M$2:$M$4, 0))</f>
        <v>Beginner</v>
      </c>
      <c r="E314" s="45" t="s">
        <v>39</v>
      </c>
      <c r="F314" s="45" t="s">
        <v>1270</v>
      </c>
      <c r="G314" s="5">
        <v>2</v>
      </c>
      <c r="H314" s="44">
        <v>3</v>
      </c>
      <c r="I314" s="44" t="str">
        <f>INDEX(Helper!$C:$C, MATCH(H314, Helper!$A:$A, 0))</f>
        <v>Half Step Down (D#G#C#F#A#D#)</v>
      </c>
      <c r="J314" s="44" t="s">
        <v>636</v>
      </c>
      <c r="K314" s="65" t="s">
        <v>13</v>
      </c>
      <c r="L314" s="44" t="str">
        <f>INDEX(Helper!$F:$F, MATCH(K314, Helper!$E:$E, 0))</f>
        <v>#FF4F53</v>
      </c>
      <c r="M314" s="45" t="s">
        <v>1353</v>
      </c>
      <c r="N314" s="45" t="s">
        <v>614</v>
      </c>
      <c r="O314" s="75" t="s">
        <v>1534</v>
      </c>
      <c r="P314" s="74" t="s">
        <v>1533</v>
      </c>
    </row>
    <row r="315" spans="1:16" ht="81">
      <c r="A315" s="44">
        <v>312</v>
      </c>
      <c r="B315" s="44">
        <v>1</v>
      </c>
      <c r="C315" s="44">
        <v>2</v>
      </c>
      <c r="D315" s="45" t="str">
        <f>INDEX(Helper!$N$2:$N$4, MATCH(C315, Helper!$M$2:$M$4, 0))</f>
        <v>Intermediate</v>
      </c>
      <c r="E315" s="45" t="s">
        <v>121</v>
      </c>
      <c r="F315" s="45" t="s">
        <v>1203</v>
      </c>
      <c r="G315" s="5">
        <v>0</v>
      </c>
      <c r="H315" s="44">
        <v>3</v>
      </c>
      <c r="I315" s="44" t="str">
        <f>INDEX(Helper!$C:$C, MATCH(H315, Helper!$A:$A, 0))</f>
        <v>Half Step Down (D#G#C#F#A#D#)</v>
      </c>
      <c r="J315" s="44" t="s">
        <v>636</v>
      </c>
      <c r="K315" s="59" t="s">
        <v>10</v>
      </c>
      <c r="L315" s="44" t="str">
        <f>INDEX(Helper!$F:$F, MATCH(K315, Helper!$E:$E, 0))</f>
        <v>#F5943C</v>
      </c>
      <c r="M315" s="45" t="s">
        <v>1354</v>
      </c>
      <c r="N315" s="45" t="s">
        <v>614</v>
      </c>
      <c r="O315" s="84" t="s">
        <v>1537</v>
      </c>
      <c r="P315" s="74" t="s">
        <v>1536</v>
      </c>
    </row>
    <row r="316" spans="1:16" ht="175.5">
      <c r="A316" s="44">
        <v>313</v>
      </c>
      <c r="B316" s="44">
        <v>1</v>
      </c>
      <c r="C316" s="44">
        <v>2</v>
      </c>
      <c r="D316" s="45" t="str">
        <f>INDEX(Helper!$N$2:$N$4, MATCH(C316, Helper!$M$2:$M$4, 0))</f>
        <v>Intermediate</v>
      </c>
      <c r="E316" s="45" t="s">
        <v>121</v>
      </c>
      <c r="F316" s="45" t="s">
        <v>1204</v>
      </c>
      <c r="G316" s="5">
        <v>2</v>
      </c>
      <c r="H316" s="44">
        <v>1</v>
      </c>
      <c r="I316" s="44" t="str">
        <f>INDEX(Helper!$C:$C, MATCH(H316, Helper!$A:$A, 0))</f>
        <v>Standard (EADGBE)</v>
      </c>
      <c r="J316" s="44" t="s">
        <v>794</v>
      </c>
      <c r="K316" s="59" t="s">
        <v>10</v>
      </c>
      <c r="L316" s="44" t="str">
        <f>INDEX(Helper!$F:$F, MATCH(K316, Helper!$E:$E, 0))</f>
        <v>#F5943C</v>
      </c>
      <c r="M316" s="45" t="s">
        <v>1355</v>
      </c>
      <c r="N316" s="45" t="s">
        <v>614</v>
      </c>
      <c r="O316" s="75" t="s">
        <v>1538</v>
      </c>
      <c r="P316" s="74" t="s">
        <v>1578</v>
      </c>
    </row>
    <row r="317" spans="1:16" ht="81">
      <c r="A317" s="44">
        <v>314</v>
      </c>
      <c r="B317" s="44">
        <v>1</v>
      </c>
      <c r="C317" s="44">
        <v>2</v>
      </c>
      <c r="D317" s="45" t="str">
        <f>INDEX(Helper!$N$2:$N$4, MATCH(C317, Helper!$M$2:$M$4, 0))</f>
        <v>Intermediate</v>
      </c>
      <c r="E317" s="45" t="s">
        <v>121</v>
      </c>
      <c r="F317" s="45" t="s">
        <v>1252</v>
      </c>
      <c r="G317" s="5">
        <v>2</v>
      </c>
      <c r="H317" s="44">
        <v>3</v>
      </c>
      <c r="I317" s="44" t="str">
        <f>INDEX(Helper!$C:$C, MATCH(H317, Helper!$A:$A, 0))</f>
        <v>Half Step Down (D#G#C#F#A#D#)</v>
      </c>
      <c r="J317" s="44" t="s">
        <v>794</v>
      </c>
      <c r="K317" s="59" t="s">
        <v>10</v>
      </c>
      <c r="L317" s="44" t="str">
        <f>INDEX(Helper!$F:$F, MATCH(K317, Helper!$E:$E, 0))</f>
        <v>#F5943C</v>
      </c>
      <c r="M317" s="45" t="s">
        <v>1356</v>
      </c>
      <c r="N317" s="45" t="s">
        <v>614</v>
      </c>
      <c r="O317" s="84" t="s">
        <v>1539</v>
      </c>
      <c r="P317" s="74" t="s">
        <v>1579</v>
      </c>
    </row>
    <row r="318" spans="1:16" ht="81">
      <c r="A318" s="44">
        <v>315</v>
      </c>
      <c r="B318" s="44">
        <v>1</v>
      </c>
      <c r="C318" s="44">
        <v>2</v>
      </c>
      <c r="D318" s="45" t="str">
        <f>INDEX(Helper!$N$2:$N$4, MATCH(C318, Helper!$M$2:$M$4, 0))</f>
        <v>Intermediate</v>
      </c>
      <c r="E318" s="45" t="s">
        <v>210</v>
      </c>
      <c r="F318" s="45" t="s">
        <v>1205</v>
      </c>
      <c r="G318" s="5">
        <v>0</v>
      </c>
      <c r="H318" s="44">
        <v>1</v>
      </c>
      <c r="I318" s="44" t="str">
        <f>INDEX(Helper!$C:$C, MATCH(H318, Helper!$A:$A, 0))</f>
        <v>Standard (EADGBE)</v>
      </c>
      <c r="J318" s="44" t="s">
        <v>794</v>
      </c>
      <c r="K318" s="57" t="s">
        <v>21</v>
      </c>
      <c r="L318" s="44" t="str">
        <f>INDEX(Helper!$F:$F, MATCH(K318, Helper!$E:$E, 0))</f>
        <v>#45F0E2</v>
      </c>
      <c r="M318" s="45" t="s">
        <v>1357</v>
      </c>
      <c r="N318" s="45" t="s">
        <v>614</v>
      </c>
      <c r="O318" s="75" t="s">
        <v>1541</v>
      </c>
      <c r="P318" s="74" t="s">
        <v>1540</v>
      </c>
    </row>
    <row r="319" spans="1:16" ht="81">
      <c r="A319" s="44">
        <v>316</v>
      </c>
      <c r="B319" s="44">
        <v>1</v>
      </c>
      <c r="C319" s="44">
        <v>2</v>
      </c>
      <c r="D319" s="45" t="str">
        <f>INDEX(Helper!$N$2:$N$4, MATCH(C319, Helper!$M$2:$M$4, 0))</f>
        <v>Intermediate</v>
      </c>
      <c r="E319" s="45" t="s">
        <v>210</v>
      </c>
      <c r="F319" s="45" t="s">
        <v>1271</v>
      </c>
      <c r="G319" s="5">
        <v>2</v>
      </c>
      <c r="H319" s="44">
        <v>3</v>
      </c>
      <c r="I319" s="44" t="str">
        <f>INDEX(Helper!$C:$C, MATCH(H319, Helper!$A:$A, 0))</f>
        <v>Half Step Down (D#G#C#F#A#D#)</v>
      </c>
      <c r="J319" s="44" t="s">
        <v>63</v>
      </c>
      <c r="K319" s="57" t="s">
        <v>21</v>
      </c>
      <c r="L319" s="44" t="str">
        <f>INDEX(Helper!$F:$F, MATCH(K319, Helper!$E:$E, 0))</f>
        <v>#45F0E2</v>
      </c>
      <c r="M319" s="48" t="s">
        <v>1358</v>
      </c>
      <c r="N319" s="45" t="s">
        <v>614</v>
      </c>
      <c r="O319" s="84" t="s">
        <v>1543</v>
      </c>
      <c r="P319" s="74" t="s">
        <v>1542</v>
      </c>
    </row>
    <row r="320" spans="1:16" ht="81">
      <c r="A320" s="44">
        <v>317</v>
      </c>
      <c r="B320" s="44">
        <v>1</v>
      </c>
      <c r="C320" s="44">
        <v>2</v>
      </c>
      <c r="D320" s="45" t="str">
        <f>INDEX(Helper!$N$2:$N$4, MATCH(C320, Helper!$M$2:$M$4, 0))</f>
        <v>Intermediate</v>
      </c>
      <c r="E320" s="45" t="s">
        <v>127</v>
      </c>
      <c r="F320" s="45" t="s">
        <v>1206</v>
      </c>
      <c r="G320" s="5">
        <v>2</v>
      </c>
      <c r="H320" s="44">
        <v>1</v>
      </c>
      <c r="I320" s="44" t="str">
        <f>INDEX(Helper!$C:$C, MATCH(H320, Helper!$A:$A, 0))</f>
        <v>Standard (EADGBE)</v>
      </c>
      <c r="J320" s="44" t="s">
        <v>637</v>
      </c>
      <c r="K320" s="59" t="s">
        <v>10</v>
      </c>
      <c r="L320" s="44" t="str">
        <f>INDEX(Helper!$F:$F, MATCH(K320, Helper!$E:$E, 0))</f>
        <v>#F5943C</v>
      </c>
      <c r="M320" s="48" t="s">
        <v>1359</v>
      </c>
      <c r="N320" s="45" t="s">
        <v>614</v>
      </c>
      <c r="O320" s="75" t="s">
        <v>1545</v>
      </c>
      <c r="P320" s="74" t="s">
        <v>1544</v>
      </c>
    </row>
    <row r="321" spans="1:16" ht="81">
      <c r="A321" s="44">
        <v>318</v>
      </c>
      <c r="B321" s="44">
        <v>1</v>
      </c>
      <c r="C321" s="44">
        <v>1</v>
      </c>
      <c r="D321" s="45" t="str">
        <f>INDEX(Helper!$N$2:$N$4, MATCH(C321, Helper!$M$2:$M$4, 0))</f>
        <v>Beginner</v>
      </c>
      <c r="E321" s="45" t="s">
        <v>127</v>
      </c>
      <c r="F321" s="45" t="s">
        <v>1207</v>
      </c>
      <c r="G321" s="5">
        <v>0</v>
      </c>
      <c r="H321" s="44">
        <v>1</v>
      </c>
      <c r="I321" s="44" t="str">
        <f>INDEX(Helper!$C:$C, MATCH(H321, Helper!$A:$A, 0))</f>
        <v>Standard (EADGBE)</v>
      </c>
      <c r="J321" s="44" t="s">
        <v>619</v>
      </c>
      <c r="K321" s="59" t="s">
        <v>10</v>
      </c>
      <c r="L321" s="44" t="str">
        <f>INDEX(Helper!$F:$F, MATCH(K321, Helper!$E:$E, 0))</f>
        <v>#F5943C</v>
      </c>
      <c r="M321" s="45" t="s">
        <v>1360</v>
      </c>
      <c r="N321" s="45" t="s">
        <v>614</v>
      </c>
      <c r="O321" s="75" t="s">
        <v>1547</v>
      </c>
      <c r="P321" s="74" t="s">
        <v>1546</v>
      </c>
    </row>
    <row r="322" spans="1:16" ht="175.5">
      <c r="A322" s="44">
        <v>319</v>
      </c>
      <c r="B322" s="44">
        <v>1</v>
      </c>
      <c r="C322" s="44">
        <v>2</v>
      </c>
      <c r="D322" s="45" t="str">
        <f>INDEX(Helper!$N$2:$N$4, MATCH(C322, Helper!$M$2:$M$4, 0))</f>
        <v>Intermediate</v>
      </c>
      <c r="E322" s="45" t="s">
        <v>1254</v>
      </c>
      <c r="F322" s="45" t="s">
        <v>1255</v>
      </c>
      <c r="G322" s="5">
        <v>2</v>
      </c>
      <c r="H322" s="44">
        <v>1</v>
      </c>
      <c r="I322" s="44" t="str">
        <f>INDEX(Helper!$C:$C, MATCH(H322, Helper!$A:$A, 0))</f>
        <v>Standard (EADGBE)</v>
      </c>
      <c r="J322" s="44" t="s">
        <v>393</v>
      </c>
      <c r="K322" s="60" t="s">
        <v>1253</v>
      </c>
      <c r="L322" s="44" t="str">
        <f>INDEX(Helper!$F:$F, MATCH(K322, Helper!$E:$E, 0))</f>
        <v>#B3F141</v>
      </c>
      <c r="M322" s="45" t="s">
        <v>1361</v>
      </c>
      <c r="N322" s="45" t="s">
        <v>614</v>
      </c>
      <c r="O322" s="75" t="s">
        <v>1549</v>
      </c>
      <c r="P322" s="74" t="s">
        <v>1548</v>
      </c>
    </row>
    <row r="323" spans="1:16" ht="81">
      <c r="A323" s="44">
        <v>320</v>
      </c>
      <c r="B323" s="44">
        <v>1</v>
      </c>
      <c r="C323" s="44">
        <v>2</v>
      </c>
      <c r="D323" s="45" t="str">
        <f>INDEX(Helper!$N$2:$N$4, MATCH(C323, Helper!$M$2:$M$4, 0))</f>
        <v>Intermediate</v>
      </c>
      <c r="E323" s="45" t="s">
        <v>224</v>
      </c>
      <c r="F323" s="45" t="s">
        <v>1256</v>
      </c>
      <c r="G323" s="5">
        <v>2</v>
      </c>
      <c r="H323" s="44">
        <v>1</v>
      </c>
      <c r="I323" s="44" t="str">
        <f>INDEX(Helper!$C:$C, MATCH(H323, Helper!$A:$A, 0))</f>
        <v>Standard (EADGBE)</v>
      </c>
      <c r="J323" s="44" t="s">
        <v>1267</v>
      </c>
      <c r="K323" s="61" t="s">
        <v>11</v>
      </c>
      <c r="L323" s="44" t="str">
        <f>INDEX(Helper!$F:$F, MATCH(K323, Helper!$E:$E, 0))</f>
        <v>#E8AD1D</v>
      </c>
      <c r="M323" s="45" t="s">
        <v>1362</v>
      </c>
      <c r="N323" s="45" t="s">
        <v>614</v>
      </c>
      <c r="O323" s="75" t="s">
        <v>1551</v>
      </c>
      <c r="P323" s="74" t="s">
        <v>1550</v>
      </c>
    </row>
    <row r="324" spans="1:16" ht="409.5">
      <c r="A324" s="44">
        <v>321</v>
      </c>
      <c r="B324" s="44">
        <v>1</v>
      </c>
      <c r="C324" s="44">
        <v>2</v>
      </c>
      <c r="D324" s="45" t="str">
        <f>INDEX(Helper!$N$2:$N$4, MATCH(C324, Helper!$M$2:$M$4, 0))</f>
        <v>Intermediate</v>
      </c>
      <c r="E324" s="45" t="s">
        <v>1258</v>
      </c>
      <c r="F324" s="45" t="s">
        <v>1259</v>
      </c>
      <c r="G324" s="5">
        <v>0</v>
      </c>
      <c r="H324" s="44">
        <v>1</v>
      </c>
      <c r="I324" s="44" t="str">
        <f>INDEX(Helper!$C:$C, MATCH(H324, Helper!$A:$A, 0))</f>
        <v>Standard (EADGBE)</v>
      </c>
      <c r="J324" s="44" t="s">
        <v>626</v>
      </c>
      <c r="K324" s="65" t="s">
        <v>13</v>
      </c>
      <c r="L324" s="44" t="str">
        <f>INDEX(Helper!$F:$F, MATCH(K324, Helper!$E:$E, 0))</f>
        <v>#FF4F53</v>
      </c>
      <c r="M324" s="45" t="s">
        <v>1363</v>
      </c>
      <c r="N324" s="45" t="s">
        <v>614</v>
      </c>
      <c r="O324" s="84" t="s">
        <v>1553</v>
      </c>
      <c r="P324" s="74" t="s">
        <v>1552</v>
      </c>
    </row>
    <row r="325" spans="1:16" ht="148.5">
      <c r="A325" s="44">
        <v>322</v>
      </c>
      <c r="B325" s="44">
        <v>1</v>
      </c>
      <c r="C325" s="44">
        <v>1</v>
      </c>
      <c r="D325" s="45" t="str">
        <f>INDEX(Helper!$N$2:$N$4, MATCH(C325, Helper!$M$2:$M$4, 0))</f>
        <v>Beginner</v>
      </c>
      <c r="E325" s="45" t="s">
        <v>1261</v>
      </c>
      <c r="F325" s="45" t="s">
        <v>1260</v>
      </c>
      <c r="G325" s="5">
        <v>2</v>
      </c>
      <c r="H325" s="44">
        <v>1</v>
      </c>
      <c r="I325" s="44" t="str">
        <f>INDEX(Helper!$C:$C, MATCH(H325, Helper!$A:$A, 0))</f>
        <v>Standard (EADGBE)</v>
      </c>
      <c r="J325" s="44" t="s">
        <v>393</v>
      </c>
      <c r="K325" s="65" t="s">
        <v>13</v>
      </c>
      <c r="L325" s="44" t="str">
        <f>INDEX(Helper!$F:$F, MATCH(K325, Helper!$E:$E, 0))</f>
        <v>#FF4F53</v>
      </c>
      <c r="M325" s="45" t="s">
        <v>1364</v>
      </c>
      <c r="N325" s="45" t="s">
        <v>614</v>
      </c>
      <c r="O325" s="75" t="s">
        <v>1555</v>
      </c>
      <c r="P325" s="74" t="s">
        <v>1554</v>
      </c>
    </row>
    <row r="326" spans="1:16" ht="175.5">
      <c r="A326" s="44">
        <v>323</v>
      </c>
      <c r="B326" s="44">
        <v>1</v>
      </c>
      <c r="C326" s="44">
        <v>2</v>
      </c>
      <c r="D326" s="45" t="str">
        <f>INDEX(Helper!$N$2:$N$4, MATCH(C326, Helper!$M$2:$M$4, 0))</f>
        <v>Intermediate</v>
      </c>
      <c r="E326" s="45" t="s">
        <v>1262</v>
      </c>
      <c r="F326" s="45" t="s">
        <v>1263</v>
      </c>
      <c r="G326" s="5">
        <v>2</v>
      </c>
      <c r="H326" s="44">
        <v>1</v>
      </c>
      <c r="I326" s="44" t="str">
        <f>INDEX(Helper!$C:$C, MATCH(H326, Helper!$A:$A, 0))</f>
        <v>Standard (EADGBE)</v>
      </c>
      <c r="J326" s="44" t="s">
        <v>393</v>
      </c>
      <c r="K326" s="65" t="s">
        <v>13</v>
      </c>
      <c r="L326" s="44" t="str">
        <f>INDEX(Helper!$F:$F, MATCH(K326, Helper!$E:$E, 0))</f>
        <v>#FF4F53</v>
      </c>
      <c r="M326" s="45" t="s">
        <v>1365</v>
      </c>
      <c r="N326" s="45" t="s">
        <v>614</v>
      </c>
      <c r="O326" s="84" t="s">
        <v>1557</v>
      </c>
      <c r="P326" s="74" t="s">
        <v>1556</v>
      </c>
    </row>
    <row r="327" spans="1:16" ht="81">
      <c r="A327" s="44">
        <v>324</v>
      </c>
      <c r="B327" s="44">
        <v>1</v>
      </c>
      <c r="C327" s="44">
        <v>1</v>
      </c>
      <c r="D327" s="45" t="str">
        <f>INDEX(Helper!$N$2:$N$4, MATCH(C327, Helper!$M$2:$M$4, 0))</f>
        <v>Beginner</v>
      </c>
      <c r="E327" s="45" t="s">
        <v>88</v>
      </c>
      <c r="F327" s="45" t="s">
        <v>1494</v>
      </c>
      <c r="G327" s="5">
        <v>2</v>
      </c>
      <c r="H327" s="44">
        <v>1</v>
      </c>
      <c r="I327" s="44" t="str">
        <f>INDEX(Helper!$C:$C, MATCH(H327, Helper!$A:$A, 0))</f>
        <v>Standard (EADGBE)</v>
      </c>
      <c r="J327" s="44" t="s">
        <v>61</v>
      </c>
      <c r="K327" s="65" t="s">
        <v>13</v>
      </c>
      <c r="L327" s="44" t="str">
        <f>INDEX(Helper!$F:$F, MATCH(K327, Helper!$E:$E, 0))</f>
        <v>#FF4F53</v>
      </c>
      <c r="M327" s="45" t="s">
        <v>1503</v>
      </c>
      <c r="N327" s="45" t="s">
        <v>614</v>
      </c>
      <c r="O327" s="75" t="s">
        <v>1560</v>
      </c>
      <c r="P327" s="74" t="s">
        <v>1558</v>
      </c>
    </row>
    <row r="328" spans="1:16" ht="175.5">
      <c r="A328" s="44">
        <v>325</v>
      </c>
      <c r="B328" s="44">
        <v>1</v>
      </c>
      <c r="C328" s="44">
        <v>1</v>
      </c>
      <c r="D328" s="45" t="str">
        <f>INDEX(Helper!$N$2:$N$4, MATCH(C328, Helper!$M$2:$M$4, 0))</f>
        <v>Beginner</v>
      </c>
      <c r="E328" s="45" t="s">
        <v>146</v>
      </c>
      <c r="F328" s="45" t="s">
        <v>1495</v>
      </c>
      <c r="G328" s="5">
        <v>0</v>
      </c>
      <c r="H328" s="44">
        <v>1</v>
      </c>
      <c r="I328" s="44" t="str">
        <f>INDEX(Helper!$C:$C, MATCH(H328, Helper!$A:$A, 0))</f>
        <v>Standard (EADGBE)</v>
      </c>
      <c r="J328" s="44" t="s">
        <v>63</v>
      </c>
      <c r="K328" s="65" t="s">
        <v>13</v>
      </c>
      <c r="L328" s="44" t="str">
        <f>INDEX(Helper!$F:$F, MATCH(K328, Helper!$E:$E, 0))</f>
        <v>#FF4F53</v>
      </c>
      <c r="M328" s="45" t="s">
        <v>1501</v>
      </c>
      <c r="N328" s="45" t="s">
        <v>614</v>
      </c>
      <c r="O328" s="75" t="s">
        <v>1559</v>
      </c>
      <c r="P328" s="74" t="s">
        <v>1580</v>
      </c>
    </row>
    <row r="329" spans="1:16" ht="175.5">
      <c r="A329" s="44">
        <v>326</v>
      </c>
      <c r="B329" s="44">
        <v>1</v>
      </c>
      <c r="C329" s="44">
        <v>2</v>
      </c>
      <c r="D329" s="45" t="str">
        <f>INDEX(Helper!$N$2:$N$4, MATCH(C329, Helper!$M$2:$M$4, 0))</f>
        <v>Intermediate</v>
      </c>
      <c r="E329" s="45" t="s">
        <v>146</v>
      </c>
      <c r="F329" s="45" t="s">
        <v>1496</v>
      </c>
      <c r="G329" s="5">
        <v>2</v>
      </c>
      <c r="H329" s="44">
        <v>1</v>
      </c>
      <c r="I329" s="44" t="str">
        <f>INDEX(Helper!$C:$C, MATCH(H329, Helper!$A:$A, 0))</f>
        <v>Standard (EADGBE)</v>
      </c>
      <c r="J329" s="44" t="s">
        <v>637</v>
      </c>
      <c r="K329" s="65" t="s">
        <v>13</v>
      </c>
      <c r="L329" s="44" t="str">
        <f>INDEX(Helper!$F:$F, MATCH(K329, Helper!$E:$E, 0))</f>
        <v>#FF4F53</v>
      </c>
      <c r="M329" s="45" t="s">
        <v>1502</v>
      </c>
      <c r="N329" s="45" t="s">
        <v>614</v>
      </c>
      <c r="O329" s="75" t="s">
        <v>1562</v>
      </c>
      <c r="P329" s="74" t="s">
        <v>1561</v>
      </c>
    </row>
    <row r="330" spans="1:16" ht="175.5">
      <c r="A330" s="44">
        <v>327</v>
      </c>
      <c r="B330" s="44">
        <v>1</v>
      </c>
      <c r="C330" s="44">
        <v>2</v>
      </c>
      <c r="D330" s="45" t="str">
        <f>INDEX(Helper!$N$2:$N$4, MATCH(C330, Helper!$M$2:$M$4, 0))</f>
        <v>Intermediate</v>
      </c>
      <c r="E330" s="45" t="s">
        <v>146</v>
      </c>
      <c r="F330" s="45" t="s">
        <v>147</v>
      </c>
      <c r="G330" s="5">
        <v>2</v>
      </c>
      <c r="H330" s="44">
        <v>1</v>
      </c>
      <c r="I330" s="44" t="str">
        <f>INDEX(Helper!$C:$C, MATCH(H330, Helper!$A:$A, 0))</f>
        <v>Standard (EADGBE)</v>
      </c>
      <c r="J330" s="44" t="s">
        <v>61</v>
      </c>
      <c r="K330" s="65" t="s">
        <v>13</v>
      </c>
      <c r="L330" s="44" t="str">
        <f>INDEX(Helper!$F:$F, MATCH(K330, Helper!$E:$E, 0))</f>
        <v>#FF4F53</v>
      </c>
      <c r="M330" s="45" t="s">
        <v>550</v>
      </c>
      <c r="N330" s="45" t="s">
        <v>614</v>
      </c>
      <c r="O330" s="75" t="s">
        <v>824</v>
      </c>
      <c r="P330" s="74" t="s">
        <v>1099</v>
      </c>
    </row>
    <row r="331" spans="1:16" ht="270">
      <c r="A331" s="44">
        <v>328</v>
      </c>
      <c r="B331" s="44">
        <v>1</v>
      </c>
      <c r="C331" s="44">
        <v>2</v>
      </c>
      <c r="D331" s="45" t="str">
        <f>INDEX(Helper!$N$2:$N$4, MATCH(C331, Helper!$M$2:$M$4, 0))</f>
        <v>Intermediate</v>
      </c>
      <c r="E331" s="45" t="s">
        <v>307</v>
      </c>
      <c r="F331" s="45" t="s">
        <v>1498</v>
      </c>
      <c r="G331" s="5">
        <v>0</v>
      </c>
      <c r="H331" s="44">
        <v>1</v>
      </c>
      <c r="I331" s="44" t="str">
        <f>INDEX(Helper!$C:$C, MATCH(H331, Helper!$A:$A, 0))</f>
        <v>Standard (EADGBE)</v>
      </c>
      <c r="J331" s="44" t="s">
        <v>65</v>
      </c>
      <c r="K331" s="71" t="s">
        <v>27</v>
      </c>
      <c r="L331" s="44" t="str">
        <f>INDEX(Helper!$F:$F, MATCH(K331, Helper!$E:$E, 0))</f>
        <v>#B2DB4B</v>
      </c>
      <c r="M331" s="45" t="s">
        <v>1500</v>
      </c>
      <c r="N331" s="45" t="s">
        <v>614</v>
      </c>
      <c r="O331" s="84" t="s">
        <v>1564</v>
      </c>
      <c r="P331" s="74" t="s">
        <v>1563</v>
      </c>
    </row>
    <row r="332" spans="1:16" ht="297">
      <c r="A332" s="44">
        <v>329</v>
      </c>
      <c r="B332" s="44">
        <v>1</v>
      </c>
      <c r="C332" s="44">
        <v>2</v>
      </c>
      <c r="D332" s="45" t="str">
        <f>INDEX(Helper!$N$2:$N$4, MATCH(C332, Helper!$M$2:$M$4, 0))</f>
        <v>Intermediate</v>
      </c>
      <c r="E332" s="45" t="s">
        <v>307</v>
      </c>
      <c r="F332" s="45" t="s">
        <v>1497</v>
      </c>
      <c r="G332" s="5">
        <v>2</v>
      </c>
      <c r="H332" s="44">
        <v>1</v>
      </c>
      <c r="I332" s="44" t="str">
        <f>INDEX(Helper!$C:$C, MATCH(H332, Helper!$A:$A, 0))</f>
        <v>Standard (EADGBE)</v>
      </c>
      <c r="J332" s="44" t="s">
        <v>794</v>
      </c>
      <c r="K332" s="71" t="s">
        <v>27</v>
      </c>
      <c r="L332" s="44" t="str">
        <f>INDEX(Helper!$F:$F, MATCH(K332, Helper!$E:$E, 0))</f>
        <v>#B2DB4B</v>
      </c>
      <c r="M332" s="45" t="s">
        <v>1499</v>
      </c>
      <c r="N332" s="45" t="s">
        <v>614</v>
      </c>
      <c r="O332" s="75" t="s">
        <v>1566</v>
      </c>
      <c r="P332" s="74" t="s">
        <v>1565</v>
      </c>
    </row>
    <row r="333" spans="1:16" ht="81">
      <c r="A333" s="44">
        <v>330</v>
      </c>
      <c r="B333" s="44">
        <v>1</v>
      </c>
      <c r="C333" s="44">
        <v>1</v>
      </c>
      <c r="D333" s="45" t="str">
        <f>INDEX(Helper!$N$2:$N$4, MATCH(C333, Helper!$M$2:$M$4, 0))</f>
        <v>Beginner</v>
      </c>
      <c r="E333" s="45" t="s">
        <v>78</v>
      </c>
      <c r="F333" s="45" t="s">
        <v>1505</v>
      </c>
      <c r="G333" s="5">
        <v>0</v>
      </c>
      <c r="H333" s="44">
        <v>1</v>
      </c>
      <c r="I333" s="44" t="str">
        <f>INDEX(Helper!$C:$C, MATCH(H333, Helper!$A:$A, 0))</f>
        <v>Standard (EADGBE)</v>
      </c>
      <c r="J333" s="44" t="s">
        <v>66</v>
      </c>
      <c r="K333" s="65" t="s">
        <v>13</v>
      </c>
      <c r="L333" s="44" t="str">
        <f>INDEX(Helper!$F:$F, MATCH(K333, Helper!$E:$E, 0))</f>
        <v>#FF4F53</v>
      </c>
      <c r="M333" s="45" t="s">
        <v>1504</v>
      </c>
      <c r="N333" s="45" t="s">
        <v>614</v>
      </c>
      <c r="O333" s="75" t="s">
        <v>1567</v>
      </c>
      <c r="P333" s="74" t="s">
        <v>1581</v>
      </c>
    </row>
    <row r="334" spans="1:16" ht="229.5">
      <c r="A334" s="44">
        <v>331</v>
      </c>
      <c r="B334" s="44">
        <v>2</v>
      </c>
      <c r="C334" s="44">
        <v>1</v>
      </c>
      <c r="D334" s="45" t="str">
        <f>INDEX(Helper!$N$2:$N$4, MATCH(C334, Helper!$M$2:$M$4, 0))</f>
        <v>Beginner</v>
      </c>
      <c r="E334" s="55" t="s">
        <v>242</v>
      </c>
      <c r="F334" s="56" t="s">
        <v>243</v>
      </c>
      <c r="G334" s="5">
        <v>0</v>
      </c>
      <c r="H334" s="44">
        <v>1</v>
      </c>
      <c r="I334" s="44" t="str">
        <f>INDEX(Helper!$U:$U, MATCH(H334, Helper!$S:$S, 0))</f>
        <v>Standard (EADG)</v>
      </c>
      <c r="J334" s="44" t="s">
        <v>61</v>
      </c>
      <c r="K334" s="65" t="s">
        <v>13</v>
      </c>
      <c r="L334" s="44" t="str">
        <f>INDEX(Helper!$F:$F, MATCH(K334, Helper!$E:$E, 0))</f>
        <v>#FF4F53</v>
      </c>
      <c r="M334" s="45" t="s">
        <v>413</v>
      </c>
      <c r="N334" s="50" t="s">
        <v>1584</v>
      </c>
      <c r="O334" s="46" t="s">
        <v>1585</v>
      </c>
      <c r="P334" s="76" t="s">
        <v>1586</v>
      </c>
    </row>
    <row r="335" spans="1:16" ht="148.5">
      <c r="A335" s="44">
        <v>332</v>
      </c>
      <c r="B335" s="44">
        <v>2</v>
      </c>
      <c r="C335" s="44">
        <v>1</v>
      </c>
      <c r="D335" s="45" t="str">
        <f>INDEX(Helper!$N$2:$N$4, MATCH(C335, Helper!$M$2:$M$4, 0))</f>
        <v>Beginner</v>
      </c>
      <c r="E335" s="58" t="s">
        <v>226</v>
      </c>
      <c r="F335" s="56" t="s">
        <v>240</v>
      </c>
      <c r="G335" s="5">
        <v>0</v>
      </c>
      <c r="H335" s="44">
        <v>1</v>
      </c>
      <c r="I335" s="44" t="str">
        <f>INDEX(Helper!$U:$U, MATCH(H335, Helper!$S:$S, 0))</f>
        <v>Standard (EADG)</v>
      </c>
      <c r="J335" s="44" t="s">
        <v>66</v>
      </c>
      <c r="K335" s="88" t="s">
        <v>1587</v>
      </c>
      <c r="L335" s="44" t="str">
        <f>INDEX(Helper!$F:$F, MATCH(K335, Helper!$E:$E, 0))</f>
        <v>#B3F141</v>
      </c>
      <c r="M335" s="45" t="s">
        <v>410</v>
      </c>
      <c r="N335" s="50" t="s">
        <v>1584</v>
      </c>
      <c r="O335" s="46" t="s">
        <v>1588</v>
      </c>
      <c r="P335" s="76" t="s">
        <v>1589</v>
      </c>
    </row>
    <row r="336" spans="1:16" ht="54">
      <c r="A336" s="44">
        <v>333</v>
      </c>
      <c r="B336" s="44">
        <v>2</v>
      </c>
      <c r="C336" s="44">
        <v>1</v>
      </c>
      <c r="D336" s="45" t="str">
        <f>INDEX(Helper!$N$2:$N$4, MATCH(C336, Helper!$M$2:$M$4, 0))</f>
        <v>Beginner</v>
      </c>
      <c r="E336" s="58" t="s">
        <v>1590</v>
      </c>
      <c r="F336" s="56" t="s">
        <v>1591</v>
      </c>
      <c r="G336" s="5">
        <v>3</v>
      </c>
      <c r="H336" s="44">
        <v>1</v>
      </c>
      <c r="I336" s="44" t="str">
        <f>INDEX(Helper!$U:$U, MATCH(H336, Helper!$S:$S, 0))</f>
        <v>Standard (EADG)</v>
      </c>
      <c r="J336" s="44" t="s">
        <v>626</v>
      </c>
      <c r="K336" s="60" t="s">
        <v>371</v>
      </c>
      <c r="L336" s="44" t="str">
        <f>INDEX(Helper!$F:$F, MATCH(K336, Helper!$E:$E, 0))</f>
        <v>#B3F141</v>
      </c>
      <c r="M336" s="45" t="s">
        <v>1592</v>
      </c>
      <c r="N336" s="50" t="s">
        <v>1584</v>
      </c>
      <c r="O336" s="46" t="s">
        <v>1593</v>
      </c>
      <c r="P336" s="76" t="s">
        <v>1594</v>
      </c>
    </row>
    <row r="337" spans="1:16" ht="378">
      <c r="A337" s="44">
        <v>334</v>
      </c>
      <c r="B337" s="44">
        <v>2</v>
      </c>
      <c r="C337" s="44">
        <v>1</v>
      </c>
      <c r="D337" s="45" t="str">
        <f>INDEX(Helper!$N$2:$N$4, MATCH(C337, Helper!$M$2:$M$4, 0))</f>
        <v>Beginner</v>
      </c>
      <c r="E337" s="58" t="s">
        <v>261</v>
      </c>
      <c r="F337" s="56" t="s">
        <v>262</v>
      </c>
      <c r="G337" s="5">
        <v>0</v>
      </c>
      <c r="H337" s="44">
        <v>1</v>
      </c>
      <c r="I337" s="44" t="str">
        <f>INDEX(Helper!$U:$U, MATCH(H337, Helper!$S:$S, 0))</f>
        <v>Standard (EADG)</v>
      </c>
      <c r="J337" s="44" t="s">
        <v>623</v>
      </c>
      <c r="K337" s="61" t="s">
        <v>11</v>
      </c>
      <c r="L337" s="44" t="str">
        <f>INDEX(Helper!$F:$F, MATCH(K337, Helper!$E:$E, 0))</f>
        <v>#E8AD1D</v>
      </c>
      <c r="M337" s="45" t="s">
        <v>422</v>
      </c>
      <c r="N337" s="50" t="s">
        <v>1584</v>
      </c>
      <c r="O337" s="46" t="s">
        <v>1595</v>
      </c>
      <c r="P337" s="76" t="s">
        <v>1596</v>
      </c>
    </row>
    <row r="338" spans="1:16" ht="121.5">
      <c r="A338" s="44">
        <v>335</v>
      </c>
      <c r="B338" s="44">
        <v>2</v>
      </c>
      <c r="C338" s="44">
        <v>3</v>
      </c>
      <c r="D338" s="45" t="str">
        <f>INDEX(Helper!$N$2:$N$4, MATCH(C338, Helper!$M$2:$M$4, 0))</f>
        <v>Advanced</v>
      </c>
      <c r="E338" s="58" t="s">
        <v>90</v>
      </c>
      <c r="F338" s="56" t="s">
        <v>170</v>
      </c>
      <c r="G338" s="5">
        <v>3</v>
      </c>
      <c r="H338" s="44">
        <v>1</v>
      </c>
      <c r="I338" s="44" t="str">
        <f>INDEX(Helper!$U:$U, MATCH(H338, Helper!$S:$S, 0))</f>
        <v>Standard (EADG)</v>
      </c>
      <c r="J338" s="44" t="s">
        <v>393</v>
      </c>
      <c r="K338" s="65" t="s">
        <v>13</v>
      </c>
      <c r="L338" s="44" t="str">
        <f>INDEX(Helper!$F:$F, MATCH(K338, Helper!$E:$E, 0))</f>
        <v>#FF4F53</v>
      </c>
      <c r="M338" s="45" t="s">
        <v>569</v>
      </c>
      <c r="N338" s="50" t="s">
        <v>1584</v>
      </c>
      <c r="O338" s="75" t="s">
        <v>1597</v>
      </c>
      <c r="P338" s="76" t="s">
        <v>1598</v>
      </c>
    </row>
    <row r="339" spans="1:16" ht="135">
      <c r="A339" s="44">
        <v>336</v>
      </c>
      <c r="B339" s="44">
        <v>2</v>
      </c>
      <c r="C339" s="44">
        <v>1</v>
      </c>
      <c r="D339" s="45" t="str">
        <f>INDEX(Helper!$N$2:$N$4, MATCH(C339, Helper!$M$2:$M$4, 0))</f>
        <v>Beginner</v>
      </c>
      <c r="E339" s="58" t="s">
        <v>90</v>
      </c>
      <c r="F339" s="56" t="s">
        <v>1599</v>
      </c>
      <c r="G339" s="5">
        <v>3</v>
      </c>
      <c r="H339" s="44">
        <v>1</v>
      </c>
      <c r="I339" s="44" t="str">
        <f>INDEX(Helper!$U:$U, MATCH(H339, Helper!$S:$S, 0))</f>
        <v>Standard (EADG)</v>
      </c>
      <c r="J339" s="44" t="s">
        <v>618</v>
      </c>
      <c r="K339" s="65" t="s">
        <v>13</v>
      </c>
      <c r="L339" s="44" t="str">
        <f>INDEX(Helper!$F:$F, MATCH(K339, Helper!$E:$E, 0))</f>
        <v>#FF4F53</v>
      </c>
      <c r="M339" s="45" t="s">
        <v>1600</v>
      </c>
      <c r="N339" s="50" t="s">
        <v>1584</v>
      </c>
      <c r="O339" s="46" t="s">
        <v>1601</v>
      </c>
      <c r="P339" s="76" t="s">
        <v>1602</v>
      </c>
    </row>
    <row r="340" spans="1:16" ht="121.5">
      <c r="A340" s="44">
        <v>337</v>
      </c>
      <c r="B340" s="44">
        <v>2</v>
      </c>
      <c r="C340" s="44">
        <v>2</v>
      </c>
      <c r="D340" s="45" t="str">
        <f>INDEX(Helper!$N$2:$N$4, MATCH(C340, Helper!$M$2:$M$4, 0))</f>
        <v>Intermediate</v>
      </c>
      <c r="E340" s="58" t="s">
        <v>1603</v>
      </c>
      <c r="F340" s="50" t="s">
        <v>1604</v>
      </c>
      <c r="G340" s="5">
        <v>3</v>
      </c>
      <c r="H340" s="44">
        <v>1</v>
      </c>
      <c r="I340" s="44" t="str">
        <f>INDEX(Helper!$U:$U, MATCH(H340, Helper!$S:$S, 0))</f>
        <v>Standard (EADG)</v>
      </c>
      <c r="J340" s="44" t="s">
        <v>65</v>
      </c>
      <c r="K340" s="66" t="s">
        <v>370</v>
      </c>
      <c r="L340" s="44" t="str">
        <f>INDEX(Helper!$F:$F, MATCH(K340, Helper!$E:$E, 0))</f>
        <v>#B3F141</v>
      </c>
      <c r="M340" s="45" t="s">
        <v>1605</v>
      </c>
      <c r="N340" s="50" t="s">
        <v>1584</v>
      </c>
      <c r="O340" s="46" t="s">
        <v>1606</v>
      </c>
      <c r="P340" s="76" t="s">
        <v>1607</v>
      </c>
    </row>
    <row r="341" spans="1:16" ht="54">
      <c r="A341" s="44">
        <v>338</v>
      </c>
      <c r="B341" s="44">
        <v>2</v>
      </c>
      <c r="C341" s="44">
        <v>2</v>
      </c>
      <c r="D341" s="45" t="str">
        <f>INDEX(Helper!$N$2:$N$4, MATCH(C341, Helper!$M$2:$M$4, 0))</f>
        <v>Intermediate</v>
      </c>
      <c r="E341" s="58" t="s">
        <v>1590</v>
      </c>
      <c r="F341" s="50" t="s">
        <v>1608</v>
      </c>
      <c r="G341" s="5">
        <v>0</v>
      </c>
      <c r="H341" s="44">
        <v>1</v>
      </c>
      <c r="I341" s="44" t="str">
        <f>INDEX(Helper!$U:$U, MATCH(H341, Helper!$S:$S, 0))</f>
        <v>Standard (EADG)</v>
      </c>
      <c r="J341" s="44" t="s">
        <v>65</v>
      </c>
      <c r="K341" s="60" t="s">
        <v>371</v>
      </c>
      <c r="L341" s="44" t="str">
        <f>INDEX(Helper!$F:$F, MATCH(K341, Helper!$E:$E, 0))</f>
        <v>#B3F141</v>
      </c>
      <c r="M341" s="45" t="s">
        <v>1609</v>
      </c>
      <c r="N341" s="50" t="s">
        <v>1584</v>
      </c>
      <c r="O341" s="46" t="s">
        <v>1610</v>
      </c>
      <c r="P341" s="76" t="s">
        <v>1611</v>
      </c>
    </row>
    <row r="342" spans="1:16" ht="121.5">
      <c r="A342" s="44">
        <v>339</v>
      </c>
      <c r="B342" s="44">
        <v>2</v>
      </c>
      <c r="C342" s="44">
        <v>2</v>
      </c>
      <c r="D342" s="45" t="str">
        <f>INDEX(Helper!$N$2:$N$4, MATCH(C342, Helper!$M$2:$M$4, 0))</f>
        <v>Intermediate</v>
      </c>
      <c r="E342" s="58" t="s">
        <v>1258</v>
      </c>
      <c r="F342" s="50" t="s">
        <v>1259</v>
      </c>
      <c r="G342" s="5">
        <v>0</v>
      </c>
      <c r="H342" s="44">
        <v>1</v>
      </c>
      <c r="I342" s="44" t="str">
        <f>INDEX(Helper!$U:$U, MATCH(H342, Helper!$S:$S, 0))</f>
        <v>Standard (EADG)</v>
      </c>
      <c r="J342" s="44" t="s">
        <v>626</v>
      </c>
      <c r="K342" s="61" t="s">
        <v>11</v>
      </c>
      <c r="L342" s="44" t="str">
        <f>INDEX(Helper!$F:$F, MATCH(K342, Helper!$E:$E, 0))</f>
        <v>#E8AD1D</v>
      </c>
      <c r="M342" s="45" t="s">
        <v>1612</v>
      </c>
      <c r="N342" s="50" t="s">
        <v>1584</v>
      </c>
      <c r="O342" s="46" t="s">
        <v>1613</v>
      </c>
      <c r="P342" s="76" t="s">
        <v>1614</v>
      </c>
    </row>
    <row r="343" spans="1:16" ht="121.5">
      <c r="A343" s="44">
        <v>340</v>
      </c>
      <c r="B343" s="44">
        <v>2</v>
      </c>
      <c r="C343" s="44">
        <v>2</v>
      </c>
      <c r="D343" s="45" t="str">
        <f>INDEX(Helper!$N$2:$N$4, MATCH(C343, Helper!$M$2:$M$4, 0))</f>
        <v>Intermediate</v>
      </c>
      <c r="E343" s="58" t="s">
        <v>1615</v>
      </c>
      <c r="F343" s="50" t="s">
        <v>1616</v>
      </c>
      <c r="G343" s="5">
        <v>0</v>
      </c>
      <c r="H343" s="44">
        <v>1</v>
      </c>
      <c r="I343" s="44" t="str">
        <f>INDEX(Helper!$U:$U, MATCH(H343, Helper!$S:$S, 0))</f>
        <v>Standard (EADG)</v>
      </c>
      <c r="J343" s="44" t="s">
        <v>66</v>
      </c>
      <c r="K343" s="91" t="s">
        <v>1617</v>
      </c>
      <c r="L343" s="44" t="str">
        <f>INDEX(Helper!$F:$F, MATCH(K343, Helper!$E:$E, 0))</f>
        <v>#FFE129</v>
      </c>
      <c r="M343" s="45" t="s">
        <v>1618</v>
      </c>
      <c r="N343" s="50" t="s">
        <v>1584</v>
      </c>
      <c r="O343" s="46" t="s">
        <v>1619</v>
      </c>
      <c r="P343" s="76" t="s">
        <v>1620</v>
      </c>
    </row>
    <row r="344" spans="1:16" ht="54">
      <c r="A344" s="44">
        <v>341</v>
      </c>
      <c r="B344" s="44">
        <v>2</v>
      </c>
      <c r="C344" s="44">
        <v>2</v>
      </c>
      <c r="D344" s="45" t="str">
        <f>INDEX(Helper!$N$2:$N$4, MATCH(C344, Helper!$M$2:$M$4, 0))</f>
        <v>Intermediate</v>
      </c>
      <c r="E344" s="62" t="s">
        <v>1590</v>
      </c>
      <c r="F344" s="50" t="s">
        <v>1621</v>
      </c>
      <c r="G344" s="5">
        <v>3</v>
      </c>
      <c r="H344" s="44">
        <v>1</v>
      </c>
      <c r="I344" s="44" t="str">
        <f>INDEX(Helper!$U:$U, MATCH(H344, Helper!$S:$S, 0))</f>
        <v>Standard (EADG)</v>
      </c>
      <c r="J344" s="44" t="s">
        <v>59</v>
      </c>
      <c r="K344" s="60" t="s">
        <v>371</v>
      </c>
      <c r="L344" s="44" t="str">
        <f>INDEX(Helper!$F:$F, MATCH(K344, Helper!$E:$E, 0))</f>
        <v>#B3F141</v>
      </c>
      <c r="M344" s="45" t="s">
        <v>1622</v>
      </c>
      <c r="N344" s="50" t="s">
        <v>1584</v>
      </c>
      <c r="O344" s="46" t="s">
        <v>1623</v>
      </c>
      <c r="P344" s="76" t="s">
        <v>1624</v>
      </c>
    </row>
    <row r="345" spans="1:16" ht="54">
      <c r="A345" s="44">
        <v>342</v>
      </c>
      <c r="B345" s="44">
        <v>2</v>
      </c>
      <c r="C345" s="44">
        <v>3</v>
      </c>
      <c r="D345" s="45" t="str">
        <f>INDEX(Helper!$N$2:$N$4, MATCH(C345, Helper!$M$2:$M$4, 0))</f>
        <v>Advanced</v>
      </c>
      <c r="E345" s="50" t="s">
        <v>1625</v>
      </c>
      <c r="F345" s="50" t="s">
        <v>1626</v>
      </c>
      <c r="G345" s="5">
        <v>3</v>
      </c>
      <c r="H345" s="44">
        <v>1</v>
      </c>
      <c r="I345" s="44" t="str">
        <f>INDEX(Helper!$U:$U, MATCH(H345, Helper!$S:$S, 0))</f>
        <v>Standard (EADG)</v>
      </c>
      <c r="J345" s="44" t="s">
        <v>65</v>
      </c>
      <c r="K345" s="68" t="s">
        <v>14</v>
      </c>
      <c r="L345" s="44" t="str">
        <f>INDEX(Helper!$F:$F, MATCH(K345, Helper!$E:$E, 0))</f>
        <v>#FFE000</v>
      </c>
      <c r="M345" s="45" t="s">
        <v>1627</v>
      </c>
      <c r="N345" s="50" t="s">
        <v>1584</v>
      </c>
      <c r="O345" s="46" t="s">
        <v>1628</v>
      </c>
      <c r="P345" s="76" t="s">
        <v>1629</v>
      </c>
    </row>
    <row r="346" spans="1:16" ht="229.5">
      <c r="A346" s="44">
        <v>343</v>
      </c>
      <c r="B346" s="44">
        <v>2</v>
      </c>
      <c r="C346" s="44">
        <v>3</v>
      </c>
      <c r="D346" s="45" t="str">
        <f>INDEX(Helper!$N$2:$N$4, MATCH(C346, Helper!$M$2:$M$4, 0))</f>
        <v>Advanced</v>
      </c>
      <c r="E346" s="62" t="s">
        <v>90</v>
      </c>
      <c r="F346" s="50" t="s">
        <v>337</v>
      </c>
      <c r="G346" s="5">
        <v>0</v>
      </c>
      <c r="H346" s="44">
        <v>1</v>
      </c>
      <c r="I346" s="44" t="str">
        <f>INDEX(Helper!$U:$U, MATCH(H346, Helper!$S:$S, 0))</f>
        <v>Standard (EADG)</v>
      </c>
      <c r="J346" s="44" t="s">
        <v>65</v>
      </c>
      <c r="K346" s="65" t="s">
        <v>13</v>
      </c>
      <c r="L346" s="44" t="str">
        <f>INDEX(Helper!$F:$F, MATCH(K346, Helper!$E:$E, 0))</f>
        <v>#FF4F53</v>
      </c>
      <c r="M346" s="45" t="s">
        <v>483</v>
      </c>
      <c r="N346" s="50" t="s">
        <v>1584</v>
      </c>
      <c r="O346" s="46" t="s">
        <v>1630</v>
      </c>
      <c r="P346" s="76" t="s">
        <v>1631</v>
      </c>
    </row>
    <row r="347" spans="1:16" ht="135">
      <c r="A347" s="44">
        <v>344</v>
      </c>
      <c r="B347" s="44">
        <v>2</v>
      </c>
      <c r="C347" s="44">
        <v>3</v>
      </c>
      <c r="D347" s="45" t="str">
        <f>INDEX(Helper!$N$2:$N$4, MATCH(C347, Helper!$M$2:$M$4, 0))</f>
        <v>Advanced</v>
      </c>
      <c r="E347" s="50" t="s">
        <v>78</v>
      </c>
      <c r="F347" s="50" t="s">
        <v>80</v>
      </c>
      <c r="G347" s="5">
        <v>3</v>
      </c>
      <c r="H347" s="44">
        <v>1</v>
      </c>
      <c r="I347" s="44" t="str">
        <f>INDEX(Helper!$U:$U, MATCH(H347, Helper!$S:$S, 0))</f>
        <v>Standard (EADG)</v>
      </c>
      <c r="J347" s="44" t="s">
        <v>59</v>
      </c>
      <c r="K347" s="65" t="s">
        <v>13</v>
      </c>
      <c r="L347" s="44" t="str">
        <f>INDEX(Helper!$F:$F, MATCH(K347, Helper!$E:$E, 0))</f>
        <v>#FF4F53</v>
      </c>
      <c r="M347" s="45" t="s">
        <v>478</v>
      </c>
      <c r="N347" s="50" t="s">
        <v>1584</v>
      </c>
      <c r="O347" s="46" t="s">
        <v>1632</v>
      </c>
      <c r="P347" s="76" t="s">
        <v>1633</v>
      </c>
    </row>
    <row r="348" spans="1:16" ht="364.5">
      <c r="A348" s="44">
        <v>345</v>
      </c>
      <c r="B348" s="44">
        <v>2</v>
      </c>
      <c r="C348" s="44">
        <v>3</v>
      </c>
      <c r="D348" s="45" t="str">
        <f>INDEX(Helper!$N$2:$N$4, MATCH(C348, Helper!$M$2:$M$4, 0))</f>
        <v>Advanced</v>
      </c>
      <c r="E348" s="55" t="s">
        <v>1634</v>
      </c>
      <c r="F348" s="56" t="s">
        <v>1635</v>
      </c>
      <c r="G348" s="5">
        <v>0</v>
      </c>
      <c r="H348" s="44">
        <v>1</v>
      </c>
      <c r="I348" s="44" t="str">
        <f>INDEX(Helper!$U:$U, MATCH(H348, Helper!$S:$S, 0))</f>
        <v>Standard (EADG)</v>
      </c>
      <c r="J348" s="44" t="s">
        <v>633</v>
      </c>
      <c r="K348" s="60" t="s">
        <v>371</v>
      </c>
      <c r="L348" s="44" t="str">
        <f>INDEX(Helper!$F:$F, MATCH(K348, Helper!$E:$E, 0))</f>
        <v>#B3F141</v>
      </c>
      <c r="M348" s="45" t="s">
        <v>1636</v>
      </c>
      <c r="N348" s="50" t="s">
        <v>1584</v>
      </c>
      <c r="O348" s="46" t="s">
        <v>1637</v>
      </c>
      <c r="P348" s="76" t="s">
        <v>1638</v>
      </c>
    </row>
    <row r="349" spans="1:16" ht="121.5">
      <c r="A349" s="44">
        <v>346</v>
      </c>
      <c r="B349" s="44">
        <v>2</v>
      </c>
      <c r="C349" s="44">
        <v>3</v>
      </c>
      <c r="D349" s="45" t="str">
        <f>INDEX(Helper!$N$2:$N$4, MATCH(C349, Helper!$M$2:$M$4, 0))</f>
        <v>Advanced</v>
      </c>
      <c r="E349" s="58" t="s">
        <v>1639</v>
      </c>
      <c r="F349" s="50" t="s">
        <v>1640</v>
      </c>
      <c r="G349" s="5">
        <v>0</v>
      </c>
      <c r="H349" s="44">
        <v>1</v>
      </c>
      <c r="I349" s="44" t="str">
        <f>INDEX(Helper!$U:$U, MATCH(H349, Helper!$S:$S, 0))</f>
        <v>Standard (EADG)</v>
      </c>
      <c r="J349" s="44" t="s">
        <v>64</v>
      </c>
      <c r="K349" s="86" t="s">
        <v>1641</v>
      </c>
      <c r="L349" s="44" t="str">
        <f>INDEX(Helper!$F:$F, MATCH(K349, Helper!$E:$E, 0))</f>
        <v>#22AAD6</v>
      </c>
      <c r="M349" s="45" t="s">
        <v>1642</v>
      </c>
      <c r="N349" s="50" t="s">
        <v>1584</v>
      </c>
      <c r="O349" s="46" t="s">
        <v>1643</v>
      </c>
      <c r="P349" s="76" t="s">
        <v>1644</v>
      </c>
    </row>
    <row r="350" spans="1:16" ht="297">
      <c r="A350" s="44">
        <v>347</v>
      </c>
      <c r="B350" s="44">
        <v>2</v>
      </c>
      <c r="C350" s="44">
        <v>2</v>
      </c>
      <c r="D350" s="45" t="str">
        <f>INDEX(Helper!$N$2:$N$4, MATCH(C350, Helper!$M$2:$M$4, 0))</f>
        <v>Intermediate</v>
      </c>
      <c r="E350" s="55" t="s">
        <v>1639</v>
      </c>
      <c r="F350" s="56" t="s">
        <v>1645</v>
      </c>
      <c r="G350" s="5">
        <v>0</v>
      </c>
      <c r="H350" s="44">
        <v>1</v>
      </c>
      <c r="I350" s="44" t="str">
        <f>INDEX(Helper!$U:$U, MATCH(H350, Helper!$S:$S, 0))</f>
        <v>Standard (EADG)</v>
      </c>
      <c r="J350" s="44" t="s">
        <v>67</v>
      </c>
      <c r="K350" s="86" t="s">
        <v>1641</v>
      </c>
      <c r="L350" s="44" t="str">
        <f>INDEX(Helper!$F:$F, MATCH(K350, Helper!$E:$E, 0))</f>
        <v>#22AAD6</v>
      </c>
      <c r="M350" s="45" t="s">
        <v>1646</v>
      </c>
      <c r="N350" s="50" t="s">
        <v>1584</v>
      </c>
      <c r="O350" s="46" t="s">
        <v>1647</v>
      </c>
      <c r="P350" s="76" t="s">
        <v>1648</v>
      </c>
    </row>
    <row r="351" spans="1:16" ht="67.5">
      <c r="A351" s="44">
        <v>348</v>
      </c>
      <c r="B351" s="44">
        <v>2</v>
      </c>
      <c r="C351" s="44">
        <v>1</v>
      </c>
      <c r="D351" s="45" t="str">
        <f>INDEX(Helper!$N$2:$N$4, MATCH(C351, Helper!$M$2:$M$4, 0))</f>
        <v>Beginner</v>
      </c>
      <c r="E351" s="58" t="s">
        <v>1649</v>
      </c>
      <c r="F351" s="50" t="s">
        <v>1650</v>
      </c>
      <c r="G351" s="5">
        <v>3</v>
      </c>
      <c r="H351" s="44">
        <v>1</v>
      </c>
      <c r="I351" s="44" t="str">
        <f>INDEX(Helper!$U:$U, MATCH(H351, Helper!$S:$S, 0))</f>
        <v>Standard (EADG)</v>
      </c>
      <c r="J351" s="44" t="s">
        <v>637</v>
      </c>
      <c r="K351" s="86" t="s">
        <v>1641</v>
      </c>
      <c r="L351" s="44" t="str">
        <f>INDEX(Helper!$F:$F, MATCH(K351, Helper!$E:$E, 0))</f>
        <v>#22AAD6</v>
      </c>
      <c r="M351" s="45" t="s">
        <v>1651</v>
      </c>
      <c r="N351" s="50" t="s">
        <v>1584</v>
      </c>
      <c r="O351" s="47" t="s">
        <v>1652</v>
      </c>
      <c r="P351" s="76" t="s">
        <v>1653</v>
      </c>
    </row>
    <row r="352" spans="1:16" ht="409.5">
      <c r="A352" s="44">
        <v>349</v>
      </c>
      <c r="B352" s="44">
        <v>2</v>
      </c>
      <c r="C352" s="44">
        <v>2</v>
      </c>
      <c r="D352" s="45" t="str">
        <f>INDEX(Helper!$N$2:$N$4, MATCH(C352, Helper!$M$2:$M$4, 0))</f>
        <v>Intermediate</v>
      </c>
      <c r="E352" s="50" t="s">
        <v>1654</v>
      </c>
      <c r="F352" s="50" t="s">
        <v>1655</v>
      </c>
      <c r="G352" s="5">
        <v>3</v>
      </c>
      <c r="H352" s="44">
        <v>1</v>
      </c>
      <c r="I352" s="44" t="str">
        <f>INDEX(Helper!$U:$U, MATCH(H352, Helper!$S:$S, 0))</f>
        <v>Standard (EADG)</v>
      </c>
      <c r="J352" s="44" t="s">
        <v>842</v>
      </c>
      <c r="K352" s="91" t="s">
        <v>1617</v>
      </c>
      <c r="L352" s="44" t="str">
        <f>INDEX(Helper!$F:$F, MATCH(K352, Helper!$E:$E, 0))</f>
        <v>#FFE129</v>
      </c>
      <c r="M352" s="45" t="s">
        <v>1656</v>
      </c>
      <c r="N352" s="50" t="s">
        <v>1584</v>
      </c>
      <c r="O352" s="47" t="s">
        <v>1657</v>
      </c>
      <c r="P352" s="76" t="s">
        <v>1658</v>
      </c>
    </row>
    <row r="353" spans="1:16" ht="54">
      <c r="A353" s="44">
        <v>350</v>
      </c>
      <c r="B353" s="44">
        <v>2</v>
      </c>
      <c r="C353" s="44">
        <v>1</v>
      </c>
      <c r="D353" s="45" t="str">
        <f>INDEX(Helper!$N$2:$N$4, MATCH(C353, Helper!$M$2:$M$4, 0))</f>
        <v>Beginner</v>
      </c>
      <c r="E353" s="45" t="s">
        <v>1659</v>
      </c>
      <c r="F353" s="45" t="s">
        <v>1660</v>
      </c>
      <c r="G353" s="5">
        <v>3</v>
      </c>
      <c r="H353" s="44">
        <v>3</v>
      </c>
      <c r="I353" s="44" t="str">
        <f>INDEX(Helper!$U:$U, MATCH(H353, Helper!$S:$S, 0))</f>
        <v>Half Step Down (D#G#C#F#)</v>
      </c>
      <c r="J353" s="44" t="s">
        <v>619</v>
      </c>
      <c r="K353" s="88" t="s">
        <v>1587</v>
      </c>
      <c r="L353" s="44" t="str">
        <f>INDEX(Helper!$F:$F, MATCH(K353, Helper!$E:$E, 0))</f>
        <v>#B3F141</v>
      </c>
      <c r="M353" s="45" t="s">
        <v>1661</v>
      </c>
      <c r="N353" s="50" t="s">
        <v>1584</v>
      </c>
      <c r="O353" s="46" t="s">
        <v>1662</v>
      </c>
      <c r="P353" s="76" t="s">
        <v>1663</v>
      </c>
    </row>
    <row r="354" spans="1:16" ht="121.5">
      <c r="A354" s="44">
        <v>351</v>
      </c>
      <c r="B354" s="44">
        <v>2</v>
      </c>
      <c r="C354" s="44">
        <v>2</v>
      </c>
      <c r="D354" s="45" t="str">
        <f>INDEX(Helper!$N$2:$N$4, MATCH(C354, Helper!$M$2:$M$4, 0))</f>
        <v>Intermediate</v>
      </c>
      <c r="E354" s="45" t="s">
        <v>1664</v>
      </c>
      <c r="F354" s="45" t="s">
        <v>1665</v>
      </c>
      <c r="G354" s="5">
        <v>0</v>
      </c>
      <c r="H354" s="44">
        <v>1</v>
      </c>
      <c r="I354" s="44" t="str">
        <f>INDEX(Helper!$U:$U, MATCH(H354, Helper!$S:$S, 0))</f>
        <v>Standard (EADG)</v>
      </c>
      <c r="J354" s="44" t="s">
        <v>65</v>
      </c>
      <c r="K354" s="87" t="s">
        <v>1666</v>
      </c>
      <c r="L354" s="44" t="str">
        <f>INDEX(Helper!$F:$F, MATCH(K354, Helper!$E:$E, 0))</f>
        <v>#FFFFCC</v>
      </c>
      <c r="M354" s="45" t="s">
        <v>1667</v>
      </c>
      <c r="N354" s="50" t="s">
        <v>1584</v>
      </c>
      <c r="O354" s="46" t="s">
        <v>1668</v>
      </c>
      <c r="P354" s="76" t="s">
        <v>1669</v>
      </c>
    </row>
    <row r="355" spans="1:16" ht="54">
      <c r="A355" s="44">
        <v>352</v>
      </c>
      <c r="B355" s="44">
        <v>2</v>
      </c>
      <c r="C355" s="44">
        <v>2</v>
      </c>
      <c r="D355" s="45" t="str">
        <f>INDEX(Helper!$N$2:$N$4, MATCH(C355, Helper!$M$2:$M$4, 0))</f>
        <v>Intermediate</v>
      </c>
      <c r="E355" s="45" t="s">
        <v>1670</v>
      </c>
      <c r="F355" s="45" t="s">
        <v>344</v>
      </c>
      <c r="G355" s="5">
        <v>3</v>
      </c>
      <c r="H355" s="44">
        <v>1</v>
      </c>
      <c r="I355" s="44" t="str">
        <f>INDEX(Helper!$U:$U, MATCH(H355, Helper!$S:$S, 0))</f>
        <v>Standard (EADG)</v>
      </c>
      <c r="J355" s="44" t="s">
        <v>61</v>
      </c>
      <c r="K355" s="68" t="s">
        <v>14</v>
      </c>
      <c r="L355" s="44" t="str">
        <f>INDEX(Helper!$F:$F, MATCH(K355, Helper!$E:$E, 0))</f>
        <v>#FFE000</v>
      </c>
      <c r="M355" s="45" t="s">
        <v>1671</v>
      </c>
      <c r="N355" s="50" t="s">
        <v>1584</v>
      </c>
      <c r="O355" s="46" t="s">
        <v>1672</v>
      </c>
      <c r="P355" s="76" t="s">
        <v>1673</v>
      </c>
    </row>
    <row r="356" spans="1:16" ht="189">
      <c r="A356" s="44">
        <v>353</v>
      </c>
      <c r="B356" s="44">
        <v>2</v>
      </c>
      <c r="C356" s="44">
        <v>2</v>
      </c>
      <c r="D356" s="45" t="str">
        <f>INDEX(Helper!$N$2:$N$4, MATCH(C356, Helper!$M$2:$M$4, 0))</f>
        <v>Intermediate</v>
      </c>
      <c r="E356" s="45" t="s">
        <v>1674</v>
      </c>
      <c r="F356" s="45" t="s">
        <v>1675</v>
      </c>
      <c r="G356" s="5">
        <v>0</v>
      </c>
      <c r="H356" s="44">
        <v>1</v>
      </c>
      <c r="I356" s="44" t="str">
        <f>INDEX(Helper!$U:$U, MATCH(H356, Helper!$S:$S, 0))</f>
        <v>Standard (EADG)</v>
      </c>
      <c r="J356" s="44" t="s">
        <v>64</v>
      </c>
      <c r="K356" s="90" t="s">
        <v>1676</v>
      </c>
      <c r="L356" s="44" t="str">
        <f>INDEX(Helper!$F:$F, MATCH(K356, Helper!$E:$E, 0))</f>
        <v>#B2DB4B</v>
      </c>
      <c r="M356" s="45" t="s">
        <v>1677</v>
      </c>
      <c r="N356" s="50" t="s">
        <v>1584</v>
      </c>
      <c r="O356" s="46" t="s">
        <v>1678</v>
      </c>
      <c r="P356" s="76" t="s">
        <v>1679</v>
      </c>
    </row>
    <row r="357" spans="1:16" ht="54">
      <c r="A357" s="44">
        <v>354</v>
      </c>
      <c r="B357" s="44">
        <v>2</v>
      </c>
      <c r="C357" s="44">
        <v>2</v>
      </c>
      <c r="D357" s="45" t="str">
        <f>INDEX(Helper!$N$2:$N$4, MATCH(C357, Helper!$M$2:$M$4, 0))</f>
        <v>Intermediate</v>
      </c>
      <c r="E357" s="45" t="s">
        <v>102</v>
      </c>
      <c r="F357" s="45" t="s">
        <v>291</v>
      </c>
      <c r="G357" s="5">
        <v>0</v>
      </c>
      <c r="H357" s="44">
        <v>1</v>
      </c>
      <c r="I357" s="44" t="str">
        <f>INDEX(Helper!$U:$U, MATCH(H357, Helper!$S:$S, 0))</f>
        <v>Standard (EADG)</v>
      </c>
      <c r="J357" s="44" t="s">
        <v>393</v>
      </c>
      <c r="K357" s="63" t="s">
        <v>19</v>
      </c>
      <c r="L357" s="44" t="str">
        <f>INDEX(Helper!$F:$F, MATCH(K357, Helper!$E:$E, 0))</f>
        <v>#FFDD21</v>
      </c>
      <c r="M357" s="45" t="s">
        <v>1680</v>
      </c>
      <c r="N357" s="50" t="s">
        <v>1584</v>
      </c>
      <c r="O357" s="46" t="s">
        <v>1681</v>
      </c>
      <c r="P357" s="76" t="s">
        <v>1682</v>
      </c>
    </row>
    <row r="358" spans="1:16" ht="121.5">
      <c r="A358" s="44">
        <v>355</v>
      </c>
      <c r="B358" s="44">
        <v>2</v>
      </c>
      <c r="C358" s="44">
        <v>1</v>
      </c>
      <c r="D358" s="45" t="str">
        <f>INDEX(Helper!$N$2:$N$4, MATCH(C358, Helper!$M$2:$M$4, 0))</f>
        <v>Beginner</v>
      </c>
      <c r="E358" s="45" t="s">
        <v>93</v>
      </c>
      <c r="F358" s="45" t="s">
        <v>98</v>
      </c>
      <c r="G358" s="5">
        <v>3</v>
      </c>
      <c r="H358" s="44">
        <v>1</v>
      </c>
      <c r="I358" s="44" t="str">
        <f>INDEX(Helper!$U:$U, MATCH(H358, Helper!$S:$S, 0))</f>
        <v>Standard (EADG)</v>
      </c>
      <c r="J358" s="44" t="s">
        <v>59</v>
      </c>
      <c r="K358" s="60" t="s">
        <v>29</v>
      </c>
      <c r="L358" s="44" t="str">
        <f>INDEX(Helper!$F:$F, MATCH(K358, Helper!$E:$E, 0))</f>
        <v>#66E586</v>
      </c>
      <c r="M358" s="45" t="s">
        <v>1683</v>
      </c>
      <c r="N358" s="50" t="s">
        <v>1584</v>
      </c>
      <c r="O358" s="46" t="s">
        <v>1684</v>
      </c>
      <c r="P358" s="76" t="s">
        <v>1685</v>
      </c>
    </row>
    <row r="359" spans="1:16" ht="67.5">
      <c r="A359" s="44">
        <v>356</v>
      </c>
      <c r="B359" s="44">
        <v>2</v>
      </c>
      <c r="C359" s="44">
        <v>2</v>
      </c>
      <c r="D359" s="45" t="str">
        <f>INDEX(Helper!$N$2:$N$4, MATCH(C359, Helper!$M$2:$M$4, 0))</f>
        <v>Intermediate</v>
      </c>
      <c r="E359" s="45" t="s">
        <v>296</v>
      </c>
      <c r="F359" s="45" t="s">
        <v>1686</v>
      </c>
      <c r="G359" s="5">
        <v>0</v>
      </c>
      <c r="H359" s="44">
        <v>1</v>
      </c>
      <c r="I359" s="44" t="str">
        <f>INDEX(Helper!$U:$U, MATCH(H359, Helper!$S:$S, 0))</f>
        <v>Standard (EADG)</v>
      </c>
      <c r="J359" s="44" t="s">
        <v>64</v>
      </c>
      <c r="K359" s="68" t="s">
        <v>14</v>
      </c>
      <c r="L359" s="44" t="str">
        <f>INDEX(Helper!$F:$F, MATCH(K359, Helper!$E:$E, 0))</f>
        <v>#FFE000</v>
      </c>
      <c r="M359" s="45" t="s">
        <v>1687</v>
      </c>
      <c r="N359" s="50" t="s">
        <v>1584</v>
      </c>
      <c r="O359" s="46" t="s">
        <v>1688</v>
      </c>
      <c r="P359" s="76" t="s">
        <v>1689</v>
      </c>
    </row>
    <row r="360" spans="1:16" ht="189">
      <c r="A360" s="44">
        <v>357</v>
      </c>
      <c r="B360" s="44">
        <v>2</v>
      </c>
      <c r="C360" s="44">
        <v>2</v>
      </c>
      <c r="D360" s="45" t="str">
        <f>INDEX(Helper!$N$2:$N$4, MATCH(C360, Helper!$M$2:$M$4, 0))</f>
        <v>Intermediate</v>
      </c>
      <c r="E360" s="45" t="s">
        <v>261</v>
      </c>
      <c r="F360" s="45" t="s">
        <v>1690</v>
      </c>
      <c r="G360" s="5">
        <v>3</v>
      </c>
      <c r="H360" s="44">
        <v>1</v>
      </c>
      <c r="I360" s="44" t="str">
        <f>INDEX(Helper!$U:$U, MATCH(H360, Helper!$S:$S, 0))</f>
        <v>Standard (EADG)</v>
      </c>
      <c r="J360" s="44" t="s">
        <v>61</v>
      </c>
      <c r="K360" s="61" t="s">
        <v>11</v>
      </c>
      <c r="L360" s="44" t="str">
        <f>INDEX(Helper!$F:$F, MATCH(K360, Helper!$E:$E, 0))</f>
        <v>#E8AD1D</v>
      </c>
      <c r="M360" s="45" t="s">
        <v>1691</v>
      </c>
      <c r="N360" s="50" t="s">
        <v>1584</v>
      </c>
      <c r="O360" s="46" t="s">
        <v>1692</v>
      </c>
      <c r="P360" s="76" t="s">
        <v>1693</v>
      </c>
    </row>
    <row r="361" spans="1:16" ht="135">
      <c r="A361" s="44">
        <v>358</v>
      </c>
      <c r="B361" s="44">
        <v>2</v>
      </c>
      <c r="C361" s="44">
        <v>2</v>
      </c>
      <c r="D361" s="45" t="str">
        <f>INDEX(Helper!$N$2:$N$4, MATCH(C361, Helper!$M$2:$M$4, 0))</f>
        <v>Intermediate</v>
      </c>
      <c r="E361" s="45" t="s">
        <v>1694</v>
      </c>
      <c r="F361" s="45" t="s">
        <v>1695</v>
      </c>
      <c r="G361" s="5">
        <v>3</v>
      </c>
      <c r="H361" s="44">
        <v>1</v>
      </c>
      <c r="I361" s="44" t="str">
        <f>INDEX(Helper!$U:$U, MATCH(H361, Helper!$S:$S, 0))</f>
        <v>Standard (EADG)</v>
      </c>
      <c r="J361" s="44" t="s">
        <v>68</v>
      </c>
      <c r="K361" s="60" t="s">
        <v>1253</v>
      </c>
      <c r="L361" s="44" t="str">
        <f>INDEX(Helper!$F:$F, MATCH(K361, Helper!$E:$E, 0))</f>
        <v>#B3F141</v>
      </c>
      <c r="M361" s="45" t="s">
        <v>1696</v>
      </c>
      <c r="N361" s="50" t="s">
        <v>1584</v>
      </c>
      <c r="O361" s="46" t="s">
        <v>1697</v>
      </c>
      <c r="P361" s="76" t="s">
        <v>1698</v>
      </c>
    </row>
    <row r="362" spans="1:16" ht="54">
      <c r="A362" s="44">
        <v>359</v>
      </c>
      <c r="B362" s="44">
        <v>2</v>
      </c>
      <c r="C362" s="44">
        <v>1</v>
      </c>
      <c r="D362" s="45" t="str">
        <f>INDEX(Helper!$N$2:$N$4, MATCH(C362, Helper!$M$2:$M$4, 0))</f>
        <v>Beginner</v>
      </c>
      <c r="E362" s="45" t="s">
        <v>1699</v>
      </c>
      <c r="F362" s="45" t="s">
        <v>1700</v>
      </c>
      <c r="G362" s="5">
        <v>0</v>
      </c>
      <c r="H362" s="44">
        <v>1</v>
      </c>
      <c r="I362" s="44" t="str">
        <f>INDEX(Helper!$U:$U, MATCH(H362, Helper!$S:$S, 0))</f>
        <v>Standard (EADG)</v>
      </c>
      <c r="J362" s="44" t="s">
        <v>59</v>
      </c>
      <c r="K362" s="60" t="s">
        <v>371</v>
      </c>
      <c r="L362" s="44" t="str">
        <f>INDEX(Helper!$F:$F, MATCH(K362, Helper!$E:$E, 0))</f>
        <v>#B3F141</v>
      </c>
      <c r="M362" s="45" t="s">
        <v>1701</v>
      </c>
      <c r="N362" s="50" t="s">
        <v>1584</v>
      </c>
      <c r="O362" s="46" t="s">
        <v>1702</v>
      </c>
      <c r="P362" s="76" t="s">
        <v>1703</v>
      </c>
    </row>
    <row r="363" spans="1:16" ht="189">
      <c r="A363" s="44">
        <v>360</v>
      </c>
      <c r="B363" s="44">
        <v>2</v>
      </c>
      <c r="C363" s="44">
        <v>2</v>
      </c>
      <c r="D363" s="45" t="str">
        <f>INDEX(Helper!$N$2:$N$4, MATCH(C363, Helper!$M$2:$M$4, 0))</f>
        <v>Intermediate</v>
      </c>
      <c r="E363" s="45" t="s">
        <v>93</v>
      </c>
      <c r="F363" s="45" t="s">
        <v>1704</v>
      </c>
      <c r="G363" s="5">
        <v>0</v>
      </c>
      <c r="H363" s="44">
        <v>1</v>
      </c>
      <c r="I363" s="44" t="str">
        <f>INDEX(Helper!$U:$U, MATCH(H363, Helper!$S:$S, 0))</f>
        <v>Standard (EADG)</v>
      </c>
      <c r="J363" s="44" t="s">
        <v>61</v>
      </c>
      <c r="K363" s="60" t="s">
        <v>29</v>
      </c>
      <c r="L363" s="44" t="str">
        <f>INDEX(Helper!$F:$F, MATCH(K363, Helper!$E:$E, 0))</f>
        <v>#66E586</v>
      </c>
      <c r="M363" s="45" t="s">
        <v>1705</v>
      </c>
      <c r="N363" s="50" t="s">
        <v>1584</v>
      </c>
      <c r="O363" s="46" t="s">
        <v>1706</v>
      </c>
      <c r="P363" s="76" t="s">
        <v>1707</v>
      </c>
    </row>
    <row r="364" spans="1:16" ht="189">
      <c r="A364" s="44">
        <v>361</v>
      </c>
      <c r="B364" s="44">
        <v>2</v>
      </c>
      <c r="C364" s="44">
        <v>1</v>
      </c>
      <c r="D364" s="45" t="str">
        <f>INDEX(Helper!$N$2:$N$4, MATCH(C364, Helper!$M$2:$M$4, 0))</f>
        <v>Beginner</v>
      </c>
      <c r="E364" s="45" t="s">
        <v>1708</v>
      </c>
      <c r="F364" s="45" t="s">
        <v>1709</v>
      </c>
      <c r="G364" s="5">
        <v>0</v>
      </c>
      <c r="H364" s="44">
        <v>1</v>
      </c>
      <c r="I364" s="44" t="str">
        <f>INDEX(Helper!$U:$U, MATCH(H364, Helper!$S:$S, 0))</f>
        <v>Standard (EADG)</v>
      </c>
      <c r="J364" s="44" t="s">
        <v>61</v>
      </c>
      <c r="K364" s="86" t="s">
        <v>1641</v>
      </c>
      <c r="L364" s="44" t="str">
        <f>INDEX(Helper!$F:$F, MATCH(K364, Helper!$E:$E, 0))</f>
        <v>#22AAD6</v>
      </c>
      <c r="M364" s="45" t="s">
        <v>1710</v>
      </c>
      <c r="N364" s="50" t="s">
        <v>1584</v>
      </c>
      <c r="O364" s="46" t="s">
        <v>1711</v>
      </c>
      <c r="P364" s="76" t="s">
        <v>1712</v>
      </c>
    </row>
    <row r="365" spans="1:16" ht="54">
      <c r="A365" s="44">
        <v>362</v>
      </c>
      <c r="B365" s="44">
        <v>2</v>
      </c>
      <c r="C365" s="44">
        <v>1</v>
      </c>
      <c r="D365" s="45" t="str">
        <f>INDEX(Helper!$N$2:$N$4, MATCH(C365, Helper!$M$2:$M$4, 0))</f>
        <v>Beginner</v>
      </c>
      <c r="E365" s="45" t="s">
        <v>1713</v>
      </c>
      <c r="F365" s="45" t="s">
        <v>1714</v>
      </c>
      <c r="G365" s="5">
        <v>0</v>
      </c>
      <c r="H365" s="44">
        <v>1</v>
      </c>
      <c r="I365" s="44" t="str">
        <f>INDEX(Helper!$U:$U, MATCH(H365, Helper!$S:$S, 0))</f>
        <v>Standard (EADG)</v>
      </c>
      <c r="J365" s="44" t="s">
        <v>66</v>
      </c>
      <c r="K365" s="60" t="s">
        <v>1253</v>
      </c>
      <c r="L365" s="44" t="str">
        <f>INDEX(Helper!$F:$F, MATCH(K365, Helper!$E:$E, 0))</f>
        <v>#B3F141</v>
      </c>
      <c r="M365" s="45" t="s">
        <v>1715</v>
      </c>
      <c r="N365" s="50" t="s">
        <v>1584</v>
      </c>
      <c r="O365" s="46" t="s">
        <v>1716</v>
      </c>
      <c r="P365" s="76" t="s">
        <v>1717</v>
      </c>
    </row>
    <row r="366" spans="1:16" ht="351">
      <c r="A366" s="44">
        <v>363</v>
      </c>
      <c r="B366" s="44">
        <v>2</v>
      </c>
      <c r="C366" s="44">
        <v>3</v>
      </c>
      <c r="D366" s="45" t="str">
        <f>INDEX(Helper!$N$2:$N$4, MATCH(C366, Helper!$M$2:$M$4, 0))</f>
        <v>Advanced</v>
      </c>
      <c r="E366" s="45" t="s">
        <v>90</v>
      </c>
      <c r="F366" s="45" t="s">
        <v>1718</v>
      </c>
      <c r="G366" s="5">
        <v>0</v>
      </c>
      <c r="H366" s="44">
        <v>1</v>
      </c>
      <c r="I366" s="44" t="str">
        <f>INDEX(Helper!$U:$U, MATCH(H366, Helper!$S:$S, 0))</f>
        <v>Standard (EADG)</v>
      </c>
      <c r="J366" s="44" t="s">
        <v>64</v>
      </c>
      <c r="K366" s="65" t="s">
        <v>13</v>
      </c>
      <c r="L366" s="44" t="str">
        <f>INDEX(Helper!$F:$F, MATCH(K366, Helper!$E:$E, 0))</f>
        <v>#FF4F53</v>
      </c>
      <c r="M366" s="45" t="s">
        <v>1719</v>
      </c>
      <c r="N366" s="50" t="s">
        <v>1584</v>
      </c>
      <c r="O366" s="46" t="s">
        <v>1720</v>
      </c>
      <c r="P366" s="76" t="s">
        <v>1721</v>
      </c>
    </row>
    <row r="367" spans="1:16" ht="67.5">
      <c r="A367" s="44">
        <v>364</v>
      </c>
      <c r="B367" s="44">
        <v>2</v>
      </c>
      <c r="C367" s="44">
        <v>2</v>
      </c>
      <c r="D367" s="45" t="str">
        <f>INDEX(Helper!$N$2:$N$4, MATCH(C367, Helper!$M$2:$M$4, 0))</f>
        <v>Intermediate</v>
      </c>
      <c r="E367" s="45" t="s">
        <v>1722</v>
      </c>
      <c r="F367" s="45" t="s">
        <v>1723</v>
      </c>
      <c r="G367" s="5">
        <v>0</v>
      </c>
      <c r="H367" s="44">
        <v>1</v>
      </c>
      <c r="I367" s="44" t="str">
        <f>INDEX(Helper!$U:$U, MATCH(H367, Helper!$S:$S, 0))</f>
        <v>Standard (EADG)</v>
      </c>
      <c r="J367" s="44" t="s">
        <v>618</v>
      </c>
      <c r="K367" s="86" t="s">
        <v>1641</v>
      </c>
      <c r="L367" s="44" t="str">
        <f>INDEX(Helper!$F:$F, MATCH(K367, Helper!$E:$E, 0))</f>
        <v>#22AAD6</v>
      </c>
      <c r="M367" s="45" t="s">
        <v>1724</v>
      </c>
      <c r="N367" s="50" t="s">
        <v>1584</v>
      </c>
      <c r="O367" s="46" t="s">
        <v>1725</v>
      </c>
      <c r="P367" s="76" t="s">
        <v>1726</v>
      </c>
    </row>
    <row r="368" spans="1:16" ht="54">
      <c r="A368" s="44">
        <v>365</v>
      </c>
      <c r="B368" s="44">
        <v>2</v>
      </c>
      <c r="C368" s="44">
        <v>2</v>
      </c>
      <c r="D368" s="45" t="str">
        <f>INDEX(Helper!$N$2:$N$4, MATCH(C368, Helper!$M$2:$M$4, 0))</f>
        <v>Intermediate</v>
      </c>
      <c r="E368" s="45" t="s">
        <v>90</v>
      </c>
      <c r="F368" s="45" t="s">
        <v>251</v>
      </c>
      <c r="G368" s="5">
        <v>0</v>
      </c>
      <c r="H368" s="44">
        <v>1</v>
      </c>
      <c r="I368" s="44" t="str">
        <f>INDEX(Helper!$U:$U, MATCH(H368, Helper!$S:$S, 0))</f>
        <v>Standard (EADG)</v>
      </c>
      <c r="J368" s="44" t="s">
        <v>59</v>
      </c>
      <c r="K368" s="65" t="s">
        <v>13</v>
      </c>
      <c r="L368" s="44" t="str">
        <f>INDEX(Helper!$F:$F, MATCH(K368, Helper!$E:$E, 0))</f>
        <v>#FF4F53</v>
      </c>
      <c r="M368" s="45" t="s">
        <v>473</v>
      </c>
      <c r="N368" s="50" t="s">
        <v>1584</v>
      </c>
      <c r="O368" s="46" t="s">
        <v>1727</v>
      </c>
      <c r="P368" s="76" t="s">
        <v>1728</v>
      </c>
    </row>
    <row r="369" spans="1:16" ht="54">
      <c r="A369" s="44">
        <v>366</v>
      </c>
      <c r="B369" s="44">
        <v>2</v>
      </c>
      <c r="C369" s="44">
        <v>2</v>
      </c>
      <c r="D369" s="45" t="str">
        <f>INDEX(Helper!$N$2:$N$4, MATCH(C369, Helper!$M$2:$M$4, 0))</f>
        <v>Intermediate</v>
      </c>
      <c r="E369" s="45" t="s">
        <v>288</v>
      </c>
      <c r="F369" s="45" t="s">
        <v>341</v>
      </c>
      <c r="G369" s="5">
        <v>0</v>
      </c>
      <c r="H369" s="44">
        <v>1</v>
      </c>
      <c r="I369" s="44" t="str">
        <f>INDEX(Helper!$U:$U, MATCH(H369, Helper!$S:$S, 0))</f>
        <v>Standard (EADG)</v>
      </c>
      <c r="J369" s="44" t="s">
        <v>1267</v>
      </c>
      <c r="K369" s="60" t="s">
        <v>28</v>
      </c>
      <c r="L369" s="44" t="str">
        <f>INDEX(Helper!$F:$F, MATCH(K369, Helper!$E:$E, 0))</f>
        <v>#B3F141</v>
      </c>
      <c r="M369" s="45" t="s">
        <v>489</v>
      </c>
      <c r="N369" s="50" t="s">
        <v>1584</v>
      </c>
      <c r="O369" s="46" t="s">
        <v>1729</v>
      </c>
      <c r="P369" s="76" t="s">
        <v>1730</v>
      </c>
    </row>
    <row r="370" spans="1:16" ht="216">
      <c r="A370" s="44">
        <v>367</v>
      </c>
      <c r="B370" s="44">
        <v>2</v>
      </c>
      <c r="C370" s="44">
        <v>2</v>
      </c>
      <c r="D370" s="45" t="str">
        <f>INDEX(Helper!$N$2:$N$4, MATCH(C370, Helper!$M$2:$M$4, 0))</f>
        <v>Intermediate</v>
      </c>
      <c r="E370" s="45" t="s">
        <v>1731</v>
      </c>
      <c r="F370" s="45" t="s">
        <v>1732</v>
      </c>
      <c r="G370" s="5">
        <v>0</v>
      </c>
      <c r="H370" s="44">
        <v>1</v>
      </c>
      <c r="I370" s="44" t="str">
        <f>INDEX(Helper!$U:$U, MATCH(H370, Helper!$S:$S, 0))</f>
        <v>Standard (EADG)</v>
      </c>
      <c r="J370" s="44" t="s">
        <v>61</v>
      </c>
      <c r="K370" s="60" t="s">
        <v>29</v>
      </c>
      <c r="L370" s="44" t="str">
        <f>INDEX(Helper!$F:$F, MATCH(K370, Helper!$E:$E, 0))</f>
        <v>#66E586</v>
      </c>
      <c r="M370" s="45" t="s">
        <v>1733</v>
      </c>
      <c r="N370" s="50" t="s">
        <v>1584</v>
      </c>
      <c r="O370" s="46" t="s">
        <v>1734</v>
      </c>
      <c r="P370" s="76" t="s">
        <v>1735</v>
      </c>
    </row>
    <row r="371" spans="1:16" ht="54">
      <c r="A371" s="44">
        <v>368</v>
      </c>
      <c r="B371" s="44">
        <v>2</v>
      </c>
      <c r="C371" s="44">
        <v>1</v>
      </c>
      <c r="D371" s="45" t="str">
        <f>INDEX(Helper!$N$2:$N$4, MATCH(C371, Helper!$M$2:$M$4, 0))</f>
        <v>Beginner</v>
      </c>
      <c r="E371" s="45" t="s">
        <v>136</v>
      </c>
      <c r="F371" s="45" t="s">
        <v>137</v>
      </c>
      <c r="G371" s="5">
        <v>0</v>
      </c>
      <c r="H371" s="44">
        <v>1</v>
      </c>
      <c r="I371" s="44" t="str">
        <f>INDEX(Helper!$U:$U, MATCH(H371, Helper!$S:$S, 0))</f>
        <v>Standard (EADG)</v>
      </c>
      <c r="J371" s="44" t="s">
        <v>626</v>
      </c>
      <c r="K371" s="68" t="s">
        <v>14</v>
      </c>
      <c r="L371" s="44" t="str">
        <f>INDEX(Helper!$F:$F, MATCH(K371, Helper!$E:$E, 0))</f>
        <v>#FFE000</v>
      </c>
      <c r="M371" s="45" t="s">
        <v>1736</v>
      </c>
      <c r="N371" s="45" t="s">
        <v>1737</v>
      </c>
      <c r="O371" s="46" t="s">
        <v>1738</v>
      </c>
      <c r="P371" s="76" t="s">
        <v>1739</v>
      </c>
    </row>
    <row r="372" spans="1:16" ht="54">
      <c r="A372" s="44">
        <v>369</v>
      </c>
      <c r="B372" s="44">
        <v>2</v>
      </c>
      <c r="C372" s="44">
        <v>2</v>
      </c>
      <c r="D372" s="45" t="str">
        <f>INDEX(Helper!$N$2:$N$4, MATCH(C372, Helper!$M$2:$M$4, 0))</f>
        <v>Intermediate</v>
      </c>
      <c r="E372" s="45" t="s">
        <v>1740</v>
      </c>
      <c r="F372" s="45" t="s">
        <v>1741</v>
      </c>
      <c r="G372" s="5">
        <v>3</v>
      </c>
      <c r="H372" s="44">
        <v>1</v>
      </c>
      <c r="I372" s="44" t="str">
        <f>INDEX(Helper!$U:$U, MATCH(H372, Helper!$S:$S, 0))</f>
        <v>Standard (EADG)</v>
      </c>
      <c r="J372" s="44" t="s">
        <v>619</v>
      </c>
      <c r="K372" s="60" t="s">
        <v>1253</v>
      </c>
      <c r="L372" s="44" t="str">
        <f>INDEX(Helper!$F:$F, MATCH(K372, Helper!$E:$E, 0))</f>
        <v>#B3F141</v>
      </c>
      <c r="M372" s="45" t="s">
        <v>1742</v>
      </c>
      <c r="N372" s="50" t="s">
        <v>1584</v>
      </c>
      <c r="O372" s="46" t="s">
        <v>1743</v>
      </c>
      <c r="P372" s="76" t="s">
        <v>1744</v>
      </c>
    </row>
    <row r="373" spans="1:16" ht="54">
      <c r="A373" s="44">
        <v>370</v>
      </c>
      <c r="B373" s="44">
        <v>2</v>
      </c>
      <c r="C373" s="44">
        <v>2</v>
      </c>
      <c r="D373" s="45" t="str">
        <f>INDEX(Helper!$N$2:$N$4, MATCH(C373, Helper!$M$2:$M$4, 0))</f>
        <v>Intermediate</v>
      </c>
      <c r="E373" s="45" t="s">
        <v>1639</v>
      </c>
      <c r="F373" s="45" t="s">
        <v>1745</v>
      </c>
      <c r="G373" s="5">
        <v>0</v>
      </c>
      <c r="H373" s="44">
        <v>1</v>
      </c>
      <c r="I373" s="44" t="str">
        <f>INDEX(Helper!$U:$U, MATCH(H373, Helper!$S:$S, 0))</f>
        <v>Standard (EADG)</v>
      </c>
      <c r="J373" s="44" t="s">
        <v>67</v>
      </c>
      <c r="K373" s="86" t="s">
        <v>1641</v>
      </c>
      <c r="L373" s="44" t="str">
        <f>INDEX(Helper!$F:$F, MATCH(K373, Helper!$E:$E, 0))</f>
        <v>#22AAD6</v>
      </c>
      <c r="M373" s="45" t="s">
        <v>1746</v>
      </c>
      <c r="N373" s="50" t="s">
        <v>1584</v>
      </c>
      <c r="O373" s="46" t="s">
        <v>1747</v>
      </c>
      <c r="P373" s="76" t="s">
        <v>1748</v>
      </c>
    </row>
    <row r="374" spans="1:16" ht="148.5">
      <c r="A374" s="44">
        <v>371</v>
      </c>
      <c r="B374" s="44">
        <v>2</v>
      </c>
      <c r="C374" s="44">
        <v>2</v>
      </c>
      <c r="D374" s="45" t="str">
        <f>INDEX(Helper!$N$2:$N$4, MATCH(C374, Helper!$M$2:$M$4, 0))</f>
        <v>Intermediate</v>
      </c>
      <c r="E374" s="45" t="s">
        <v>1654</v>
      </c>
      <c r="F374" s="45" t="s">
        <v>1749</v>
      </c>
      <c r="G374" s="5">
        <v>3</v>
      </c>
      <c r="H374" s="44">
        <v>1</v>
      </c>
      <c r="I374" s="44" t="str">
        <f>INDEX(Helper!$U:$U, MATCH(H374, Helper!$S:$S, 0))</f>
        <v>Standard (EADG)</v>
      </c>
      <c r="J374" s="44" t="s">
        <v>842</v>
      </c>
      <c r="K374" s="91" t="s">
        <v>1617</v>
      </c>
      <c r="L374" s="44" t="str">
        <f>INDEX(Helper!$F:$F, MATCH(K374, Helper!$E:$E, 0))</f>
        <v>#FFE129</v>
      </c>
      <c r="M374" s="45" t="s">
        <v>1750</v>
      </c>
      <c r="N374" s="50" t="s">
        <v>1584</v>
      </c>
      <c r="O374" s="46" t="s">
        <v>1751</v>
      </c>
      <c r="P374" s="76" t="s">
        <v>1752</v>
      </c>
    </row>
    <row r="375" spans="1:16" ht="202.5">
      <c r="A375" s="44">
        <v>372</v>
      </c>
      <c r="B375" s="44">
        <v>2</v>
      </c>
      <c r="C375" s="44">
        <v>3</v>
      </c>
      <c r="D375" s="45" t="str">
        <f>INDEX(Helper!$N$2:$N$4, MATCH(C375, Helper!$M$2:$M$4, 0))</f>
        <v>Advanced</v>
      </c>
      <c r="E375" s="45" t="s">
        <v>90</v>
      </c>
      <c r="F375" s="45" t="s">
        <v>1753</v>
      </c>
      <c r="G375" s="5">
        <v>3</v>
      </c>
      <c r="H375" s="44">
        <v>1</v>
      </c>
      <c r="I375" s="44" t="str">
        <f>INDEX(Helper!$U:$U, MATCH(H375, Helper!$S:$S, 0))</f>
        <v>Standard (EADG)</v>
      </c>
      <c r="J375" s="44" t="s">
        <v>61</v>
      </c>
      <c r="K375" s="65" t="s">
        <v>13</v>
      </c>
      <c r="L375" s="44" t="str">
        <f>INDEX(Helper!$F:$F, MATCH(K375, Helper!$E:$E, 0))</f>
        <v>#FF4F53</v>
      </c>
      <c r="M375" s="45" t="s">
        <v>1754</v>
      </c>
      <c r="N375" s="50" t="s">
        <v>1584</v>
      </c>
      <c r="O375" s="46" t="s">
        <v>1755</v>
      </c>
      <c r="P375" s="76" t="s">
        <v>1756</v>
      </c>
    </row>
    <row r="376" spans="1:16" ht="189">
      <c r="A376" s="44">
        <v>373</v>
      </c>
      <c r="B376" s="44">
        <v>2</v>
      </c>
      <c r="C376" s="44">
        <v>1</v>
      </c>
      <c r="D376" s="45" t="str">
        <f>INDEX(Helper!$N$2:$N$4, MATCH(C376, Helper!$M$2:$M$4, 0))</f>
        <v>Beginner</v>
      </c>
      <c r="E376" s="45" t="s">
        <v>1757</v>
      </c>
      <c r="F376" s="45" t="s">
        <v>1758</v>
      </c>
      <c r="G376" s="5">
        <v>0</v>
      </c>
      <c r="H376" s="44">
        <v>1</v>
      </c>
      <c r="I376" s="44" t="str">
        <f>INDEX(Helper!$U:$U, MATCH(H376, Helper!$S:$S, 0))</f>
        <v>Standard (EADG)</v>
      </c>
      <c r="J376" s="44" t="s">
        <v>618</v>
      </c>
      <c r="K376" s="63" t="s">
        <v>19</v>
      </c>
      <c r="L376" s="44" t="str">
        <f>INDEX(Helper!$F:$F, MATCH(K376, Helper!$E:$E, 0))</f>
        <v>#FFDD21</v>
      </c>
      <c r="M376" s="45" t="s">
        <v>1759</v>
      </c>
      <c r="N376" s="50" t="s">
        <v>1584</v>
      </c>
      <c r="O376" s="46" t="s">
        <v>1760</v>
      </c>
      <c r="P376" s="76" t="s">
        <v>1761</v>
      </c>
    </row>
    <row r="377" spans="1:16" ht="409.5">
      <c r="A377" s="44">
        <v>374</v>
      </c>
      <c r="B377" s="44">
        <v>2</v>
      </c>
      <c r="C377" s="44">
        <v>2</v>
      </c>
      <c r="D377" s="45" t="str">
        <f>INDEX(Helper!$N$2:$N$4, MATCH(C377, Helper!$M$2:$M$4, 0))</f>
        <v>Intermediate</v>
      </c>
      <c r="E377" s="45" t="s">
        <v>271</v>
      </c>
      <c r="F377" s="45" t="s">
        <v>1762</v>
      </c>
      <c r="G377" s="5">
        <v>3</v>
      </c>
      <c r="H377" s="44">
        <v>1</v>
      </c>
      <c r="I377" s="44" t="str">
        <f>INDEX(Helper!$U:$U, MATCH(H377, Helper!$S:$S, 0))</f>
        <v>Standard (EADG)</v>
      </c>
      <c r="J377" s="44" t="s">
        <v>393</v>
      </c>
      <c r="K377" s="64" t="s">
        <v>15</v>
      </c>
      <c r="L377" s="44" t="str">
        <f>INDEX(Helper!$F:$F, MATCH(K377, Helper!$E:$E, 0))</f>
        <v>#C2C2A1</v>
      </c>
      <c r="M377" s="45" t="s">
        <v>1763</v>
      </c>
      <c r="N377" s="50" t="s">
        <v>1584</v>
      </c>
      <c r="O377" s="46" t="s">
        <v>1764</v>
      </c>
      <c r="P377" s="76" t="s">
        <v>1765</v>
      </c>
    </row>
    <row r="378" spans="1:16" ht="121.5">
      <c r="A378" s="44">
        <v>375</v>
      </c>
      <c r="B378" s="44">
        <v>2</v>
      </c>
      <c r="C378" s="44">
        <v>2</v>
      </c>
      <c r="D378" s="45" t="str">
        <f>INDEX(Helper!$N$2:$N$4, MATCH(C378, Helper!$M$2:$M$4, 0))</f>
        <v>Intermediate</v>
      </c>
      <c r="E378" s="45" t="s">
        <v>1766</v>
      </c>
      <c r="F378" s="45" t="s">
        <v>1767</v>
      </c>
      <c r="G378" s="5">
        <v>3</v>
      </c>
      <c r="H378" s="44">
        <v>1</v>
      </c>
      <c r="I378" s="44" t="str">
        <f>INDEX(Helper!$U:$U, MATCH(H378, Helper!$S:$S, 0))</f>
        <v>Standard (EADG)</v>
      </c>
      <c r="J378" s="44" t="s">
        <v>393</v>
      </c>
      <c r="K378" s="57" t="s">
        <v>21</v>
      </c>
      <c r="L378" s="44" t="str">
        <f>INDEX(Helper!$F:$F, MATCH(K378, Helper!$E:$E, 0))</f>
        <v>#45F0E2</v>
      </c>
      <c r="M378" s="45" t="s">
        <v>1768</v>
      </c>
      <c r="N378" s="50" t="s">
        <v>1584</v>
      </c>
      <c r="O378" s="75" t="s">
        <v>1769</v>
      </c>
      <c r="P378" s="76" t="s">
        <v>1770</v>
      </c>
    </row>
    <row r="379" spans="1:16" ht="121.5">
      <c r="A379" s="44">
        <v>376</v>
      </c>
      <c r="B379" s="44">
        <v>2</v>
      </c>
      <c r="C379" s="44">
        <v>2</v>
      </c>
      <c r="D379" s="45" t="str">
        <f>INDEX(Helper!$N$2:$N$4, MATCH(C379, Helper!$M$2:$M$4, 0))</f>
        <v>Intermediate</v>
      </c>
      <c r="E379" s="45" t="s">
        <v>1639</v>
      </c>
      <c r="F379" s="45" t="s">
        <v>1771</v>
      </c>
      <c r="G379" s="5">
        <v>3</v>
      </c>
      <c r="H379" s="44">
        <v>1</v>
      </c>
      <c r="I379" s="44" t="str">
        <f>INDEX(Helper!$U:$U, MATCH(H379, Helper!$S:$S, 0))</f>
        <v>Standard (EADG)</v>
      </c>
      <c r="J379" s="44" t="s">
        <v>66</v>
      </c>
      <c r="K379" s="86" t="s">
        <v>1641</v>
      </c>
      <c r="L379" s="44" t="str">
        <f>INDEX(Helper!$F:$F, MATCH(K379, Helper!$E:$E, 0))</f>
        <v>#22AAD6</v>
      </c>
      <c r="M379" s="45" t="s">
        <v>1772</v>
      </c>
      <c r="N379" s="50" t="s">
        <v>1584</v>
      </c>
      <c r="O379" s="46" t="s">
        <v>1773</v>
      </c>
      <c r="P379" s="76" t="s">
        <v>1774</v>
      </c>
    </row>
    <row r="380" spans="1:16" ht="121.5">
      <c r="A380" s="44">
        <v>377</v>
      </c>
      <c r="B380" s="44">
        <v>2</v>
      </c>
      <c r="C380" s="44">
        <v>1</v>
      </c>
      <c r="D380" s="45" t="str">
        <f>INDEX(Helper!$N$2:$N$4, MATCH(C380, Helper!$M$2:$M$4, 0))</f>
        <v>Beginner</v>
      </c>
      <c r="E380" s="45" t="s">
        <v>1775</v>
      </c>
      <c r="F380" s="45" t="s">
        <v>1776</v>
      </c>
      <c r="G380" s="5">
        <v>3</v>
      </c>
      <c r="H380" s="44">
        <v>1</v>
      </c>
      <c r="I380" s="44" t="str">
        <f>INDEX(Helper!$U:$U, MATCH(H380, Helper!$S:$S, 0))</f>
        <v>Standard (EADG)</v>
      </c>
      <c r="J380" s="44" t="s">
        <v>619</v>
      </c>
      <c r="K380" s="86" t="s">
        <v>1641</v>
      </c>
      <c r="L380" s="44" t="str">
        <f>INDEX(Helper!$F:$F, MATCH(K380, Helper!$E:$E, 0))</f>
        <v>#22AAD6</v>
      </c>
      <c r="M380" s="45" t="s">
        <v>1777</v>
      </c>
      <c r="N380" s="50" t="s">
        <v>1584</v>
      </c>
      <c r="O380" s="46" t="s">
        <v>1778</v>
      </c>
      <c r="P380" s="76" t="s">
        <v>1779</v>
      </c>
    </row>
    <row r="381" spans="1:16" ht="135">
      <c r="A381" s="44">
        <v>378</v>
      </c>
      <c r="B381" s="44">
        <v>2</v>
      </c>
      <c r="C381" s="44">
        <v>1</v>
      </c>
      <c r="D381" s="45" t="str">
        <f>INDEX(Helper!$N$2:$N$4, MATCH(C381, Helper!$M$2:$M$4, 0))</f>
        <v>Beginner</v>
      </c>
      <c r="E381" s="45" t="s">
        <v>226</v>
      </c>
      <c r="F381" s="45" t="s">
        <v>227</v>
      </c>
      <c r="G381" s="5">
        <v>0</v>
      </c>
      <c r="H381" s="44">
        <v>1</v>
      </c>
      <c r="I381" s="44" t="str">
        <f>INDEX(Helper!$U:$U, MATCH(H381, Helper!$S:$S, 0))</f>
        <v>Standard (EADG)</v>
      </c>
      <c r="J381" s="44" t="s">
        <v>844</v>
      </c>
      <c r="K381" s="88" t="s">
        <v>1587</v>
      </c>
      <c r="L381" s="44" t="str">
        <f>INDEX(Helper!$F:$F, MATCH(K381, Helper!$E:$E, 0))</f>
        <v>#B3F141</v>
      </c>
      <c r="M381" s="45" t="s">
        <v>385</v>
      </c>
      <c r="N381" s="50" t="s">
        <v>1584</v>
      </c>
      <c r="O381" s="46" t="s">
        <v>1780</v>
      </c>
      <c r="P381" s="76" t="s">
        <v>1781</v>
      </c>
    </row>
    <row r="382" spans="1:16" ht="391.5">
      <c r="A382" s="44">
        <v>379</v>
      </c>
      <c r="B382" s="44">
        <v>2</v>
      </c>
      <c r="C382" s="44">
        <v>1</v>
      </c>
      <c r="D382" s="45" t="str">
        <f>INDEX(Helper!$N$2:$N$4, MATCH(C382, Helper!$M$2:$M$4, 0))</f>
        <v>Beginner</v>
      </c>
      <c r="E382" s="45" t="s">
        <v>271</v>
      </c>
      <c r="F382" s="45" t="s">
        <v>272</v>
      </c>
      <c r="G382" s="5">
        <v>0</v>
      </c>
      <c r="H382" s="44">
        <v>1</v>
      </c>
      <c r="I382" s="44" t="str">
        <f>INDEX(Helper!$U:$U, MATCH(H382, Helper!$S:$S, 0))</f>
        <v>Standard (EADG)</v>
      </c>
      <c r="J382" s="44" t="s">
        <v>619</v>
      </c>
      <c r="K382" s="64" t="s">
        <v>15</v>
      </c>
      <c r="L382" s="44" t="str">
        <f>INDEX(Helper!$F:$F, MATCH(K382, Helper!$E:$E, 0))</f>
        <v>#C2C2A1</v>
      </c>
      <c r="M382" s="45" t="s">
        <v>426</v>
      </c>
      <c r="N382" s="50" t="s">
        <v>1584</v>
      </c>
      <c r="O382" s="46" t="s">
        <v>1782</v>
      </c>
      <c r="P382" s="76" t="s">
        <v>1783</v>
      </c>
    </row>
    <row r="383" spans="1:16" ht="54">
      <c r="A383" s="44">
        <v>380</v>
      </c>
      <c r="B383" s="44">
        <v>2</v>
      </c>
      <c r="C383" s="44">
        <v>1</v>
      </c>
      <c r="D383" s="45" t="str">
        <f>INDEX(Helper!$N$2:$N$4, MATCH(C383, Helper!$M$2:$M$4, 0))</f>
        <v>Beginner</v>
      </c>
      <c r="E383" s="45" t="s">
        <v>2581</v>
      </c>
      <c r="F383" s="45" t="s">
        <v>1784</v>
      </c>
      <c r="G383" s="5">
        <v>3</v>
      </c>
      <c r="H383" s="44">
        <v>1</v>
      </c>
      <c r="I383" s="44" t="str">
        <f>INDEX(Helper!$U:$U, MATCH(H383, Helper!$S:$S, 0))</f>
        <v>Standard (EADG)</v>
      </c>
      <c r="J383" s="44" t="s">
        <v>63</v>
      </c>
      <c r="K383" s="65" t="s">
        <v>13</v>
      </c>
      <c r="L383" s="44" t="str">
        <f>INDEX(Helper!$F:$F, MATCH(K383, Helper!$E:$E, 0))</f>
        <v>#FF4F53</v>
      </c>
      <c r="M383" s="45" t="s">
        <v>1785</v>
      </c>
      <c r="N383" s="45" t="s">
        <v>1737</v>
      </c>
      <c r="O383" s="46" t="s">
        <v>1786</v>
      </c>
      <c r="P383" s="76" t="s">
        <v>1787</v>
      </c>
    </row>
    <row r="384" spans="1:16" ht="54">
      <c r="A384" s="44">
        <v>381</v>
      </c>
      <c r="B384" s="44">
        <v>2</v>
      </c>
      <c r="C384" s="44">
        <v>1</v>
      </c>
      <c r="D384" s="45" t="str">
        <f>INDEX(Helper!$N$2:$N$4, MATCH(C384, Helper!$M$2:$M$4, 0))</f>
        <v>Beginner</v>
      </c>
      <c r="E384" s="45" t="s">
        <v>334</v>
      </c>
      <c r="F384" s="45" t="s">
        <v>1788</v>
      </c>
      <c r="G384" s="5">
        <v>0</v>
      </c>
      <c r="H384" s="44">
        <v>1</v>
      </c>
      <c r="I384" s="44" t="str">
        <f>INDEX(Helper!$U:$U, MATCH(H384, Helper!$S:$S, 0))</f>
        <v>Standard (EADG)</v>
      </c>
      <c r="J384" s="44" t="s">
        <v>62</v>
      </c>
      <c r="K384" s="59" t="s">
        <v>10</v>
      </c>
      <c r="L384" s="44" t="str">
        <f>INDEX(Helper!$F:$F, MATCH(K384, Helper!$E:$E, 0))</f>
        <v>#F5943C</v>
      </c>
      <c r="M384" s="48" t="s">
        <v>1789</v>
      </c>
      <c r="N384" s="50" t="s">
        <v>1584</v>
      </c>
      <c r="O384" s="48" t="s">
        <v>1790</v>
      </c>
      <c r="P384" s="76" t="s">
        <v>1791</v>
      </c>
    </row>
    <row r="385" spans="1:16" ht="229.5">
      <c r="A385" s="44">
        <v>382</v>
      </c>
      <c r="B385" s="44">
        <v>2</v>
      </c>
      <c r="C385" s="44">
        <v>2</v>
      </c>
      <c r="D385" s="45" t="str">
        <f>INDEX(Helper!$N$2:$N$4, MATCH(C385, Helper!$M$2:$M$4, 0))</f>
        <v>Intermediate</v>
      </c>
      <c r="E385" s="45" t="s">
        <v>2581</v>
      </c>
      <c r="F385" s="45" t="s">
        <v>1792</v>
      </c>
      <c r="G385" s="5">
        <v>3</v>
      </c>
      <c r="H385" s="44">
        <v>1</v>
      </c>
      <c r="I385" s="44" t="str">
        <f>INDEX(Helper!$U:$U, MATCH(H385, Helper!$S:$S, 0))</f>
        <v>Standard (EADG)</v>
      </c>
      <c r="J385" s="44" t="s">
        <v>60</v>
      </c>
      <c r="K385" s="65" t="s">
        <v>13</v>
      </c>
      <c r="L385" s="44" t="str">
        <f>INDEX(Helper!$F:$F, MATCH(K385, Helper!$E:$E, 0))</f>
        <v>#FF4F53</v>
      </c>
      <c r="M385" s="45" t="s">
        <v>1793</v>
      </c>
      <c r="N385" s="45" t="s">
        <v>1737</v>
      </c>
      <c r="O385" s="46" t="s">
        <v>1794</v>
      </c>
      <c r="P385" s="76" t="s">
        <v>1795</v>
      </c>
    </row>
    <row r="386" spans="1:16" ht="202.5">
      <c r="A386" s="44">
        <v>383</v>
      </c>
      <c r="B386" s="44">
        <v>2</v>
      </c>
      <c r="C386" s="44">
        <v>1</v>
      </c>
      <c r="D386" s="45" t="str">
        <f>INDEX(Helper!$N$2:$N$4, MATCH(C386, Helper!$M$2:$M$4, 0))</f>
        <v>Beginner</v>
      </c>
      <c r="E386" s="45" t="s">
        <v>1796</v>
      </c>
      <c r="F386" s="45" t="s">
        <v>1797</v>
      </c>
      <c r="G386" s="5">
        <v>0</v>
      </c>
      <c r="H386" s="44">
        <v>1</v>
      </c>
      <c r="I386" s="44" t="str">
        <f>INDEX(Helper!$U:$U, MATCH(H386, Helper!$S:$S, 0))</f>
        <v>Standard (EADG)</v>
      </c>
      <c r="J386" s="44" t="s">
        <v>70</v>
      </c>
      <c r="K386" s="60" t="s">
        <v>371</v>
      </c>
      <c r="L386" s="44" t="str">
        <f>INDEX(Helper!$F:$F, MATCH(K386, Helper!$E:$E, 0))</f>
        <v>#B3F141</v>
      </c>
      <c r="M386" s="45" t="s">
        <v>1798</v>
      </c>
      <c r="N386" s="50" t="s">
        <v>1584</v>
      </c>
      <c r="O386" s="46" t="s">
        <v>1799</v>
      </c>
      <c r="P386" s="76" t="s">
        <v>1800</v>
      </c>
    </row>
    <row r="387" spans="1:16" ht="54">
      <c r="A387" s="44">
        <v>384</v>
      </c>
      <c r="B387" s="44">
        <v>2</v>
      </c>
      <c r="C387" s="44">
        <v>1</v>
      </c>
      <c r="D387" s="45" t="str">
        <f>INDEX(Helper!$N$2:$N$4, MATCH(C387, Helper!$M$2:$M$4, 0))</f>
        <v>Beginner</v>
      </c>
      <c r="E387" s="45" t="s">
        <v>1801</v>
      </c>
      <c r="F387" s="45" t="s">
        <v>1802</v>
      </c>
      <c r="G387" s="5">
        <v>3</v>
      </c>
      <c r="H387" s="44">
        <v>1</v>
      </c>
      <c r="I387" s="44" t="str">
        <f>INDEX(Helper!$U:$U, MATCH(H387, Helper!$S:$S, 0))</f>
        <v>Standard (EADG)</v>
      </c>
      <c r="J387" s="44" t="s">
        <v>61</v>
      </c>
      <c r="K387" s="61" t="s">
        <v>11</v>
      </c>
      <c r="L387" s="44" t="str">
        <f>INDEX(Helper!$F:$F, MATCH(K387, Helper!$E:$E, 0))</f>
        <v>#E8AD1D</v>
      </c>
      <c r="M387" s="45" t="s">
        <v>1803</v>
      </c>
      <c r="N387" s="50" t="s">
        <v>1584</v>
      </c>
      <c r="O387" s="46" t="s">
        <v>1804</v>
      </c>
      <c r="P387" s="76" t="s">
        <v>1805</v>
      </c>
    </row>
    <row r="388" spans="1:16" ht="189">
      <c r="A388" s="44">
        <v>385</v>
      </c>
      <c r="B388" s="44">
        <v>2</v>
      </c>
      <c r="C388" s="44">
        <v>3</v>
      </c>
      <c r="D388" s="45" t="str">
        <f>INDEX(Helper!$N$2:$N$4, MATCH(C388, Helper!$M$2:$M$4, 0))</f>
        <v>Advanced</v>
      </c>
      <c r="E388" s="45" t="s">
        <v>41</v>
      </c>
      <c r="F388" s="45" t="s">
        <v>736</v>
      </c>
      <c r="G388" s="5">
        <v>0</v>
      </c>
      <c r="H388" s="44">
        <v>3</v>
      </c>
      <c r="I388" s="44" t="str">
        <f>INDEX(Helper!$U:$U, MATCH(H388, Helper!$S:$S, 0))</f>
        <v>Half Step Down (D#G#C#F#)</v>
      </c>
      <c r="J388" s="44" t="s">
        <v>70</v>
      </c>
      <c r="K388" s="59" t="s">
        <v>10</v>
      </c>
      <c r="L388" s="44" t="str">
        <f>INDEX(Helper!$F:$F, MATCH(K388, Helper!$E:$E, 0))</f>
        <v>#F5943C</v>
      </c>
      <c r="M388" s="45" t="s">
        <v>438</v>
      </c>
      <c r="N388" s="50" t="s">
        <v>1584</v>
      </c>
      <c r="O388" s="46" t="s">
        <v>1806</v>
      </c>
      <c r="P388" s="76" t="s">
        <v>1807</v>
      </c>
    </row>
    <row r="389" spans="1:16" ht="54">
      <c r="A389" s="44">
        <v>386</v>
      </c>
      <c r="B389" s="44">
        <v>2</v>
      </c>
      <c r="C389" s="44">
        <v>1</v>
      </c>
      <c r="D389" s="45" t="str">
        <f>INDEX(Helper!$N$2:$N$4, MATCH(C389, Helper!$M$2:$M$4, 0))</f>
        <v>Beginner</v>
      </c>
      <c r="E389" s="45" t="s">
        <v>1808</v>
      </c>
      <c r="F389" s="45" t="s">
        <v>1809</v>
      </c>
      <c r="G389" s="5">
        <v>3</v>
      </c>
      <c r="H389" s="44">
        <v>1</v>
      </c>
      <c r="I389" s="44" t="str">
        <f>INDEX(Helper!$U:$U, MATCH(H389, Helper!$S:$S, 0))</f>
        <v>Standard (EADG)</v>
      </c>
      <c r="J389" s="44" t="s">
        <v>623</v>
      </c>
      <c r="K389" s="87" t="s">
        <v>1666</v>
      </c>
      <c r="L389" s="44" t="str">
        <f>INDEX(Helper!$F:$F, MATCH(K389, Helper!$E:$E, 0))</f>
        <v>#FFFFCC</v>
      </c>
      <c r="M389" s="45" t="s">
        <v>1810</v>
      </c>
      <c r="N389" s="50" t="s">
        <v>1584</v>
      </c>
      <c r="O389" s="46" t="s">
        <v>1811</v>
      </c>
      <c r="P389" s="76" t="s">
        <v>1812</v>
      </c>
    </row>
    <row r="390" spans="1:16" ht="229.5">
      <c r="A390" s="44">
        <v>387</v>
      </c>
      <c r="B390" s="44">
        <v>2</v>
      </c>
      <c r="C390" s="44">
        <v>2</v>
      </c>
      <c r="D390" s="45" t="str">
        <f>INDEX(Helper!$N$2:$N$4, MATCH(C390, Helper!$M$2:$M$4, 0))</f>
        <v>Intermediate</v>
      </c>
      <c r="E390" s="45" t="s">
        <v>1813</v>
      </c>
      <c r="F390" s="45" t="s">
        <v>1814</v>
      </c>
      <c r="G390" s="5">
        <v>3</v>
      </c>
      <c r="H390" s="44">
        <v>1</v>
      </c>
      <c r="I390" s="44" t="str">
        <f>INDEX(Helper!$U:$U, MATCH(H390, Helper!$S:$S, 0))</f>
        <v>Standard (EADG)</v>
      </c>
      <c r="J390" s="44" t="s">
        <v>626</v>
      </c>
      <c r="K390" s="91" t="s">
        <v>1617</v>
      </c>
      <c r="L390" s="44" t="str">
        <f>INDEX(Helper!$F:$F, MATCH(K390, Helper!$E:$E, 0))</f>
        <v>#FFE129</v>
      </c>
      <c r="M390" s="45" t="s">
        <v>1815</v>
      </c>
      <c r="N390" s="50" t="s">
        <v>1584</v>
      </c>
      <c r="O390" s="46" t="s">
        <v>1816</v>
      </c>
      <c r="P390" s="76" t="s">
        <v>1817</v>
      </c>
    </row>
    <row r="391" spans="1:16" ht="216">
      <c r="A391" s="44">
        <v>388</v>
      </c>
      <c r="B391" s="44">
        <v>2</v>
      </c>
      <c r="C391" s="44">
        <v>1</v>
      </c>
      <c r="D391" s="45" t="str">
        <f>INDEX(Helper!$N$2:$N$4, MATCH(C391, Helper!$M$2:$M$4, 0))</f>
        <v>Beginner</v>
      </c>
      <c r="E391" s="45" t="s">
        <v>90</v>
      </c>
      <c r="F391" s="45" t="s">
        <v>1818</v>
      </c>
      <c r="G391" s="5">
        <v>3</v>
      </c>
      <c r="H391" s="44">
        <v>1</v>
      </c>
      <c r="I391" s="44" t="str">
        <f>INDEX(Helper!$U:$U, MATCH(H391, Helper!$S:$S, 0))</f>
        <v>Standard (EADG)</v>
      </c>
      <c r="J391" s="44" t="s">
        <v>637</v>
      </c>
      <c r="K391" s="65" t="s">
        <v>13</v>
      </c>
      <c r="L391" s="44" t="str">
        <f>INDEX(Helper!$F:$F, MATCH(K391, Helper!$E:$E, 0))</f>
        <v>#FF4F53</v>
      </c>
      <c r="M391" s="45" t="s">
        <v>1819</v>
      </c>
      <c r="N391" s="50" t="s">
        <v>1584</v>
      </c>
      <c r="O391" s="46" t="s">
        <v>1820</v>
      </c>
      <c r="P391" s="76" t="s">
        <v>1821</v>
      </c>
    </row>
    <row r="392" spans="1:16" ht="54">
      <c r="A392" s="44">
        <v>389</v>
      </c>
      <c r="B392" s="44">
        <v>2</v>
      </c>
      <c r="C392" s="44">
        <v>1</v>
      </c>
      <c r="D392" s="45" t="str">
        <f>INDEX(Helper!$N$2:$N$4, MATCH(C392, Helper!$M$2:$M$4, 0))</f>
        <v>Beginner</v>
      </c>
      <c r="E392" s="45" t="s">
        <v>1822</v>
      </c>
      <c r="F392" s="45" t="s">
        <v>1823</v>
      </c>
      <c r="G392" s="5">
        <v>0</v>
      </c>
      <c r="H392" s="44">
        <v>1</v>
      </c>
      <c r="I392" s="44" t="str">
        <f>INDEX(Helper!$U:$U, MATCH(H392, Helper!$S:$S, 0))</f>
        <v>Standard (EADG)</v>
      </c>
      <c r="J392" s="44" t="s">
        <v>1268</v>
      </c>
      <c r="K392" s="60" t="s">
        <v>1253</v>
      </c>
      <c r="L392" s="44" t="str">
        <f>INDEX(Helper!$F:$F, MATCH(K392, Helper!$E:$E, 0))</f>
        <v>#B3F141</v>
      </c>
      <c r="M392" s="45" t="s">
        <v>1824</v>
      </c>
      <c r="N392" s="50" t="s">
        <v>1584</v>
      </c>
      <c r="O392" s="46" t="s">
        <v>1825</v>
      </c>
      <c r="P392" s="76" t="s">
        <v>1826</v>
      </c>
    </row>
    <row r="393" spans="1:16" ht="121.5">
      <c r="A393" s="44">
        <v>390</v>
      </c>
      <c r="B393" s="44">
        <v>2</v>
      </c>
      <c r="C393" s="44">
        <v>3</v>
      </c>
      <c r="D393" s="45" t="str">
        <f>INDEX(Helper!$N$2:$N$4, MATCH(C393, Helper!$M$2:$M$4, 0))</f>
        <v>Advanced</v>
      </c>
      <c r="E393" s="45" t="s">
        <v>1654</v>
      </c>
      <c r="F393" s="45" t="s">
        <v>1827</v>
      </c>
      <c r="G393" s="5">
        <v>0</v>
      </c>
      <c r="H393" s="44">
        <v>1</v>
      </c>
      <c r="I393" s="44" t="str">
        <f>INDEX(Helper!$U:$U, MATCH(H393, Helper!$S:$S, 0))</f>
        <v>Standard (EADG)</v>
      </c>
      <c r="J393" s="44" t="s">
        <v>70</v>
      </c>
      <c r="K393" s="91" t="s">
        <v>1617</v>
      </c>
      <c r="L393" s="44" t="str">
        <f>INDEX(Helper!$F:$F, MATCH(K393, Helper!$E:$E, 0))</f>
        <v>#FFE129</v>
      </c>
      <c r="M393" s="45" t="s">
        <v>1828</v>
      </c>
      <c r="N393" s="50" t="s">
        <v>1584</v>
      </c>
      <c r="O393" s="46" t="s">
        <v>1829</v>
      </c>
      <c r="P393" s="76" t="s">
        <v>1830</v>
      </c>
    </row>
    <row r="394" spans="1:16" ht="409.5">
      <c r="A394" s="44">
        <v>391</v>
      </c>
      <c r="B394" s="44">
        <v>2</v>
      </c>
      <c r="C394" s="44">
        <v>2</v>
      </c>
      <c r="D394" s="45" t="str">
        <f>INDEX(Helper!$N$2:$N$4, MATCH(C394, Helper!$M$2:$M$4, 0))</f>
        <v>Intermediate</v>
      </c>
      <c r="E394" s="45" t="s">
        <v>1831</v>
      </c>
      <c r="F394" s="45" t="s">
        <v>1204</v>
      </c>
      <c r="G394" s="5">
        <v>0</v>
      </c>
      <c r="H394" s="44">
        <v>1</v>
      </c>
      <c r="I394" s="44" t="str">
        <f>INDEX(Helper!$U:$U, MATCH(H394, Helper!$S:$S, 0))</f>
        <v>Standard (EADG)</v>
      </c>
      <c r="J394" s="44" t="s">
        <v>794</v>
      </c>
      <c r="K394" s="59" t="s">
        <v>10</v>
      </c>
      <c r="L394" s="44" t="str">
        <f>INDEX(Helper!$F:$F, MATCH(K394, Helper!$E:$E, 0))</f>
        <v>#F5943C</v>
      </c>
      <c r="M394" s="45" t="s">
        <v>1355</v>
      </c>
      <c r="N394" s="50" t="s">
        <v>1584</v>
      </c>
      <c r="O394" s="46" t="s">
        <v>1832</v>
      </c>
      <c r="P394" s="76" t="s">
        <v>1833</v>
      </c>
    </row>
    <row r="395" spans="1:16" ht="256.5">
      <c r="A395" s="44">
        <v>392</v>
      </c>
      <c r="B395" s="44">
        <v>2</v>
      </c>
      <c r="C395" s="44">
        <v>3</v>
      </c>
      <c r="D395" s="45" t="str">
        <f>INDEX(Helper!$N$2:$N$4, MATCH(C395, Helper!$M$2:$M$4, 0))</f>
        <v>Advanced</v>
      </c>
      <c r="E395" s="45" t="s">
        <v>171</v>
      </c>
      <c r="F395" s="45" t="s">
        <v>353</v>
      </c>
      <c r="G395" s="5">
        <v>0</v>
      </c>
      <c r="H395" s="44">
        <v>1</v>
      </c>
      <c r="I395" s="44" t="str">
        <f>INDEX(Helper!$U:$U, MATCH(H395, Helper!$S:$S, 0))</f>
        <v>Standard (EADG)</v>
      </c>
      <c r="J395" s="44" t="s">
        <v>65</v>
      </c>
      <c r="K395" s="63" t="s">
        <v>19</v>
      </c>
      <c r="L395" s="44" t="str">
        <f>INDEX(Helper!$F:$F, MATCH(K395, Helper!$E:$E, 0))</f>
        <v>#FFDD21</v>
      </c>
      <c r="M395" s="45" t="s">
        <v>498</v>
      </c>
      <c r="N395" s="50" t="s">
        <v>1584</v>
      </c>
      <c r="O395" s="46" t="s">
        <v>1834</v>
      </c>
      <c r="P395" s="76" t="s">
        <v>1835</v>
      </c>
    </row>
    <row r="396" spans="1:16" ht="256.5">
      <c r="A396" s="44">
        <v>393</v>
      </c>
      <c r="B396" s="44">
        <v>2</v>
      </c>
      <c r="C396" s="44">
        <v>3</v>
      </c>
      <c r="D396" s="45" t="str">
        <f>INDEX(Helper!$N$2:$N$4, MATCH(C396, Helper!$M$2:$M$4, 0))</f>
        <v>Advanced</v>
      </c>
      <c r="E396" s="45" t="s">
        <v>318</v>
      </c>
      <c r="F396" s="45" t="s">
        <v>336</v>
      </c>
      <c r="G396" s="5">
        <v>0</v>
      </c>
      <c r="H396" s="44">
        <v>1</v>
      </c>
      <c r="I396" s="44" t="str">
        <f>INDEX(Helper!$U:$U, MATCH(H396, Helper!$S:$S, 0))</f>
        <v>Standard (EADG)</v>
      </c>
      <c r="J396" s="44" t="s">
        <v>626</v>
      </c>
      <c r="K396" s="61" t="s">
        <v>11</v>
      </c>
      <c r="L396" s="44" t="str">
        <f>INDEX(Helper!$F:$F, MATCH(K396, Helper!$E:$E, 0))</f>
        <v>#E8AD1D</v>
      </c>
      <c r="M396" s="45" t="s">
        <v>1836</v>
      </c>
      <c r="N396" s="50" t="s">
        <v>1584</v>
      </c>
      <c r="O396" s="46" t="s">
        <v>1837</v>
      </c>
      <c r="P396" s="76" t="s">
        <v>1838</v>
      </c>
    </row>
    <row r="397" spans="1:16" ht="121.5">
      <c r="A397" s="44">
        <v>394</v>
      </c>
      <c r="B397" s="44">
        <v>2</v>
      </c>
      <c r="C397" s="44">
        <v>3</v>
      </c>
      <c r="D397" s="45" t="str">
        <f>INDEX(Helper!$N$2:$N$4, MATCH(C397, Helper!$M$2:$M$4, 0))</f>
        <v>Advanced</v>
      </c>
      <c r="E397" s="45" t="s">
        <v>254</v>
      </c>
      <c r="F397" s="45" t="s">
        <v>1318</v>
      </c>
      <c r="G397" s="5">
        <v>0</v>
      </c>
      <c r="H397" s="44">
        <v>1</v>
      </c>
      <c r="I397" s="44" t="str">
        <f>INDEX(Helper!$U:$U, MATCH(H397, Helper!$S:$S, 0))</f>
        <v>Standard (EADG)</v>
      </c>
      <c r="J397" s="44" t="s">
        <v>618</v>
      </c>
      <c r="K397" s="64" t="s">
        <v>15</v>
      </c>
      <c r="L397" s="44" t="str">
        <f>INDEX(Helper!$F:$F, MATCH(K397, Helper!$E:$E, 0))</f>
        <v>#C2C2A1</v>
      </c>
      <c r="M397" s="45" t="s">
        <v>1839</v>
      </c>
      <c r="N397" s="50" t="s">
        <v>1584</v>
      </c>
      <c r="O397" s="46" t="s">
        <v>1840</v>
      </c>
      <c r="P397" s="76" t="s">
        <v>1841</v>
      </c>
    </row>
    <row r="398" spans="1:16" ht="121.5">
      <c r="A398" s="44">
        <v>395</v>
      </c>
      <c r="B398" s="44">
        <v>2</v>
      </c>
      <c r="C398" s="44">
        <v>2</v>
      </c>
      <c r="D398" s="45" t="str">
        <f>INDEX(Helper!$N$2:$N$4, MATCH(C398, Helper!$M$2:$M$4, 0))</f>
        <v>Intermediate</v>
      </c>
      <c r="E398" s="45" t="s">
        <v>311</v>
      </c>
      <c r="F398" s="45" t="s">
        <v>312</v>
      </c>
      <c r="G398" s="5">
        <v>0</v>
      </c>
      <c r="H398" s="44">
        <v>1</v>
      </c>
      <c r="I398" s="44" t="str">
        <f>INDEX(Helper!$U:$U, MATCH(H398, Helper!$S:$S, 0))</f>
        <v>Standard (EADG)</v>
      </c>
      <c r="J398" s="44" t="s">
        <v>393</v>
      </c>
      <c r="K398" s="87" t="s">
        <v>1666</v>
      </c>
      <c r="L398" s="44" t="str">
        <f>INDEX(Helper!$F:$F, MATCH(K398, Helper!$E:$E, 0))</f>
        <v>#FFFFCC</v>
      </c>
      <c r="M398" s="45" t="s">
        <v>1842</v>
      </c>
      <c r="N398" s="50" t="s">
        <v>1584</v>
      </c>
      <c r="O398" s="46" t="s">
        <v>1843</v>
      </c>
      <c r="P398" s="76" t="s">
        <v>1844</v>
      </c>
    </row>
    <row r="399" spans="1:16" ht="216">
      <c r="A399" s="44">
        <v>396</v>
      </c>
      <c r="B399" s="44">
        <v>2</v>
      </c>
      <c r="C399" s="44">
        <v>2</v>
      </c>
      <c r="D399" s="45" t="str">
        <f>INDEX(Helper!$N$2:$N$4, MATCH(C399, Helper!$M$2:$M$4, 0))</f>
        <v>Intermediate</v>
      </c>
      <c r="E399" s="45" t="s">
        <v>271</v>
      </c>
      <c r="F399" s="45" t="s">
        <v>1845</v>
      </c>
      <c r="G399" s="5">
        <v>3</v>
      </c>
      <c r="H399" s="44">
        <v>1</v>
      </c>
      <c r="I399" s="44" t="str">
        <f>INDEX(Helper!$U:$U, MATCH(H399, Helper!$S:$S, 0))</f>
        <v>Standard (EADG)</v>
      </c>
      <c r="J399" s="44" t="s">
        <v>61</v>
      </c>
      <c r="K399" s="64" t="s">
        <v>15</v>
      </c>
      <c r="L399" s="44" t="str">
        <f>INDEX(Helper!$F:$F, MATCH(K399, Helper!$E:$E, 0))</f>
        <v>#C2C2A1</v>
      </c>
      <c r="M399" s="45" t="s">
        <v>1846</v>
      </c>
      <c r="N399" s="50" t="s">
        <v>1584</v>
      </c>
      <c r="O399" s="46" t="s">
        <v>1847</v>
      </c>
      <c r="P399" s="76" t="s">
        <v>1848</v>
      </c>
    </row>
    <row r="400" spans="1:16" ht="409.5">
      <c r="A400" s="44">
        <v>397</v>
      </c>
      <c r="B400" s="44">
        <v>2</v>
      </c>
      <c r="C400" s="44">
        <v>3</v>
      </c>
      <c r="D400" s="45" t="str">
        <f>INDEX(Helper!$N$2:$N$4, MATCH(C400, Helper!$M$2:$M$4, 0))</f>
        <v>Advanced</v>
      </c>
      <c r="E400" s="45" t="s">
        <v>271</v>
      </c>
      <c r="F400" s="45" t="s">
        <v>346</v>
      </c>
      <c r="G400" s="5">
        <v>3</v>
      </c>
      <c r="H400" s="44">
        <v>1</v>
      </c>
      <c r="I400" s="44" t="str">
        <f>INDEX(Helper!$U:$U, MATCH(H400, Helper!$S:$S, 0))</f>
        <v>Standard (EADG)</v>
      </c>
      <c r="J400" s="44" t="s">
        <v>618</v>
      </c>
      <c r="K400" s="64" t="s">
        <v>15</v>
      </c>
      <c r="L400" s="44" t="str">
        <f>INDEX(Helper!$F:$F, MATCH(K400, Helper!$E:$E, 0))</f>
        <v>#C2C2A1</v>
      </c>
      <c r="M400" s="45" t="s">
        <v>1849</v>
      </c>
      <c r="N400" s="50" t="s">
        <v>1584</v>
      </c>
      <c r="O400" s="46" t="s">
        <v>1850</v>
      </c>
      <c r="P400" s="76" t="s">
        <v>1851</v>
      </c>
    </row>
    <row r="401" spans="1:16" ht="121.5">
      <c r="A401" s="44">
        <v>398</v>
      </c>
      <c r="B401" s="44">
        <v>2</v>
      </c>
      <c r="C401" s="44">
        <v>1</v>
      </c>
      <c r="D401" s="45" t="str">
        <f>INDEX(Helper!$N$2:$N$4, MATCH(C401, Helper!$M$2:$M$4, 0))</f>
        <v>Beginner</v>
      </c>
      <c r="E401" s="45" t="s">
        <v>2581</v>
      </c>
      <c r="F401" s="45" t="s">
        <v>1852</v>
      </c>
      <c r="G401" s="5">
        <v>3</v>
      </c>
      <c r="H401" s="44">
        <v>2</v>
      </c>
      <c r="I401" s="44" t="str">
        <f>INDEX(Helper!$U:$U, MATCH(H401, Helper!$S:$S, 0))</f>
        <v>Drop D (DADG)</v>
      </c>
      <c r="J401" s="44" t="s">
        <v>794</v>
      </c>
      <c r="K401" s="65" t="s">
        <v>13</v>
      </c>
      <c r="L401" s="44" t="str">
        <f>INDEX(Helper!$F:$F, MATCH(K401, Helper!$E:$E, 0))</f>
        <v>#FF4F53</v>
      </c>
      <c r="M401" s="45" t="s">
        <v>1853</v>
      </c>
      <c r="N401" s="50" t="s">
        <v>1584</v>
      </c>
      <c r="O401" s="46" t="s">
        <v>1854</v>
      </c>
      <c r="P401" s="76" t="s">
        <v>1855</v>
      </c>
    </row>
    <row r="402" spans="1:16" ht="256.5">
      <c r="A402" s="44">
        <v>399</v>
      </c>
      <c r="B402" s="44">
        <v>2</v>
      </c>
      <c r="C402" s="44">
        <v>3</v>
      </c>
      <c r="D402" s="45" t="str">
        <f>INDEX(Helper!$N$2:$N$4, MATCH(C402, Helper!$M$2:$M$4, 0))</f>
        <v>Advanced</v>
      </c>
      <c r="E402" s="45" t="s">
        <v>90</v>
      </c>
      <c r="F402" s="45" t="s">
        <v>1856</v>
      </c>
      <c r="G402" s="5">
        <v>0</v>
      </c>
      <c r="H402" s="44">
        <v>1</v>
      </c>
      <c r="I402" s="44" t="str">
        <f>INDEX(Helper!$U:$U, MATCH(H402, Helper!$S:$S, 0))</f>
        <v>Standard (EADG)</v>
      </c>
      <c r="J402" s="44" t="s">
        <v>61</v>
      </c>
      <c r="K402" s="65" t="s">
        <v>13</v>
      </c>
      <c r="L402" s="44" t="str">
        <f>INDEX(Helper!$F:$F, MATCH(K402, Helper!$E:$E, 0))</f>
        <v>#FF4F53</v>
      </c>
      <c r="M402" s="45" t="s">
        <v>1857</v>
      </c>
      <c r="N402" s="50" t="s">
        <v>1584</v>
      </c>
      <c r="O402" s="46" t="s">
        <v>1858</v>
      </c>
      <c r="P402" s="76" t="s">
        <v>1859</v>
      </c>
    </row>
    <row r="403" spans="1:16" ht="121.5">
      <c r="A403" s="44">
        <v>400</v>
      </c>
      <c r="B403" s="44">
        <v>2</v>
      </c>
      <c r="C403" s="44">
        <v>1</v>
      </c>
      <c r="D403" s="45" t="str">
        <f>INDEX(Helper!$N$2:$N$4, MATCH(C403, Helper!$M$2:$M$4, 0))</f>
        <v>Beginner</v>
      </c>
      <c r="E403" s="45" t="s">
        <v>2581</v>
      </c>
      <c r="F403" s="45" t="s">
        <v>1860</v>
      </c>
      <c r="G403" s="5">
        <v>0</v>
      </c>
      <c r="H403" s="44">
        <v>2</v>
      </c>
      <c r="I403" s="44" t="str">
        <f>INDEX(Helper!$U:$U, MATCH(H403, Helper!$S:$S, 0))</f>
        <v>Drop D (DADG)</v>
      </c>
      <c r="J403" s="44" t="s">
        <v>65</v>
      </c>
      <c r="K403" s="65" t="s">
        <v>13</v>
      </c>
      <c r="L403" s="44" t="str">
        <f>INDEX(Helper!$F:$F, MATCH(K403, Helper!$E:$E, 0))</f>
        <v>#FF4F53</v>
      </c>
      <c r="M403" s="45" t="s">
        <v>474</v>
      </c>
      <c r="N403" s="50" t="s">
        <v>1584</v>
      </c>
      <c r="O403" s="46" t="s">
        <v>1861</v>
      </c>
      <c r="P403" s="76" t="s">
        <v>1862</v>
      </c>
    </row>
    <row r="404" spans="1:16" ht="54">
      <c r="A404" s="44">
        <v>401</v>
      </c>
      <c r="B404" s="44">
        <v>2</v>
      </c>
      <c r="C404" s="44">
        <v>2</v>
      </c>
      <c r="D404" s="45" t="str">
        <f>INDEX(Helper!$N$2:$N$4, MATCH(C404, Helper!$M$2:$M$4, 0))</f>
        <v>Intermediate</v>
      </c>
      <c r="E404" s="45" t="s">
        <v>2581</v>
      </c>
      <c r="F404" s="45" t="s">
        <v>1863</v>
      </c>
      <c r="G404" s="5">
        <v>0</v>
      </c>
      <c r="H404" s="44">
        <v>2</v>
      </c>
      <c r="I404" s="44" t="str">
        <f>INDEX(Helper!$U:$U, MATCH(H404, Helper!$S:$S, 0))</f>
        <v>Drop D (DADG)</v>
      </c>
      <c r="J404" s="44" t="s">
        <v>65</v>
      </c>
      <c r="K404" s="65" t="s">
        <v>13</v>
      </c>
      <c r="L404" s="44" t="str">
        <f>INDEX(Helper!$F:$F, MATCH(K404, Helper!$E:$E, 0))</f>
        <v>#FF4F53</v>
      </c>
      <c r="M404" s="45" t="s">
        <v>1864</v>
      </c>
      <c r="N404" s="50" t="s">
        <v>1584</v>
      </c>
      <c r="O404" s="46" t="s">
        <v>1865</v>
      </c>
      <c r="P404" s="76" t="s">
        <v>1866</v>
      </c>
    </row>
    <row r="405" spans="1:16" ht="324">
      <c r="A405" s="44">
        <v>402</v>
      </c>
      <c r="B405" s="44">
        <v>2</v>
      </c>
      <c r="C405" s="44">
        <v>3</v>
      </c>
      <c r="D405" s="45" t="str">
        <f>INDEX(Helper!$N$2:$N$4, MATCH(C405, Helper!$M$2:$M$4, 0))</f>
        <v>Advanced</v>
      </c>
      <c r="E405" s="45" t="s">
        <v>1867</v>
      </c>
      <c r="F405" s="45" t="s">
        <v>1868</v>
      </c>
      <c r="G405" s="5">
        <v>3</v>
      </c>
      <c r="H405" s="44">
        <v>1</v>
      </c>
      <c r="I405" s="44" t="str">
        <f>INDEX(Helper!$U:$U, MATCH(H405, Helper!$S:$S, 0))</f>
        <v>Standard (EADG)</v>
      </c>
      <c r="J405" s="44" t="s">
        <v>393</v>
      </c>
      <c r="K405" s="86" t="s">
        <v>1641</v>
      </c>
      <c r="L405" s="44" t="str">
        <f>INDEX(Helper!$F:$F, MATCH(K405, Helper!$E:$E, 0))</f>
        <v>#22AAD6</v>
      </c>
      <c r="M405" s="45" t="s">
        <v>1869</v>
      </c>
      <c r="N405" s="50" t="s">
        <v>1584</v>
      </c>
      <c r="O405" s="46" t="s">
        <v>1870</v>
      </c>
      <c r="P405" s="76" t="s">
        <v>1871</v>
      </c>
    </row>
    <row r="406" spans="1:16" ht="54">
      <c r="A406" s="44">
        <v>403</v>
      </c>
      <c r="B406" s="44">
        <v>2</v>
      </c>
      <c r="C406" s="44">
        <v>1</v>
      </c>
      <c r="D406" s="45" t="str">
        <f>INDEX(Helper!$N$2:$N$4, MATCH(C406, Helper!$M$2:$M$4, 0))</f>
        <v>Beginner</v>
      </c>
      <c r="E406" s="45" t="s">
        <v>40</v>
      </c>
      <c r="F406" s="45" t="s">
        <v>56</v>
      </c>
      <c r="G406" s="5">
        <v>0</v>
      </c>
      <c r="H406" s="44">
        <v>3</v>
      </c>
      <c r="I406" s="44" t="str">
        <f>INDEX(Helper!$U:$U, MATCH(H406, Helper!$S:$S, 0))</f>
        <v>Half Step Down (D#G#C#F#)</v>
      </c>
      <c r="J406" s="44" t="s">
        <v>68</v>
      </c>
      <c r="K406" s="65" t="s">
        <v>13</v>
      </c>
      <c r="L406" s="44" t="str">
        <f>INDEX(Helper!$F:$F, MATCH(K406, Helper!$E:$E, 0))</f>
        <v>#FF4F53</v>
      </c>
      <c r="M406" s="45" t="s">
        <v>429</v>
      </c>
      <c r="N406" s="45" t="s">
        <v>1737</v>
      </c>
      <c r="O406" s="46" t="s">
        <v>1872</v>
      </c>
      <c r="P406" s="76" t="s">
        <v>1873</v>
      </c>
    </row>
    <row r="407" spans="1:16" ht="256.5">
      <c r="A407" s="44">
        <v>404</v>
      </c>
      <c r="B407" s="44">
        <v>2</v>
      </c>
      <c r="C407" s="44">
        <v>2</v>
      </c>
      <c r="D407" s="45" t="str">
        <f>INDEX(Helper!$N$2:$N$4, MATCH(C407, Helper!$M$2:$M$4, 0))</f>
        <v>Intermediate</v>
      </c>
      <c r="E407" s="45" t="s">
        <v>186</v>
      </c>
      <c r="F407" s="45" t="s">
        <v>218</v>
      </c>
      <c r="G407" s="5">
        <v>0</v>
      </c>
      <c r="H407" s="44">
        <v>1</v>
      </c>
      <c r="I407" s="44" t="str">
        <f>INDEX(Helper!$U:$U, MATCH(H407, Helper!$S:$S, 0))</f>
        <v>Standard (EADG)</v>
      </c>
      <c r="J407" s="44" t="s">
        <v>61</v>
      </c>
      <c r="K407" s="59" t="s">
        <v>10</v>
      </c>
      <c r="L407" s="44" t="str">
        <f>INDEX(Helper!$F:$F, MATCH(K407, Helper!$E:$E, 0))</f>
        <v>#F5943C</v>
      </c>
      <c r="M407" s="45" t="s">
        <v>1874</v>
      </c>
      <c r="N407" s="50" t="s">
        <v>1584</v>
      </c>
      <c r="O407" s="46" t="s">
        <v>1875</v>
      </c>
      <c r="P407" s="76" t="s">
        <v>1876</v>
      </c>
    </row>
    <row r="408" spans="1:16" ht="270">
      <c r="A408" s="44">
        <v>405</v>
      </c>
      <c r="B408" s="44">
        <v>2</v>
      </c>
      <c r="C408" s="44">
        <v>2</v>
      </c>
      <c r="D408" s="45" t="str">
        <f>INDEX(Helper!$N$2:$N$4, MATCH(C408, Helper!$M$2:$M$4, 0))</f>
        <v>Intermediate</v>
      </c>
      <c r="E408" s="45" t="s">
        <v>1877</v>
      </c>
      <c r="F408" s="45" t="s">
        <v>1878</v>
      </c>
      <c r="G408" s="5">
        <v>0</v>
      </c>
      <c r="H408" s="44">
        <v>1</v>
      </c>
      <c r="I408" s="44" t="str">
        <f>INDEX(Helper!$U:$U, MATCH(H408, Helper!$S:$S, 0))</f>
        <v>Standard (EADG)</v>
      </c>
      <c r="J408" s="44" t="s">
        <v>626</v>
      </c>
      <c r="K408" s="88" t="s">
        <v>1587</v>
      </c>
      <c r="L408" s="44" t="str">
        <f>INDEX(Helper!$F:$F, MATCH(K408, Helper!$E:$E, 0))</f>
        <v>#B3F141</v>
      </c>
      <c r="M408" s="45" t="s">
        <v>1879</v>
      </c>
      <c r="N408" s="50" t="s">
        <v>1584</v>
      </c>
      <c r="O408" s="46" t="s">
        <v>1880</v>
      </c>
      <c r="P408" s="76" t="s">
        <v>1881</v>
      </c>
    </row>
    <row r="409" spans="1:16" ht="54">
      <c r="A409" s="44">
        <v>406</v>
      </c>
      <c r="B409" s="44">
        <v>2</v>
      </c>
      <c r="C409" s="44">
        <v>2</v>
      </c>
      <c r="D409" s="45" t="str">
        <f>INDEX(Helper!$N$2:$N$4, MATCH(C409, Helper!$M$2:$M$4, 0))</f>
        <v>Intermediate</v>
      </c>
      <c r="E409" s="45" t="s">
        <v>1882</v>
      </c>
      <c r="F409" s="45" t="s">
        <v>1883</v>
      </c>
      <c r="G409" s="5">
        <v>0</v>
      </c>
      <c r="H409" s="44">
        <v>1</v>
      </c>
      <c r="I409" s="44" t="str">
        <f>INDEX(Helper!$U:$U, MATCH(H409, Helper!$S:$S, 0))</f>
        <v>Standard (EADG)</v>
      </c>
      <c r="J409" s="44" t="s">
        <v>1268</v>
      </c>
      <c r="K409" s="57" t="s">
        <v>21</v>
      </c>
      <c r="L409" s="44" t="str">
        <f>INDEX(Helper!$F:$F, MATCH(K409, Helper!$E:$E, 0))</f>
        <v>#45F0E2</v>
      </c>
      <c r="M409" s="45" t="s">
        <v>1884</v>
      </c>
      <c r="N409" s="50" t="s">
        <v>1584</v>
      </c>
      <c r="O409" s="46" t="s">
        <v>1885</v>
      </c>
      <c r="P409" s="76" t="s">
        <v>1886</v>
      </c>
    </row>
    <row r="410" spans="1:16" ht="121.5">
      <c r="A410" s="44">
        <v>407</v>
      </c>
      <c r="B410" s="44">
        <v>2</v>
      </c>
      <c r="C410" s="44">
        <v>3</v>
      </c>
      <c r="D410" s="45" t="str">
        <f>INDEX(Helper!$N$2:$N$4, MATCH(C410, Helper!$M$2:$M$4, 0))</f>
        <v>Advanced</v>
      </c>
      <c r="E410" s="45" t="s">
        <v>1887</v>
      </c>
      <c r="F410" s="45" t="s">
        <v>1888</v>
      </c>
      <c r="G410" s="5">
        <v>0</v>
      </c>
      <c r="H410" s="44">
        <v>1</v>
      </c>
      <c r="I410" s="44" t="str">
        <f>INDEX(Helper!$U:$U, MATCH(H410, Helper!$S:$S, 0))</f>
        <v>Standard (EADG)</v>
      </c>
      <c r="J410" s="44" t="s">
        <v>66</v>
      </c>
      <c r="K410" s="87" t="s">
        <v>1666</v>
      </c>
      <c r="L410" s="44" t="str">
        <f>INDEX(Helper!$F:$F, MATCH(K410, Helper!$E:$E, 0))</f>
        <v>#FFFFCC</v>
      </c>
      <c r="M410" s="45" t="s">
        <v>1889</v>
      </c>
      <c r="N410" s="50" t="s">
        <v>1584</v>
      </c>
      <c r="O410" s="46" t="s">
        <v>1890</v>
      </c>
      <c r="P410" s="76" t="s">
        <v>1891</v>
      </c>
    </row>
    <row r="411" spans="1:16" ht="121.5">
      <c r="A411" s="44">
        <v>408</v>
      </c>
      <c r="B411" s="44">
        <v>2</v>
      </c>
      <c r="C411" s="44">
        <v>3</v>
      </c>
      <c r="D411" s="45" t="str">
        <f>INDEX(Helper!$N$2:$N$4, MATCH(C411, Helper!$M$2:$M$4, 0))</f>
        <v>Advanced</v>
      </c>
      <c r="E411" s="45" t="s">
        <v>1892</v>
      </c>
      <c r="F411" s="45" t="s">
        <v>1893</v>
      </c>
      <c r="G411" s="5">
        <v>0</v>
      </c>
      <c r="H411" s="44">
        <v>2</v>
      </c>
      <c r="I411" s="44" t="str">
        <f>INDEX(Helper!$U:$U, MATCH(H411, Helper!$S:$S, 0))</f>
        <v>Drop D (DADG)</v>
      </c>
      <c r="J411" s="44" t="s">
        <v>59</v>
      </c>
      <c r="K411" s="64" t="s">
        <v>15</v>
      </c>
      <c r="L411" s="44" t="str">
        <f>INDEX(Helper!$F:$F, MATCH(K411, Helper!$E:$E, 0))</f>
        <v>#C2C2A1</v>
      </c>
      <c r="M411" s="45" t="s">
        <v>1894</v>
      </c>
      <c r="N411" s="50" t="s">
        <v>1584</v>
      </c>
      <c r="O411" s="46" t="s">
        <v>1895</v>
      </c>
      <c r="P411" s="76" t="s">
        <v>1896</v>
      </c>
    </row>
    <row r="412" spans="1:16" ht="54">
      <c r="A412" s="44">
        <v>409</v>
      </c>
      <c r="B412" s="44">
        <v>2</v>
      </c>
      <c r="C412" s="44">
        <v>2</v>
      </c>
      <c r="D412" s="45" t="str">
        <f>INDEX(Helper!$N$2:$N$4, MATCH(C412, Helper!$M$2:$M$4, 0))</f>
        <v>Intermediate</v>
      </c>
      <c r="E412" s="45" t="s">
        <v>1897</v>
      </c>
      <c r="F412" s="45" t="s">
        <v>1898</v>
      </c>
      <c r="G412" s="5">
        <v>3</v>
      </c>
      <c r="H412" s="44">
        <v>1</v>
      </c>
      <c r="I412" s="44" t="str">
        <f>INDEX(Helper!$U:$U, MATCH(H412, Helper!$S:$S, 0))</f>
        <v>Standard (EADG)</v>
      </c>
      <c r="J412" s="44" t="s">
        <v>66</v>
      </c>
      <c r="K412" s="86" t="s">
        <v>1641</v>
      </c>
      <c r="L412" s="44" t="str">
        <f>INDEX(Helper!$F:$F, MATCH(K412, Helper!$E:$E, 0))</f>
        <v>#22AAD6</v>
      </c>
      <c r="M412" s="45" t="s">
        <v>1899</v>
      </c>
      <c r="N412" s="50" t="s">
        <v>1584</v>
      </c>
      <c r="O412" s="46" t="s">
        <v>1900</v>
      </c>
      <c r="P412" s="76" t="s">
        <v>1901</v>
      </c>
    </row>
    <row r="413" spans="1:16" ht="189">
      <c r="A413" s="44">
        <v>410</v>
      </c>
      <c r="B413" s="44">
        <v>2</v>
      </c>
      <c r="C413" s="44">
        <v>2</v>
      </c>
      <c r="D413" s="45" t="str">
        <f>INDEX(Helper!$N$2:$N$4, MATCH(C413, Helper!$M$2:$M$4, 0))</f>
        <v>Intermediate</v>
      </c>
      <c r="E413" s="45" t="s">
        <v>34</v>
      </c>
      <c r="F413" s="45" t="s">
        <v>1902</v>
      </c>
      <c r="G413" s="5">
        <v>0</v>
      </c>
      <c r="H413" s="44">
        <v>1</v>
      </c>
      <c r="I413" s="44" t="str">
        <f>INDEX(Helper!$U:$U, MATCH(H413, Helper!$S:$S, 0))</f>
        <v>Standard (EADG)</v>
      </c>
      <c r="J413" s="44" t="s">
        <v>393</v>
      </c>
      <c r="K413" s="59" t="s">
        <v>10</v>
      </c>
      <c r="L413" s="44" t="str">
        <f>INDEX(Helper!$F:$F, MATCH(K413, Helper!$E:$E, 0))</f>
        <v>#F5943C</v>
      </c>
      <c r="M413" s="45" t="s">
        <v>1903</v>
      </c>
      <c r="N413" s="45" t="s">
        <v>1737</v>
      </c>
      <c r="O413" s="46" t="s">
        <v>1904</v>
      </c>
      <c r="P413" s="76" t="s">
        <v>1905</v>
      </c>
    </row>
    <row r="414" spans="1:16" ht="256.5">
      <c r="A414" s="44">
        <v>411</v>
      </c>
      <c r="B414" s="44">
        <v>2</v>
      </c>
      <c r="C414" s="44">
        <v>1</v>
      </c>
      <c r="D414" s="45" t="str">
        <f>INDEX(Helper!$N$2:$N$4, MATCH(C414, Helper!$M$2:$M$4, 0))</f>
        <v>Beginner</v>
      </c>
      <c r="E414" s="45" t="s">
        <v>34</v>
      </c>
      <c r="F414" s="45" t="s">
        <v>228</v>
      </c>
      <c r="G414" s="5">
        <v>0</v>
      </c>
      <c r="H414" s="44">
        <v>1</v>
      </c>
      <c r="I414" s="44" t="str">
        <f>INDEX(Helper!$U:$U, MATCH(H414, Helper!$S:$S, 0))</f>
        <v>Standard (EADG)</v>
      </c>
      <c r="J414" s="44" t="s">
        <v>393</v>
      </c>
      <c r="K414" s="59" t="s">
        <v>10</v>
      </c>
      <c r="L414" s="44" t="str">
        <f>INDEX(Helper!$F:$F, MATCH(K414, Helper!$E:$E, 0))</f>
        <v>#F5943C</v>
      </c>
      <c r="M414" s="45" t="s">
        <v>402</v>
      </c>
      <c r="N414" s="45" t="s">
        <v>1906</v>
      </c>
      <c r="O414" s="46" t="s">
        <v>1907</v>
      </c>
      <c r="P414" s="76" t="s">
        <v>1908</v>
      </c>
    </row>
    <row r="415" spans="1:16" ht="121.5">
      <c r="A415" s="44">
        <v>412</v>
      </c>
      <c r="B415" s="44">
        <v>2</v>
      </c>
      <c r="C415" s="44">
        <v>1</v>
      </c>
      <c r="D415" s="45" t="str">
        <f>INDEX(Helper!$N$2:$N$4, MATCH(C415, Helper!$M$2:$M$4, 0))</f>
        <v>Beginner</v>
      </c>
      <c r="E415" s="45" t="s">
        <v>1909</v>
      </c>
      <c r="F415" s="45" t="s">
        <v>1910</v>
      </c>
      <c r="G415" s="5">
        <v>0</v>
      </c>
      <c r="H415" s="44">
        <v>1</v>
      </c>
      <c r="I415" s="44" t="str">
        <f>INDEX(Helper!$U:$U, MATCH(H415, Helper!$S:$S, 0))</f>
        <v>Standard (EADG)</v>
      </c>
      <c r="J415" s="44" t="s">
        <v>393</v>
      </c>
      <c r="K415" s="57" t="s">
        <v>21</v>
      </c>
      <c r="L415" s="44" t="str">
        <f>INDEX(Helper!$F:$F, MATCH(K415, Helper!$E:$E, 0))</f>
        <v>#45F0E2</v>
      </c>
      <c r="M415" s="45" t="s">
        <v>1911</v>
      </c>
      <c r="N415" s="50" t="s">
        <v>1584</v>
      </c>
      <c r="O415" s="46" t="s">
        <v>1912</v>
      </c>
      <c r="P415" s="77" t="s">
        <v>1913</v>
      </c>
    </row>
    <row r="416" spans="1:16" ht="54">
      <c r="A416" s="44">
        <v>413</v>
      </c>
      <c r="B416" s="44">
        <v>2</v>
      </c>
      <c r="C416" s="44">
        <v>1</v>
      </c>
      <c r="D416" s="45" t="str">
        <f>INDEX(Helper!$N$2:$N$4, MATCH(C416, Helper!$M$2:$M$4, 0))</f>
        <v>Beginner</v>
      </c>
      <c r="E416" s="45" t="s">
        <v>36</v>
      </c>
      <c r="F416" s="54" t="s">
        <v>51</v>
      </c>
      <c r="G416" s="5">
        <v>3</v>
      </c>
      <c r="H416" s="44">
        <v>1</v>
      </c>
      <c r="I416" s="44" t="str">
        <f>INDEX(Helper!$U:$U, MATCH(H416, Helper!$S:$S, 0))</f>
        <v>Standard (EADG)</v>
      </c>
      <c r="J416" s="44" t="s">
        <v>393</v>
      </c>
      <c r="K416" s="64" t="s">
        <v>15</v>
      </c>
      <c r="L416" s="44" t="str">
        <f>INDEX(Helper!$F:$F, MATCH(K416, Helper!$E:$E, 0))</f>
        <v>#C2C2A1</v>
      </c>
      <c r="M416" s="45" t="s">
        <v>487</v>
      </c>
      <c r="N416" s="50" t="s">
        <v>1584</v>
      </c>
      <c r="O416" s="46" t="s">
        <v>1914</v>
      </c>
      <c r="P416" s="76" t="s">
        <v>1915</v>
      </c>
    </row>
    <row r="417" spans="1:16" ht="148.5">
      <c r="A417" s="44">
        <v>414</v>
      </c>
      <c r="B417" s="44">
        <v>2</v>
      </c>
      <c r="C417" s="44">
        <v>1</v>
      </c>
      <c r="D417" s="45" t="str">
        <f>INDEX(Helper!$N$2:$N$4, MATCH(C417, Helper!$M$2:$M$4, 0))</f>
        <v>Beginner</v>
      </c>
      <c r="E417" s="45" t="s">
        <v>232</v>
      </c>
      <c r="F417" s="45" t="s">
        <v>1916</v>
      </c>
      <c r="G417" s="5">
        <v>3</v>
      </c>
      <c r="H417" s="44">
        <v>1</v>
      </c>
      <c r="I417" s="44" t="str">
        <f>INDEX(Helper!$U:$U, MATCH(H417, Helper!$S:$S, 0))</f>
        <v>Standard (EADG)</v>
      </c>
      <c r="J417" s="44" t="s">
        <v>618</v>
      </c>
      <c r="K417" s="65" t="s">
        <v>13</v>
      </c>
      <c r="L417" s="44" t="str">
        <f>INDEX(Helper!$F:$F, MATCH(K417, Helper!$E:$E, 0))</f>
        <v>#FF4F53</v>
      </c>
      <c r="M417" s="45" t="s">
        <v>430</v>
      </c>
      <c r="N417" s="50" t="s">
        <v>1584</v>
      </c>
      <c r="O417" s="46" t="s">
        <v>1917</v>
      </c>
      <c r="P417" s="76" t="s">
        <v>1918</v>
      </c>
    </row>
    <row r="418" spans="1:16" ht="135">
      <c r="A418" s="44">
        <v>415</v>
      </c>
      <c r="B418" s="44">
        <v>2</v>
      </c>
      <c r="C418" s="44">
        <v>1</v>
      </c>
      <c r="D418" s="45" t="str">
        <f>INDEX(Helper!$N$2:$N$4, MATCH(C418, Helper!$M$2:$M$4, 0))</f>
        <v>Beginner</v>
      </c>
      <c r="E418" s="45" t="s">
        <v>90</v>
      </c>
      <c r="F418" s="45" t="s">
        <v>1919</v>
      </c>
      <c r="G418" s="5">
        <v>0</v>
      </c>
      <c r="H418" s="44">
        <v>1</v>
      </c>
      <c r="I418" s="44" t="str">
        <f>INDEX(Helper!$U:$U, MATCH(H418, Helper!$S:$S, 0))</f>
        <v>Standard (EADG)</v>
      </c>
      <c r="J418" s="44" t="s">
        <v>618</v>
      </c>
      <c r="K418" s="65" t="s">
        <v>13</v>
      </c>
      <c r="L418" s="44" t="str">
        <f>INDEX(Helper!$F:$F, MATCH(K418, Helper!$E:$E, 0))</f>
        <v>#FF4F53</v>
      </c>
      <c r="M418" s="45" t="s">
        <v>1920</v>
      </c>
      <c r="N418" s="50" t="s">
        <v>1584</v>
      </c>
      <c r="O418" s="46" t="s">
        <v>1921</v>
      </c>
      <c r="P418" s="76" t="s">
        <v>1922</v>
      </c>
    </row>
    <row r="419" spans="1:16" ht="216">
      <c r="A419" s="44">
        <v>416</v>
      </c>
      <c r="B419" s="44">
        <v>2</v>
      </c>
      <c r="C419" s="44">
        <v>2</v>
      </c>
      <c r="D419" s="45" t="str">
        <f>INDEX(Helper!$N$2:$N$4, MATCH(C419, Helper!$M$2:$M$4, 0))</f>
        <v>Intermediate</v>
      </c>
      <c r="E419" s="45" t="s">
        <v>226</v>
      </c>
      <c r="F419" s="45" t="s">
        <v>1923</v>
      </c>
      <c r="G419" s="5">
        <v>3</v>
      </c>
      <c r="H419" s="44">
        <v>1</v>
      </c>
      <c r="I419" s="44" t="str">
        <f>INDEX(Helper!$U:$U, MATCH(H419, Helper!$S:$S, 0))</f>
        <v>Standard (EADG)</v>
      </c>
      <c r="J419" s="44" t="s">
        <v>61</v>
      </c>
      <c r="K419" s="88" t="s">
        <v>1587</v>
      </c>
      <c r="L419" s="44" t="str">
        <f>INDEX(Helper!$F:$F, MATCH(K419, Helper!$E:$E, 0))</f>
        <v>#B3F141</v>
      </c>
      <c r="M419" s="45" t="s">
        <v>1924</v>
      </c>
      <c r="N419" s="50" t="s">
        <v>1584</v>
      </c>
      <c r="O419" s="46" t="s">
        <v>1925</v>
      </c>
      <c r="P419" s="78" t="s">
        <v>1926</v>
      </c>
    </row>
    <row r="420" spans="1:16" ht="189">
      <c r="A420" s="44">
        <v>417</v>
      </c>
      <c r="B420" s="44">
        <v>2</v>
      </c>
      <c r="C420" s="44">
        <v>1</v>
      </c>
      <c r="D420" s="45" t="str">
        <f>INDEX(Helper!$N$2:$N$4, MATCH(C420, Helper!$M$2:$M$4, 0))</f>
        <v>Beginner</v>
      </c>
      <c r="E420" s="45" t="s">
        <v>307</v>
      </c>
      <c r="F420" s="45" t="s">
        <v>1927</v>
      </c>
      <c r="G420" s="5">
        <v>3</v>
      </c>
      <c r="H420" s="44">
        <v>1</v>
      </c>
      <c r="I420" s="44" t="str">
        <f>INDEX(Helper!$U:$U, MATCH(H420, Helper!$S:$S, 0))</f>
        <v>Standard (EADG)</v>
      </c>
      <c r="J420" s="44" t="s">
        <v>626</v>
      </c>
      <c r="K420" s="71" t="s">
        <v>27</v>
      </c>
      <c r="L420" s="44" t="str">
        <f>INDEX(Helper!$F:$F, MATCH(K420, Helper!$E:$E, 0))</f>
        <v>#B2DB4B</v>
      </c>
      <c r="M420" s="45" t="s">
        <v>1928</v>
      </c>
      <c r="N420" s="50" t="s">
        <v>1584</v>
      </c>
      <c r="O420" s="46" t="s">
        <v>1929</v>
      </c>
      <c r="P420" s="76" t="s">
        <v>1930</v>
      </c>
    </row>
    <row r="421" spans="1:16" ht="121.5">
      <c r="A421" s="44">
        <v>418</v>
      </c>
      <c r="B421" s="44">
        <v>2</v>
      </c>
      <c r="C421" s="44">
        <v>2</v>
      </c>
      <c r="D421" s="45" t="str">
        <f>INDEX(Helper!$N$2:$N$4, MATCH(C421, Helper!$M$2:$M$4, 0))</f>
        <v>Intermediate</v>
      </c>
      <c r="E421" s="45" t="s">
        <v>186</v>
      </c>
      <c r="F421" s="45" t="s">
        <v>1931</v>
      </c>
      <c r="G421" s="5">
        <v>3</v>
      </c>
      <c r="H421" s="44">
        <v>1</v>
      </c>
      <c r="I421" s="44" t="str">
        <f>INDEX(Helper!$U:$U, MATCH(H421, Helper!$S:$S, 0))</f>
        <v>Standard (EADG)</v>
      </c>
      <c r="J421" s="44" t="s">
        <v>393</v>
      </c>
      <c r="K421" s="59" t="s">
        <v>10</v>
      </c>
      <c r="L421" s="44" t="str">
        <f>INDEX(Helper!$F:$F, MATCH(K421, Helper!$E:$E, 0))</f>
        <v>#F5943C</v>
      </c>
      <c r="M421" s="45" t="s">
        <v>1932</v>
      </c>
      <c r="N421" s="45" t="s">
        <v>1737</v>
      </c>
      <c r="O421" s="46" t="s">
        <v>1933</v>
      </c>
      <c r="P421" s="76" t="s">
        <v>1934</v>
      </c>
    </row>
    <row r="422" spans="1:16" ht="148.5">
      <c r="A422" s="44">
        <v>419</v>
      </c>
      <c r="B422" s="44">
        <v>2</v>
      </c>
      <c r="C422" s="44">
        <v>2</v>
      </c>
      <c r="D422" s="45" t="str">
        <f>INDEX(Helper!$N$2:$N$4, MATCH(C422, Helper!$M$2:$M$4, 0))</f>
        <v>Intermediate</v>
      </c>
      <c r="E422" s="45" t="s">
        <v>1639</v>
      </c>
      <c r="F422" s="45" t="s">
        <v>1935</v>
      </c>
      <c r="G422" s="5">
        <v>0</v>
      </c>
      <c r="H422" s="44">
        <v>1</v>
      </c>
      <c r="I422" s="44" t="str">
        <f>INDEX(Helper!$U:$U, MATCH(H422, Helper!$S:$S, 0))</f>
        <v>Standard (EADG)</v>
      </c>
      <c r="J422" s="44" t="s">
        <v>61</v>
      </c>
      <c r="K422" s="86" t="s">
        <v>1641</v>
      </c>
      <c r="L422" s="44" t="str">
        <f>INDEX(Helper!$F:$F, MATCH(K422, Helper!$E:$E, 0))</f>
        <v>#22AAD6</v>
      </c>
      <c r="M422" s="45" t="s">
        <v>1936</v>
      </c>
      <c r="N422" s="50" t="s">
        <v>1584</v>
      </c>
      <c r="O422" s="46" t="s">
        <v>1937</v>
      </c>
      <c r="P422" s="76" t="s">
        <v>1938</v>
      </c>
    </row>
    <row r="423" spans="1:16" ht="121.5">
      <c r="A423" s="44">
        <v>420</v>
      </c>
      <c r="B423" s="44">
        <v>2</v>
      </c>
      <c r="C423" s="44">
        <v>2</v>
      </c>
      <c r="D423" s="45" t="str">
        <f>INDEX(Helper!$N$2:$N$4, MATCH(C423, Helper!$M$2:$M$4, 0))</f>
        <v>Intermediate</v>
      </c>
      <c r="E423" s="50" t="s">
        <v>1939</v>
      </c>
      <c r="F423" s="50" t="s">
        <v>1940</v>
      </c>
      <c r="G423" s="5">
        <v>0</v>
      </c>
      <c r="H423" s="44">
        <v>1</v>
      </c>
      <c r="I423" s="44" t="str">
        <f>INDEX(Helper!$U:$U, MATCH(H423, Helper!$S:$S, 0))</f>
        <v>Standard (EADG)</v>
      </c>
      <c r="J423" s="44" t="s">
        <v>626</v>
      </c>
      <c r="K423" s="86" t="s">
        <v>1641</v>
      </c>
      <c r="L423" s="44" t="str">
        <f>INDEX(Helper!$F:$F, MATCH(K423, Helper!$E:$E, 0))</f>
        <v>#22AAD6</v>
      </c>
      <c r="M423" s="45" t="s">
        <v>1941</v>
      </c>
      <c r="N423" s="50" t="s">
        <v>1584</v>
      </c>
      <c r="O423" s="46" t="s">
        <v>1942</v>
      </c>
      <c r="P423" s="76" t="s">
        <v>1943</v>
      </c>
    </row>
    <row r="424" spans="1:16" ht="256.5">
      <c r="A424" s="44">
        <v>421</v>
      </c>
      <c r="B424" s="44">
        <v>2</v>
      </c>
      <c r="C424" s="44">
        <v>2</v>
      </c>
      <c r="D424" s="45" t="str">
        <f>INDEX(Helper!$N$2:$N$4, MATCH(C424, Helper!$M$2:$M$4, 0))</f>
        <v>Intermediate</v>
      </c>
      <c r="E424" s="45" t="s">
        <v>1944</v>
      </c>
      <c r="F424" s="45" t="s">
        <v>1945</v>
      </c>
      <c r="G424" s="5">
        <v>3</v>
      </c>
      <c r="H424" s="44">
        <v>1</v>
      </c>
      <c r="I424" s="44" t="str">
        <f>INDEX(Helper!$U:$U, MATCH(H424, Helper!$S:$S, 0))</f>
        <v>Standard (EADG)</v>
      </c>
      <c r="J424" s="44" t="s">
        <v>637</v>
      </c>
      <c r="K424" s="86" t="s">
        <v>1641</v>
      </c>
      <c r="L424" s="44" t="str">
        <f>INDEX(Helper!$F:$F, MATCH(K424, Helper!$E:$E, 0))</f>
        <v>#22AAD6</v>
      </c>
      <c r="M424" s="45" t="s">
        <v>1946</v>
      </c>
      <c r="N424" s="50" t="s">
        <v>1584</v>
      </c>
      <c r="O424" s="46" t="s">
        <v>1947</v>
      </c>
      <c r="P424" s="76" t="s">
        <v>1948</v>
      </c>
    </row>
    <row r="425" spans="1:16" ht="409.5">
      <c r="A425" s="44">
        <v>422</v>
      </c>
      <c r="B425" s="44">
        <v>2</v>
      </c>
      <c r="C425" s="44">
        <v>2</v>
      </c>
      <c r="D425" s="45" t="str">
        <f>INDEX(Helper!$N$2:$N$4, MATCH(C425, Helper!$M$2:$M$4, 0))</f>
        <v>Intermediate</v>
      </c>
      <c r="E425" s="45" t="s">
        <v>1949</v>
      </c>
      <c r="F425" s="45" t="s">
        <v>1950</v>
      </c>
      <c r="G425" s="5">
        <v>0</v>
      </c>
      <c r="H425" s="44">
        <v>4</v>
      </c>
      <c r="I425" s="44" t="str">
        <f>INDEX(Helper!$U:$U, MATCH(H425, Helper!$S:$S, 0))</f>
        <v>FCGC</v>
      </c>
      <c r="J425" s="44" t="s">
        <v>68</v>
      </c>
      <c r="K425" s="71" t="s">
        <v>27</v>
      </c>
      <c r="L425" s="44" t="str">
        <f>INDEX(Helper!$F:$F, MATCH(K425, Helper!$E:$E, 0))</f>
        <v>#B2DB4B</v>
      </c>
      <c r="M425" s="45" t="s">
        <v>1951</v>
      </c>
      <c r="N425" s="50" t="s">
        <v>1584</v>
      </c>
      <c r="O425" s="46" t="s">
        <v>1952</v>
      </c>
      <c r="P425" s="76" t="s">
        <v>1953</v>
      </c>
    </row>
    <row r="426" spans="1:16" ht="67.5">
      <c r="A426" s="44">
        <v>423</v>
      </c>
      <c r="B426" s="44">
        <v>2</v>
      </c>
      <c r="C426" s="44">
        <v>2</v>
      </c>
      <c r="D426" s="45" t="str">
        <f>INDEX(Helper!$N$2:$N$4, MATCH(C426, Helper!$M$2:$M$4, 0))</f>
        <v>Intermediate</v>
      </c>
      <c r="E426" s="45" t="s">
        <v>1954</v>
      </c>
      <c r="F426" s="45" t="s">
        <v>1955</v>
      </c>
      <c r="G426" s="5">
        <v>0</v>
      </c>
      <c r="H426" s="44">
        <v>3</v>
      </c>
      <c r="I426" s="44" t="str">
        <f>INDEX(Helper!$U:$U, MATCH(H426, Helper!$S:$S, 0))</f>
        <v>Half Step Down (D#G#C#F#)</v>
      </c>
      <c r="J426" s="44" t="s">
        <v>68</v>
      </c>
      <c r="K426" s="91" t="s">
        <v>1617</v>
      </c>
      <c r="L426" s="44" t="str">
        <f>INDEX(Helper!$F:$F, MATCH(K426, Helper!$E:$E, 0))</f>
        <v>#FFE129</v>
      </c>
      <c r="M426" s="45" t="s">
        <v>1956</v>
      </c>
      <c r="N426" s="50" t="s">
        <v>1584</v>
      </c>
      <c r="O426" s="46" t="s">
        <v>1957</v>
      </c>
      <c r="P426" s="76" t="s">
        <v>1958</v>
      </c>
    </row>
    <row r="427" spans="1:16" ht="121.5">
      <c r="A427" s="44">
        <v>424</v>
      </c>
      <c r="B427" s="44">
        <v>2</v>
      </c>
      <c r="C427" s="44">
        <v>2</v>
      </c>
      <c r="D427" s="45" t="str">
        <f>INDEX(Helper!$N$2:$N$4, MATCH(C427, Helper!$M$2:$M$4, 0))</f>
        <v>Intermediate</v>
      </c>
      <c r="E427" s="50" t="s">
        <v>1649</v>
      </c>
      <c r="F427" s="45" t="s">
        <v>1959</v>
      </c>
      <c r="G427" s="5">
        <v>0</v>
      </c>
      <c r="H427" s="44">
        <v>1</v>
      </c>
      <c r="I427" s="44" t="str">
        <f>INDEX(Helper!$U:$U, MATCH(H427, Helper!$S:$S, 0))</f>
        <v>Standard (EADG)</v>
      </c>
      <c r="J427" s="44" t="s">
        <v>65</v>
      </c>
      <c r="K427" s="86" t="s">
        <v>1641</v>
      </c>
      <c r="L427" s="44" t="str">
        <f>INDEX(Helper!$F:$F, MATCH(K427, Helper!$E:$E, 0))</f>
        <v>#22AAD6</v>
      </c>
      <c r="M427" s="45" t="s">
        <v>1960</v>
      </c>
      <c r="N427" s="50" t="s">
        <v>1584</v>
      </c>
      <c r="O427" s="46" t="s">
        <v>1961</v>
      </c>
      <c r="P427" s="76" t="s">
        <v>1962</v>
      </c>
    </row>
    <row r="428" spans="1:16" ht="256.5">
      <c r="A428" s="44">
        <v>425</v>
      </c>
      <c r="B428" s="44">
        <v>2</v>
      </c>
      <c r="C428" s="44">
        <v>3</v>
      </c>
      <c r="D428" s="45" t="str">
        <f>INDEX(Helper!$N$2:$N$4, MATCH(C428, Helper!$M$2:$M$4, 0))</f>
        <v>Advanced</v>
      </c>
      <c r="E428" s="45" t="s">
        <v>1639</v>
      </c>
      <c r="F428" s="45" t="s">
        <v>1963</v>
      </c>
      <c r="G428" s="5">
        <v>0</v>
      </c>
      <c r="H428" s="44">
        <v>1</v>
      </c>
      <c r="I428" s="44" t="str">
        <f>INDEX(Helper!$U:$U, MATCH(H428, Helper!$S:$S, 0))</f>
        <v>Standard (EADG)</v>
      </c>
      <c r="J428" s="44" t="s">
        <v>842</v>
      </c>
      <c r="K428" s="86" t="s">
        <v>1641</v>
      </c>
      <c r="L428" s="44" t="str">
        <f>INDEX(Helper!$F:$F, MATCH(K428, Helper!$E:$E, 0))</f>
        <v>#22AAD6</v>
      </c>
      <c r="M428" s="45" t="s">
        <v>1964</v>
      </c>
      <c r="N428" s="50" t="s">
        <v>1584</v>
      </c>
      <c r="O428" s="46" t="s">
        <v>1965</v>
      </c>
      <c r="P428" s="76" t="s">
        <v>1966</v>
      </c>
    </row>
    <row r="429" spans="1:16" ht="189">
      <c r="A429" s="44">
        <v>426</v>
      </c>
      <c r="B429" s="44">
        <v>2</v>
      </c>
      <c r="C429" s="44">
        <v>2</v>
      </c>
      <c r="D429" s="45" t="str">
        <f>INDEX(Helper!$N$2:$N$4, MATCH(C429, Helper!$M$2:$M$4, 0))</f>
        <v>Intermediate</v>
      </c>
      <c r="E429" s="45" t="s">
        <v>42</v>
      </c>
      <c r="F429" s="45" t="s">
        <v>1967</v>
      </c>
      <c r="G429" s="5">
        <v>0</v>
      </c>
      <c r="H429" s="44">
        <v>1</v>
      </c>
      <c r="I429" s="44" t="str">
        <f>INDEX(Helper!$U:$U, MATCH(H429, Helper!$S:$S, 0))</f>
        <v>Standard (EADG)</v>
      </c>
      <c r="J429" s="44" t="s">
        <v>393</v>
      </c>
      <c r="K429" s="57" t="s">
        <v>21</v>
      </c>
      <c r="L429" s="44" t="str">
        <f>INDEX(Helper!$F:$F, MATCH(K429, Helper!$E:$E, 0))</f>
        <v>#45F0E2</v>
      </c>
      <c r="M429" s="45" t="s">
        <v>1968</v>
      </c>
      <c r="N429" s="50" t="s">
        <v>1584</v>
      </c>
      <c r="O429" s="46" t="s">
        <v>1969</v>
      </c>
      <c r="P429" s="76" t="s">
        <v>1970</v>
      </c>
    </row>
    <row r="430" spans="1:16" ht="189">
      <c r="A430" s="44">
        <v>427</v>
      </c>
      <c r="B430" s="44">
        <v>2</v>
      </c>
      <c r="C430" s="44">
        <v>1</v>
      </c>
      <c r="D430" s="45" t="str">
        <f>INDEX(Helper!$N$2:$N$4, MATCH(C430, Helper!$M$2:$M$4, 0))</f>
        <v>Beginner</v>
      </c>
      <c r="E430" s="45" t="s">
        <v>1971</v>
      </c>
      <c r="F430" s="45" t="s">
        <v>1972</v>
      </c>
      <c r="G430" s="5">
        <v>3</v>
      </c>
      <c r="H430" s="44">
        <v>1</v>
      </c>
      <c r="I430" s="44" t="str">
        <f>INDEX(Helper!$U:$U, MATCH(H430, Helper!$S:$S, 0))</f>
        <v>Standard (EADG)</v>
      </c>
      <c r="J430" s="44" t="s">
        <v>393</v>
      </c>
      <c r="K430" s="86" t="s">
        <v>1641</v>
      </c>
      <c r="L430" s="44" t="str">
        <f>INDEX(Helper!$F:$F, MATCH(K430, Helper!$E:$E, 0))</f>
        <v>#22AAD6</v>
      </c>
      <c r="M430" s="45" t="s">
        <v>1973</v>
      </c>
      <c r="N430" s="50" t="s">
        <v>1584</v>
      </c>
      <c r="O430" s="47" t="s">
        <v>1974</v>
      </c>
      <c r="P430" s="76" t="s">
        <v>1975</v>
      </c>
    </row>
    <row r="431" spans="1:16" ht="409.5">
      <c r="A431" s="44">
        <v>428</v>
      </c>
      <c r="B431" s="44">
        <v>2</v>
      </c>
      <c r="C431" s="44">
        <v>2</v>
      </c>
      <c r="D431" s="45" t="str">
        <f>INDEX(Helper!$N$2:$N$4, MATCH(C431, Helper!$M$2:$M$4, 0))</f>
        <v>Intermediate</v>
      </c>
      <c r="E431" s="45" t="s">
        <v>1976</v>
      </c>
      <c r="F431" s="45" t="s">
        <v>1977</v>
      </c>
      <c r="G431" s="5">
        <v>3</v>
      </c>
      <c r="H431" s="44">
        <v>1</v>
      </c>
      <c r="I431" s="44" t="str">
        <f>INDEX(Helper!$U:$U, MATCH(H431, Helper!$S:$S, 0))</f>
        <v>Standard (EADG)</v>
      </c>
      <c r="J431" s="44" t="s">
        <v>618</v>
      </c>
      <c r="K431" s="86" t="s">
        <v>1641</v>
      </c>
      <c r="L431" s="44" t="str">
        <f>INDEX(Helper!$F:$F, MATCH(K431, Helper!$E:$E, 0))</f>
        <v>#22AAD6</v>
      </c>
      <c r="M431" s="45" t="s">
        <v>1978</v>
      </c>
      <c r="N431" s="50" t="s">
        <v>1584</v>
      </c>
      <c r="O431" s="46" t="s">
        <v>1979</v>
      </c>
      <c r="P431" s="76" t="s">
        <v>1980</v>
      </c>
    </row>
    <row r="432" spans="1:16" ht="54">
      <c r="A432" s="44">
        <v>429</v>
      </c>
      <c r="B432" s="44">
        <v>2</v>
      </c>
      <c r="C432" s="44">
        <v>2</v>
      </c>
      <c r="D432" s="45" t="str">
        <f>INDEX(Helper!$N$2:$N$4, MATCH(C432, Helper!$M$2:$M$4, 0))</f>
        <v>Intermediate</v>
      </c>
      <c r="E432" s="50" t="s">
        <v>112</v>
      </c>
      <c r="F432" s="50" t="s">
        <v>1981</v>
      </c>
      <c r="G432" s="5">
        <v>0</v>
      </c>
      <c r="H432" s="44">
        <v>1</v>
      </c>
      <c r="I432" s="44" t="str">
        <f>INDEX(Helper!$U:$U, MATCH(H432, Helper!$S:$S, 0))</f>
        <v>Standard (EADG)</v>
      </c>
      <c r="J432" s="44" t="s">
        <v>842</v>
      </c>
      <c r="K432" s="71" t="s">
        <v>27</v>
      </c>
      <c r="L432" s="44" t="str">
        <f>INDEX(Helper!$F:$F, MATCH(K432, Helper!$E:$E, 0))</f>
        <v>#B2DB4B</v>
      </c>
      <c r="M432" s="50" t="s">
        <v>1982</v>
      </c>
      <c r="N432" s="50" t="s">
        <v>1584</v>
      </c>
      <c r="O432" s="47" t="s">
        <v>1983</v>
      </c>
      <c r="P432" s="74" t="s">
        <v>1984</v>
      </c>
    </row>
    <row r="433" spans="1:16" ht="409.5">
      <c r="A433" s="44">
        <v>430</v>
      </c>
      <c r="B433" s="44">
        <v>2</v>
      </c>
      <c r="C433" s="44">
        <v>3</v>
      </c>
      <c r="D433" s="45" t="str">
        <f>INDEX(Helper!$N$2:$N$4, MATCH(C433, Helper!$M$2:$M$4, 0))</f>
        <v>Advanced</v>
      </c>
      <c r="E433" s="50" t="s">
        <v>299</v>
      </c>
      <c r="F433" s="50" t="s">
        <v>1985</v>
      </c>
      <c r="G433" s="5">
        <v>0</v>
      </c>
      <c r="H433" s="44">
        <v>1</v>
      </c>
      <c r="I433" s="44" t="str">
        <f>INDEX(Helper!$U:$U, MATCH(H433, Helper!$S:$S, 0))</f>
        <v>Standard (EADG)</v>
      </c>
      <c r="J433" s="44" t="s">
        <v>70</v>
      </c>
      <c r="K433" s="59" t="s">
        <v>10</v>
      </c>
      <c r="L433" s="44" t="str">
        <f>INDEX(Helper!$F:$F, MATCH(K433, Helper!$E:$E, 0))</f>
        <v>#F5943C</v>
      </c>
      <c r="M433" s="50" t="s">
        <v>388</v>
      </c>
      <c r="N433" s="50" t="s">
        <v>1584</v>
      </c>
      <c r="O433" s="47" t="s">
        <v>1986</v>
      </c>
      <c r="P433" s="74" t="s">
        <v>1987</v>
      </c>
    </row>
    <row r="434" spans="1:16" ht="54">
      <c r="A434" s="44">
        <v>431</v>
      </c>
      <c r="B434" s="44">
        <v>2</v>
      </c>
      <c r="C434" s="44">
        <v>2</v>
      </c>
      <c r="D434" s="45" t="str">
        <f>INDEX(Helper!$N$2:$N$4, MATCH(C434, Helper!$M$2:$M$4, 0))</f>
        <v>Intermediate</v>
      </c>
      <c r="E434" s="50" t="s">
        <v>351</v>
      </c>
      <c r="F434" s="50" t="s">
        <v>1988</v>
      </c>
      <c r="G434" s="5">
        <v>0</v>
      </c>
      <c r="H434" s="44">
        <v>1</v>
      </c>
      <c r="I434" s="44" t="str">
        <f>INDEX(Helper!$U:$U, MATCH(H434, Helper!$S:$S, 0))</f>
        <v>Standard (EADG)</v>
      </c>
      <c r="J434" s="44" t="s">
        <v>393</v>
      </c>
      <c r="K434" s="64" t="s">
        <v>15</v>
      </c>
      <c r="L434" s="44" t="str">
        <f>INDEX(Helper!$F:$F, MATCH(K434, Helper!$E:$E, 0))</f>
        <v>#C2C2A1</v>
      </c>
      <c r="M434" s="50" t="s">
        <v>1989</v>
      </c>
      <c r="N434" s="50" t="s">
        <v>1584</v>
      </c>
      <c r="O434" s="47" t="s">
        <v>1990</v>
      </c>
      <c r="P434" s="74" t="s">
        <v>1991</v>
      </c>
    </row>
    <row r="435" spans="1:16" ht="148.5">
      <c r="A435" s="44">
        <v>432</v>
      </c>
      <c r="B435" s="44">
        <v>2</v>
      </c>
      <c r="C435" s="44">
        <v>1</v>
      </c>
      <c r="D435" s="45" t="str">
        <f>INDEX(Helper!$N$2:$N$4, MATCH(C435, Helper!$M$2:$M$4, 0))</f>
        <v>Beginner</v>
      </c>
      <c r="E435" s="50" t="s">
        <v>1992</v>
      </c>
      <c r="F435" s="50" t="s">
        <v>1993</v>
      </c>
      <c r="G435" s="5">
        <v>3</v>
      </c>
      <c r="H435" s="44">
        <v>1</v>
      </c>
      <c r="I435" s="44" t="str">
        <f>INDEX(Helper!$U:$U, MATCH(H435, Helper!$S:$S, 0))</f>
        <v>Standard (EADG)</v>
      </c>
      <c r="J435" s="44" t="s">
        <v>794</v>
      </c>
      <c r="K435" s="60" t="s">
        <v>371</v>
      </c>
      <c r="L435" s="44" t="str">
        <f>INDEX(Helper!$F:$F, MATCH(K435, Helper!$E:$E, 0))</f>
        <v>#B3F141</v>
      </c>
      <c r="M435" s="50" t="s">
        <v>1994</v>
      </c>
      <c r="N435" s="45" t="s">
        <v>1737</v>
      </c>
      <c r="O435" s="47" t="s">
        <v>1995</v>
      </c>
      <c r="P435" s="74" t="s">
        <v>1996</v>
      </c>
    </row>
    <row r="436" spans="1:16" ht="121.5">
      <c r="A436" s="44">
        <v>433</v>
      </c>
      <c r="B436" s="44">
        <v>2</v>
      </c>
      <c r="C436" s="44">
        <v>2</v>
      </c>
      <c r="D436" s="45" t="str">
        <f>INDEX(Helper!$N$2:$N$4, MATCH(C436, Helper!$M$2:$M$4, 0))</f>
        <v>Intermediate</v>
      </c>
      <c r="E436" s="50" t="s">
        <v>1997</v>
      </c>
      <c r="F436" s="50" t="s">
        <v>1998</v>
      </c>
      <c r="G436" s="5">
        <v>0</v>
      </c>
      <c r="H436" s="44">
        <v>1</v>
      </c>
      <c r="I436" s="44" t="str">
        <f>INDEX(Helper!$U:$U, MATCH(H436, Helper!$S:$S, 0))</f>
        <v>Standard (EADG)</v>
      </c>
      <c r="J436" s="44" t="s">
        <v>623</v>
      </c>
      <c r="K436" s="60" t="s">
        <v>371</v>
      </c>
      <c r="L436" s="44" t="str">
        <f>INDEX(Helper!$F:$F, MATCH(K436, Helper!$E:$E, 0))</f>
        <v>#B3F141</v>
      </c>
      <c r="M436" s="50" t="s">
        <v>1999</v>
      </c>
      <c r="N436" s="50" t="s">
        <v>1584</v>
      </c>
      <c r="O436" s="47" t="s">
        <v>2000</v>
      </c>
      <c r="P436" s="74" t="s">
        <v>2001</v>
      </c>
    </row>
    <row r="437" spans="1:16" ht="54">
      <c r="A437" s="44">
        <v>434</v>
      </c>
      <c r="B437" s="44">
        <v>2</v>
      </c>
      <c r="C437" s="44">
        <v>2</v>
      </c>
      <c r="D437" s="45" t="str">
        <f>INDEX(Helper!$N$2:$N$4, MATCH(C437, Helper!$M$2:$M$4, 0))</f>
        <v>Intermediate</v>
      </c>
      <c r="E437" s="50" t="s">
        <v>2002</v>
      </c>
      <c r="F437" s="50" t="s">
        <v>2003</v>
      </c>
      <c r="G437" s="5">
        <v>0</v>
      </c>
      <c r="H437" s="44">
        <v>1</v>
      </c>
      <c r="I437" s="44" t="str">
        <f>INDEX(Helper!$U:$U, MATCH(H437, Helper!$S:$S, 0))</f>
        <v>Standard (EADG)</v>
      </c>
      <c r="J437" s="44" t="s">
        <v>68</v>
      </c>
      <c r="K437" s="87" t="s">
        <v>1666</v>
      </c>
      <c r="L437" s="44" t="str">
        <f>INDEX(Helper!$F:$F, MATCH(K437, Helper!$E:$E, 0))</f>
        <v>#FFFFCC</v>
      </c>
      <c r="M437" s="50" t="s">
        <v>2004</v>
      </c>
      <c r="N437" s="50" t="s">
        <v>1584</v>
      </c>
      <c r="O437" s="47" t="s">
        <v>2005</v>
      </c>
      <c r="P437" s="74" t="s">
        <v>2006</v>
      </c>
    </row>
    <row r="438" spans="1:16" ht="54">
      <c r="A438" s="44">
        <v>435</v>
      </c>
      <c r="B438" s="44">
        <v>2</v>
      </c>
      <c r="C438" s="44">
        <v>1</v>
      </c>
      <c r="D438" s="45" t="str">
        <f>INDEX(Helper!$N$2:$N$4, MATCH(C438, Helper!$M$2:$M$4, 0))</f>
        <v>Beginner</v>
      </c>
      <c r="E438" s="50" t="s">
        <v>2007</v>
      </c>
      <c r="F438" s="50" t="s">
        <v>2008</v>
      </c>
      <c r="G438" s="5">
        <v>0</v>
      </c>
      <c r="H438" s="44">
        <v>1</v>
      </c>
      <c r="I438" s="44" t="str">
        <f>INDEX(Helper!$U:$U, MATCH(H438, Helper!$S:$S, 0))</f>
        <v>Standard (EADG)</v>
      </c>
      <c r="J438" s="44" t="s">
        <v>393</v>
      </c>
      <c r="K438" s="86" t="s">
        <v>1641</v>
      </c>
      <c r="L438" s="44" t="str">
        <f>INDEX(Helper!$F:$F, MATCH(K438, Helper!$E:$E, 0))</f>
        <v>#22AAD6</v>
      </c>
      <c r="M438" s="50" t="s">
        <v>2009</v>
      </c>
      <c r="N438" s="50" t="s">
        <v>1584</v>
      </c>
      <c r="O438" s="47" t="s">
        <v>2010</v>
      </c>
      <c r="P438" s="74" t="s">
        <v>2011</v>
      </c>
    </row>
    <row r="439" spans="1:16" ht="54">
      <c r="A439" s="44">
        <v>436</v>
      </c>
      <c r="B439" s="44">
        <v>2</v>
      </c>
      <c r="C439" s="44">
        <v>3</v>
      </c>
      <c r="D439" s="45" t="str">
        <f>INDEX(Helper!$N$2:$N$4, MATCH(C439, Helper!$M$2:$M$4, 0))</f>
        <v>Advanced</v>
      </c>
      <c r="E439" s="50" t="s">
        <v>2012</v>
      </c>
      <c r="F439" s="50" t="s">
        <v>2013</v>
      </c>
      <c r="G439" s="5">
        <v>3</v>
      </c>
      <c r="H439" s="44">
        <v>1</v>
      </c>
      <c r="I439" s="44" t="str">
        <f>INDEX(Helper!$U:$U, MATCH(H439, Helper!$S:$S, 0))</f>
        <v>Standard (EADG)</v>
      </c>
      <c r="J439" s="44" t="s">
        <v>65</v>
      </c>
      <c r="K439" s="60" t="s">
        <v>28</v>
      </c>
      <c r="L439" s="44" t="str">
        <f>INDEX(Helper!$F:$F, MATCH(K439, Helper!$E:$E, 0))</f>
        <v>#B3F141</v>
      </c>
      <c r="M439" s="50" t="s">
        <v>2014</v>
      </c>
      <c r="N439" s="50" t="s">
        <v>1584</v>
      </c>
      <c r="O439" s="47" t="s">
        <v>2015</v>
      </c>
      <c r="P439" s="74" t="s">
        <v>2016</v>
      </c>
    </row>
    <row r="440" spans="1:16" ht="189">
      <c r="A440" s="44">
        <v>437</v>
      </c>
      <c r="B440" s="44">
        <v>2</v>
      </c>
      <c r="C440" s="44">
        <v>2</v>
      </c>
      <c r="D440" s="45" t="str">
        <f>INDEX(Helper!$N$2:$N$4, MATCH(C440, Helper!$M$2:$M$4, 0))</f>
        <v>Intermediate</v>
      </c>
      <c r="E440" s="50" t="s">
        <v>2017</v>
      </c>
      <c r="F440" s="50" t="s">
        <v>2018</v>
      </c>
      <c r="G440" s="5">
        <v>0</v>
      </c>
      <c r="H440" s="44">
        <v>1</v>
      </c>
      <c r="I440" s="44" t="str">
        <f>INDEX(Helper!$U:$U, MATCH(H440, Helper!$S:$S, 0))</f>
        <v>Standard (EADG)</v>
      </c>
      <c r="J440" s="44" t="s">
        <v>393</v>
      </c>
      <c r="K440" s="86" t="s">
        <v>1641</v>
      </c>
      <c r="L440" s="44" t="str">
        <f>INDEX(Helper!$F:$F, MATCH(K440, Helper!$E:$E, 0))</f>
        <v>#22AAD6</v>
      </c>
      <c r="M440" s="50" t="s">
        <v>2019</v>
      </c>
      <c r="N440" s="50" t="s">
        <v>1584</v>
      </c>
      <c r="O440" s="47" t="s">
        <v>2020</v>
      </c>
      <c r="P440" s="74" t="s">
        <v>2021</v>
      </c>
    </row>
    <row r="441" spans="1:16" ht="121.5">
      <c r="A441" s="44">
        <v>438</v>
      </c>
      <c r="B441" s="44">
        <v>2</v>
      </c>
      <c r="C441" s="44">
        <v>2</v>
      </c>
      <c r="D441" s="45" t="str">
        <f>INDEX(Helper!$N$2:$N$4, MATCH(C441, Helper!$M$2:$M$4, 0))</f>
        <v>Intermediate</v>
      </c>
      <c r="E441" s="50" t="s">
        <v>1639</v>
      </c>
      <c r="F441" s="50" t="s">
        <v>2022</v>
      </c>
      <c r="G441" s="5">
        <v>0</v>
      </c>
      <c r="H441" s="44">
        <v>1</v>
      </c>
      <c r="I441" s="44" t="str">
        <f>INDEX(Helper!$U:$U, MATCH(H441, Helper!$S:$S, 0))</f>
        <v>Standard (EADG)</v>
      </c>
      <c r="J441" s="44" t="s">
        <v>1267</v>
      </c>
      <c r="K441" s="86" t="s">
        <v>1641</v>
      </c>
      <c r="L441" s="44" t="str">
        <f>INDEX(Helper!$F:$F, MATCH(K441, Helper!$E:$E, 0))</f>
        <v>#22AAD6</v>
      </c>
      <c r="M441" s="50" t="s">
        <v>2023</v>
      </c>
      <c r="N441" s="50" t="s">
        <v>1584</v>
      </c>
      <c r="O441" s="47" t="s">
        <v>2024</v>
      </c>
      <c r="P441" s="74" t="s">
        <v>2025</v>
      </c>
    </row>
    <row r="442" spans="1:16" ht="189">
      <c r="A442" s="44">
        <v>439</v>
      </c>
      <c r="B442" s="44">
        <v>2</v>
      </c>
      <c r="C442" s="44">
        <v>2</v>
      </c>
      <c r="D442" s="45" t="str">
        <f>INDEX(Helper!$N$2:$N$4, MATCH(C442, Helper!$M$2:$M$4, 0))</f>
        <v>Intermediate</v>
      </c>
      <c r="E442" s="50" t="s">
        <v>1887</v>
      </c>
      <c r="F442" s="50" t="s">
        <v>2026</v>
      </c>
      <c r="G442" s="5">
        <v>3</v>
      </c>
      <c r="H442" s="44">
        <v>1</v>
      </c>
      <c r="I442" s="44" t="str">
        <f>INDEX(Helper!$U:$U, MATCH(H442, Helper!$S:$S, 0))</f>
        <v>Standard (EADG)</v>
      </c>
      <c r="J442" s="44" t="s">
        <v>66</v>
      </c>
      <c r="K442" s="87" t="s">
        <v>1666</v>
      </c>
      <c r="L442" s="44" t="str">
        <f>INDEX(Helper!$F:$F, MATCH(K442, Helper!$E:$E, 0))</f>
        <v>#FFFFCC</v>
      </c>
      <c r="M442" s="50" t="s">
        <v>2027</v>
      </c>
      <c r="N442" s="50" t="s">
        <v>1584</v>
      </c>
      <c r="O442" s="47" t="s">
        <v>2028</v>
      </c>
      <c r="P442" s="74" t="s">
        <v>2029</v>
      </c>
    </row>
    <row r="443" spans="1:16" ht="364.5">
      <c r="A443" s="44">
        <v>440</v>
      </c>
      <c r="B443" s="44">
        <v>2</v>
      </c>
      <c r="C443" s="44">
        <v>2</v>
      </c>
      <c r="D443" s="45" t="str">
        <f>INDEX(Helper!$N$2:$N$4, MATCH(C443, Helper!$M$2:$M$4, 0))</f>
        <v>Intermediate</v>
      </c>
      <c r="E443" s="50" t="s">
        <v>2030</v>
      </c>
      <c r="F443" s="50" t="s">
        <v>2031</v>
      </c>
      <c r="G443" s="5">
        <v>0</v>
      </c>
      <c r="H443" s="44">
        <v>1</v>
      </c>
      <c r="I443" s="44" t="str">
        <f>INDEX(Helper!$U:$U, MATCH(H443, Helper!$S:$S, 0))</f>
        <v>Standard (EADG)</v>
      </c>
      <c r="J443" s="44" t="s">
        <v>393</v>
      </c>
      <c r="K443" s="60" t="s">
        <v>371</v>
      </c>
      <c r="L443" s="44" t="str">
        <f>INDEX(Helper!$F:$F, MATCH(K443, Helper!$E:$E, 0))</f>
        <v>#B3F141</v>
      </c>
      <c r="M443" s="51" t="s">
        <v>2032</v>
      </c>
      <c r="N443" s="50" t="s">
        <v>1584</v>
      </c>
      <c r="O443" s="52" t="s">
        <v>2033</v>
      </c>
      <c r="P443" s="74" t="s">
        <v>2034</v>
      </c>
    </row>
    <row r="444" spans="1:16" ht="148.5">
      <c r="A444" s="44">
        <v>441</v>
      </c>
      <c r="B444" s="44">
        <v>2</v>
      </c>
      <c r="C444" s="44">
        <v>1</v>
      </c>
      <c r="D444" s="45" t="str">
        <f>INDEX(Helper!$N$2:$N$4, MATCH(C444, Helper!$M$2:$M$4, 0))</f>
        <v>Beginner</v>
      </c>
      <c r="E444" s="50" t="s">
        <v>226</v>
      </c>
      <c r="F444" s="50" t="s">
        <v>106</v>
      </c>
      <c r="G444" s="5">
        <v>3</v>
      </c>
      <c r="H444" s="44">
        <v>1</v>
      </c>
      <c r="I444" s="44" t="str">
        <f>INDEX(Helper!$U:$U, MATCH(H444, Helper!$S:$S, 0))</f>
        <v>Standard (EADG)</v>
      </c>
      <c r="J444" s="44" t="s">
        <v>60</v>
      </c>
      <c r="K444" s="88" t="s">
        <v>1587</v>
      </c>
      <c r="L444" s="44" t="str">
        <f>INDEX(Helper!$F:$F, MATCH(K444, Helper!$E:$E, 0))</f>
        <v>#B3F141</v>
      </c>
      <c r="M444" s="50" t="s">
        <v>2035</v>
      </c>
      <c r="N444" s="50" t="s">
        <v>1584</v>
      </c>
      <c r="O444" s="47" t="s">
        <v>2036</v>
      </c>
      <c r="P444" s="74" t="s">
        <v>2037</v>
      </c>
    </row>
    <row r="445" spans="1:16" ht="202.5">
      <c r="A445" s="44">
        <v>442</v>
      </c>
      <c r="B445" s="44">
        <v>2</v>
      </c>
      <c r="C445" s="44">
        <v>1</v>
      </c>
      <c r="D445" s="45" t="str">
        <f>INDEX(Helper!$N$2:$N$4, MATCH(C445, Helper!$M$2:$M$4, 0))</f>
        <v>Beginner</v>
      </c>
      <c r="E445" s="50" t="s">
        <v>226</v>
      </c>
      <c r="F445" s="50" t="s">
        <v>2038</v>
      </c>
      <c r="G445" s="5">
        <v>3</v>
      </c>
      <c r="H445" s="44">
        <v>1</v>
      </c>
      <c r="I445" s="44" t="str">
        <f>INDEX(Helper!$U:$U, MATCH(H445, Helper!$S:$S, 0))</f>
        <v>Standard (EADG)</v>
      </c>
      <c r="J445" s="44" t="s">
        <v>68</v>
      </c>
      <c r="K445" s="88" t="s">
        <v>1587</v>
      </c>
      <c r="L445" s="44" t="str">
        <f>INDEX(Helper!$F:$F, MATCH(K445, Helper!$E:$E, 0))</f>
        <v>#B3F141</v>
      </c>
      <c r="M445" s="50" t="s">
        <v>2039</v>
      </c>
      <c r="N445" s="50" t="s">
        <v>1584</v>
      </c>
      <c r="O445" s="50" t="s">
        <v>2040</v>
      </c>
      <c r="P445" s="74" t="s">
        <v>2041</v>
      </c>
    </row>
    <row r="446" spans="1:16" ht="409.5">
      <c r="A446" s="44">
        <v>443</v>
      </c>
      <c r="B446" s="44">
        <v>2</v>
      </c>
      <c r="C446" s="44">
        <v>3</v>
      </c>
      <c r="D446" s="45" t="str">
        <f>INDEX(Helper!$N$2:$N$4, MATCH(C446, Helper!$M$2:$M$4, 0))</f>
        <v>Advanced</v>
      </c>
      <c r="E446" s="50" t="s">
        <v>2042</v>
      </c>
      <c r="F446" s="50" t="s">
        <v>2043</v>
      </c>
      <c r="G446" s="5">
        <v>3</v>
      </c>
      <c r="H446" s="44">
        <v>1</v>
      </c>
      <c r="I446" s="44" t="str">
        <f>INDEX(Helper!$U:$U, MATCH(H446, Helper!$S:$S, 0))</f>
        <v>Standard (EADG)</v>
      </c>
      <c r="J446" s="44" t="s">
        <v>619</v>
      </c>
      <c r="K446" s="86" t="s">
        <v>1641</v>
      </c>
      <c r="L446" s="44" t="str">
        <f>INDEX(Helper!$F:$F, MATCH(K446, Helper!$E:$E, 0))</f>
        <v>#22AAD6</v>
      </c>
      <c r="M446" s="50" t="s">
        <v>2044</v>
      </c>
      <c r="N446" s="50" t="s">
        <v>1584</v>
      </c>
      <c r="O446" s="47" t="s">
        <v>2045</v>
      </c>
      <c r="P446" s="74" t="s">
        <v>2046</v>
      </c>
    </row>
    <row r="447" spans="1:16" ht="54">
      <c r="A447" s="44">
        <v>444</v>
      </c>
      <c r="B447" s="44">
        <v>2</v>
      </c>
      <c r="C447" s="44">
        <v>2</v>
      </c>
      <c r="D447" s="45" t="str">
        <f>INDEX(Helper!$N$2:$N$4, MATCH(C447, Helper!$M$2:$M$4, 0))</f>
        <v>Intermediate</v>
      </c>
      <c r="E447" s="50" t="s">
        <v>2047</v>
      </c>
      <c r="F447" s="50" t="s">
        <v>2048</v>
      </c>
      <c r="G447" s="5">
        <v>0</v>
      </c>
      <c r="H447" s="44">
        <v>1</v>
      </c>
      <c r="I447" s="44" t="str">
        <f>INDEX(Helper!$U:$U, MATCH(H447, Helper!$S:$S, 0))</f>
        <v>Standard (EADG)</v>
      </c>
      <c r="J447" s="44" t="s">
        <v>623</v>
      </c>
      <c r="K447" s="60" t="s">
        <v>1253</v>
      </c>
      <c r="L447" s="44" t="str">
        <f>INDEX(Helper!$F:$F, MATCH(K447, Helper!$E:$E, 0))</f>
        <v>#B3F141</v>
      </c>
      <c r="M447" s="50" t="s">
        <v>2049</v>
      </c>
      <c r="N447" s="50" t="s">
        <v>1584</v>
      </c>
      <c r="O447" s="47" t="s">
        <v>2050</v>
      </c>
      <c r="P447" s="74" t="s">
        <v>2051</v>
      </c>
    </row>
    <row r="448" spans="1:16" ht="54">
      <c r="A448" s="44">
        <v>445</v>
      </c>
      <c r="B448" s="44">
        <v>2</v>
      </c>
      <c r="C448" s="44">
        <v>1</v>
      </c>
      <c r="D448" s="45" t="str">
        <f>INDEX(Helper!$N$2:$N$4, MATCH(C448, Helper!$M$2:$M$4, 0))</f>
        <v>Beginner</v>
      </c>
      <c r="E448" s="50" t="s">
        <v>2052</v>
      </c>
      <c r="F448" s="50" t="s">
        <v>2053</v>
      </c>
      <c r="G448" s="5">
        <v>3</v>
      </c>
      <c r="H448" s="44">
        <v>1</v>
      </c>
      <c r="I448" s="44" t="str">
        <f>INDEX(Helper!$U:$U, MATCH(H448, Helper!$S:$S, 0))</f>
        <v>Standard (EADG)</v>
      </c>
      <c r="J448" s="44" t="s">
        <v>393</v>
      </c>
      <c r="K448" s="91" t="s">
        <v>1617</v>
      </c>
      <c r="L448" s="44" t="str">
        <f>INDEX(Helper!$F:$F, MATCH(K448, Helper!$E:$E, 0))</f>
        <v>#FFE129</v>
      </c>
      <c r="M448" s="50" t="s">
        <v>2054</v>
      </c>
      <c r="N448" s="50" t="s">
        <v>1584</v>
      </c>
      <c r="O448" s="47" t="s">
        <v>2055</v>
      </c>
      <c r="P448" s="74" t="s">
        <v>2056</v>
      </c>
    </row>
    <row r="449" spans="1:16" ht="189">
      <c r="A449" s="44">
        <v>446</v>
      </c>
      <c r="B449" s="44">
        <v>2</v>
      </c>
      <c r="C449" s="44">
        <v>3</v>
      </c>
      <c r="D449" s="45" t="str">
        <f>INDEX(Helper!$N$2:$N$4, MATCH(C449, Helper!$M$2:$M$4, 0))</f>
        <v>Advanced</v>
      </c>
      <c r="E449" s="50" t="s">
        <v>351</v>
      </c>
      <c r="F449" s="50" t="s">
        <v>365</v>
      </c>
      <c r="G449" s="5">
        <v>0</v>
      </c>
      <c r="H449" s="44">
        <v>1</v>
      </c>
      <c r="I449" s="44" t="str">
        <f>INDEX(Helper!$U:$U, MATCH(H449, Helper!$S:$S, 0))</f>
        <v>Standard (EADG)</v>
      </c>
      <c r="J449" s="44" t="s">
        <v>618</v>
      </c>
      <c r="K449" s="64" t="s">
        <v>15</v>
      </c>
      <c r="L449" s="44" t="str">
        <f>INDEX(Helper!$F:$F, MATCH(K449, Helper!$E:$E, 0))</f>
        <v>#C2C2A1</v>
      </c>
      <c r="M449" s="50" t="s">
        <v>505</v>
      </c>
      <c r="N449" s="50" t="s">
        <v>1584</v>
      </c>
      <c r="O449" s="47" t="s">
        <v>2057</v>
      </c>
      <c r="P449" s="74" t="s">
        <v>2058</v>
      </c>
    </row>
    <row r="450" spans="1:16" ht="270">
      <c r="A450" s="44">
        <v>447</v>
      </c>
      <c r="B450" s="44">
        <v>2</v>
      </c>
      <c r="C450" s="44">
        <v>3</v>
      </c>
      <c r="D450" s="45" t="str">
        <f>INDEX(Helper!$N$2:$N$4, MATCH(C450, Helper!$M$2:$M$4, 0))</f>
        <v>Advanced</v>
      </c>
      <c r="E450" s="50" t="s">
        <v>351</v>
      </c>
      <c r="F450" s="50" t="s">
        <v>2059</v>
      </c>
      <c r="G450" s="5">
        <v>3</v>
      </c>
      <c r="H450" s="44">
        <v>1</v>
      </c>
      <c r="I450" s="44" t="str">
        <f>INDEX(Helper!$U:$U, MATCH(H450, Helper!$S:$S, 0))</f>
        <v>Standard (EADG)</v>
      </c>
      <c r="J450" s="44" t="s">
        <v>618</v>
      </c>
      <c r="K450" s="64" t="s">
        <v>15</v>
      </c>
      <c r="L450" s="44" t="str">
        <f>INDEX(Helper!$F:$F, MATCH(K450, Helper!$E:$E, 0))</f>
        <v>#C2C2A1</v>
      </c>
      <c r="M450" s="50" t="s">
        <v>2060</v>
      </c>
      <c r="N450" s="50" t="s">
        <v>1584</v>
      </c>
      <c r="O450" s="47" t="s">
        <v>2061</v>
      </c>
      <c r="P450" s="74" t="s">
        <v>2062</v>
      </c>
    </row>
    <row r="451" spans="1:16" ht="121.5">
      <c r="A451" s="44">
        <v>448</v>
      </c>
      <c r="B451" s="44">
        <v>2</v>
      </c>
      <c r="C451" s="44">
        <v>2</v>
      </c>
      <c r="D451" s="45" t="str">
        <f>INDEX(Helper!$N$2:$N$4, MATCH(C451, Helper!$M$2:$M$4, 0))</f>
        <v>Intermediate</v>
      </c>
      <c r="E451" s="50" t="s">
        <v>351</v>
      </c>
      <c r="F451" s="50" t="s">
        <v>2063</v>
      </c>
      <c r="G451" s="5">
        <v>3</v>
      </c>
      <c r="H451" s="44">
        <v>1</v>
      </c>
      <c r="I451" s="44" t="str">
        <f>INDEX(Helper!$U:$U, MATCH(H451, Helper!$S:$S, 0))</f>
        <v>Standard (EADG)</v>
      </c>
      <c r="J451" s="44" t="s">
        <v>61</v>
      </c>
      <c r="K451" s="64" t="s">
        <v>15</v>
      </c>
      <c r="L451" s="44" t="str">
        <f>INDEX(Helper!$F:$F, MATCH(K451, Helper!$E:$E, 0))</f>
        <v>#C2C2A1</v>
      </c>
      <c r="M451" s="50" t="s">
        <v>2064</v>
      </c>
      <c r="N451" s="50" t="s">
        <v>1584</v>
      </c>
      <c r="O451" s="47" t="s">
        <v>2065</v>
      </c>
      <c r="P451" s="74" t="s">
        <v>2066</v>
      </c>
    </row>
    <row r="452" spans="1:16" ht="135">
      <c r="A452" s="44">
        <v>449</v>
      </c>
      <c r="B452" s="44">
        <v>2</v>
      </c>
      <c r="C452" s="44">
        <v>2</v>
      </c>
      <c r="D452" s="45" t="str">
        <f>INDEX(Helper!$N$2:$N$4, MATCH(C452, Helper!$M$2:$M$4, 0))</f>
        <v>Intermediate</v>
      </c>
      <c r="E452" s="50" t="s">
        <v>1892</v>
      </c>
      <c r="F452" s="50" t="s">
        <v>2067</v>
      </c>
      <c r="G452" s="5">
        <v>3</v>
      </c>
      <c r="H452" s="44">
        <v>2</v>
      </c>
      <c r="I452" s="44" t="str">
        <f>INDEX(Helper!$U:$U, MATCH(H452, Helper!$S:$S, 0))</f>
        <v>Drop D (DADG)</v>
      </c>
      <c r="J452" s="44" t="s">
        <v>65</v>
      </c>
      <c r="K452" s="64" t="s">
        <v>15</v>
      </c>
      <c r="L452" s="44" t="str">
        <f>INDEX(Helper!$F:$F, MATCH(K452, Helper!$E:$E, 0))</f>
        <v>#C2C2A1</v>
      </c>
      <c r="M452" s="50" t="s">
        <v>2068</v>
      </c>
      <c r="N452" s="50" t="s">
        <v>1584</v>
      </c>
      <c r="O452" s="47" t="s">
        <v>2069</v>
      </c>
      <c r="P452" s="74" t="s">
        <v>2070</v>
      </c>
    </row>
    <row r="453" spans="1:16" ht="54">
      <c r="A453" s="44">
        <v>450</v>
      </c>
      <c r="B453" s="44">
        <v>2</v>
      </c>
      <c r="C453" s="44">
        <v>2</v>
      </c>
      <c r="D453" s="45" t="str">
        <f>INDEX(Helper!$N$2:$N$4, MATCH(C453, Helper!$M$2:$M$4, 0))</f>
        <v>Intermediate</v>
      </c>
      <c r="E453" s="50" t="s">
        <v>36</v>
      </c>
      <c r="F453" s="50" t="s">
        <v>2071</v>
      </c>
      <c r="G453" s="5">
        <v>0</v>
      </c>
      <c r="H453" s="44">
        <v>1</v>
      </c>
      <c r="I453" s="44" t="str">
        <f>INDEX(Helper!$U:$U, MATCH(H453, Helper!$S:$S, 0))</f>
        <v>Standard (EADG)</v>
      </c>
      <c r="J453" s="44" t="s">
        <v>618</v>
      </c>
      <c r="K453" s="64" t="s">
        <v>15</v>
      </c>
      <c r="L453" s="44" t="str">
        <f>INDEX(Helper!$F:$F, MATCH(K453, Helper!$E:$E, 0))</f>
        <v>#C2C2A1</v>
      </c>
      <c r="M453" s="50" t="s">
        <v>2072</v>
      </c>
      <c r="N453" s="50" t="s">
        <v>1584</v>
      </c>
      <c r="O453" s="50" t="s">
        <v>2073</v>
      </c>
      <c r="P453" s="74" t="s">
        <v>2074</v>
      </c>
    </row>
    <row r="454" spans="1:16" ht="135">
      <c r="A454" s="44">
        <v>451</v>
      </c>
      <c r="B454" s="44">
        <v>2</v>
      </c>
      <c r="C454" s="44">
        <v>1</v>
      </c>
      <c r="D454" s="45" t="str">
        <f>INDEX(Helper!$N$2:$N$4, MATCH(C454, Helper!$M$2:$M$4, 0))</f>
        <v>Beginner</v>
      </c>
      <c r="E454" s="50" t="s">
        <v>366</v>
      </c>
      <c r="F454" s="50" t="s">
        <v>2075</v>
      </c>
      <c r="G454" s="5">
        <v>3</v>
      </c>
      <c r="H454" s="44">
        <v>1</v>
      </c>
      <c r="I454" s="44" t="str">
        <f>INDEX(Helper!$U:$U, MATCH(H454, Helper!$S:$S, 0))</f>
        <v>Standard (EADG)</v>
      </c>
      <c r="J454" s="44" t="s">
        <v>393</v>
      </c>
      <c r="K454" s="59" t="s">
        <v>10</v>
      </c>
      <c r="L454" s="44" t="str">
        <f>INDEX(Helper!$F:$F, MATCH(K454, Helper!$E:$E, 0))</f>
        <v>#F5943C</v>
      </c>
      <c r="M454" s="50" t="s">
        <v>2076</v>
      </c>
      <c r="N454" s="50" t="s">
        <v>1584</v>
      </c>
      <c r="O454" s="50" t="s">
        <v>2077</v>
      </c>
      <c r="P454" s="74" t="s">
        <v>2078</v>
      </c>
    </row>
    <row r="455" spans="1:16" ht="256.5">
      <c r="A455" s="44">
        <v>452</v>
      </c>
      <c r="B455" s="44">
        <v>2</v>
      </c>
      <c r="C455" s="44">
        <v>2</v>
      </c>
      <c r="D455" s="45" t="str">
        <f>INDEX(Helper!$N$2:$N$4, MATCH(C455, Helper!$M$2:$M$4, 0))</f>
        <v>Intermediate</v>
      </c>
      <c r="E455" s="50" t="s">
        <v>78</v>
      </c>
      <c r="F455" s="50" t="s">
        <v>162</v>
      </c>
      <c r="G455" s="5">
        <v>3</v>
      </c>
      <c r="H455" s="44">
        <v>2</v>
      </c>
      <c r="I455" s="44" t="str">
        <f>INDEX(Helper!$U:$U, MATCH(H455, Helper!$S:$S, 0))</f>
        <v>Drop D (DADG)</v>
      </c>
      <c r="J455" s="44" t="s">
        <v>626</v>
      </c>
      <c r="K455" s="65" t="s">
        <v>13</v>
      </c>
      <c r="L455" s="44" t="str">
        <f>INDEX(Helper!$F:$F, MATCH(K455, Helper!$E:$E, 0))</f>
        <v>#FF4F53</v>
      </c>
      <c r="M455" s="50" t="s">
        <v>562</v>
      </c>
      <c r="N455" s="50" t="s">
        <v>1584</v>
      </c>
      <c r="O455" s="47" t="s">
        <v>2079</v>
      </c>
      <c r="P455" s="74" t="s">
        <v>2080</v>
      </c>
    </row>
    <row r="456" spans="1:16" ht="270">
      <c r="A456" s="44">
        <v>453</v>
      </c>
      <c r="B456" s="44">
        <v>2</v>
      </c>
      <c r="C456" s="44">
        <v>2</v>
      </c>
      <c r="D456" s="45" t="str">
        <f>INDEX(Helper!$N$2:$N$4, MATCH(C456, Helper!$M$2:$M$4, 0))</f>
        <v>Intermediate</v>
      </c>
      <c r="E456" s="50" t="s">
        <v>78</v>
      </c>
      <c r="F456" s="50" t="s">
        <v>79</v>
      </c>
      <c r="G456" s="5">
        <v>0</v>
      </c>
      <c r="H456" s="44">
        <v>1</v>
      </c>
      <c r="I456" s="44" t="str">
        <f>INDEX(Helper!$U:$U, MATCH(H456, Helper!$S:$S, 0))</f>
        <v>Standard (EADG)</v>
      </c>
      <c r="J456" s="44" t="s">
        <v>65</v>
      </c>
      <c r="K456" s="65" t="s">
        <v>13</v>
      </c>
      <c r="L456" s="44" t="str">
        <f>INDEX(Helper!$F:$F, MATCH(K456, Helper!$E:$E, 0))</f>
        <v>#FF4F53</v>
      </c>
      <c r="M456" s="50" t="s">
        <v>2081</v>
      </c>
      <c r="N456" s="50" t="s">
        <v>1584</v>
      </c>
      <c r="O456" s="47" t="s">
        <v>2082</v>
      </c>
      <c r="P456" s="74" t="s">
        <v>2083</v>
      </c>
    </row>
    <row r="457" spans="1:16" ht="189">
      <c r="A457" s="44">
        <v>454</v>
      </c>
      <c r="B457" s="44">
        <v>2</v>
      </c>
      <c r="C457" s="44">
        <v>2</v>
      </c>
      <c r="D457" s="45" t="str">
        <f>INDEX(Helper!$N$2:$N$4, MATCH(C457, Helper!$M$2:$M$4, 0))</f>
        <v>Intermediate</v>
      </c>
      <c r="E457" s="50" t="s">
        <v>309</v>
      </c>
      <c r="F457" s="50" t="s">
        <v>310</v>
      </c>
      <c r="G457" s="5">
        <v>0</v>
      </c>
      <c r="H457" s="44">
        <v>1</v>
      </c>
      <c r="I457" s="44" t="str">
        <f>INDEX(Helper!$U:$U, MATCH(H457, Helper!$S:$S, 0))</f>
        <v>Standard (EADG)</v>
      </c>
      <c r="J457" s="44" t="s">
        <v>66</v>
      </c>
      <c r="K457" s="61" t="s">
        <v>11</v>
      </c>
      <c r="L457" s="44" t="str">
        <f>INDEX(Helper!$F:$F, MATCH(K457, Helper!$E:$E, 0))</f>
        <v>#E8AD1D</v>
      </c>
      <c r="M457" s="50" t="s">
        <v>457</v>
      </c>
      <c r="N457" s="50" t="s">
        <v>1584</v>
      </c>
      <c r="O457" s="50" t="s">
        <v>2084</v>
      </c>
      <c r="P457" s="74" t="s">
        <v>2085</v>
      </c>
    </row>
    <row r="458" spans="1:16" ht="135">
      <c r="A458" s="44">
        <v>455</v>
      </c>
      <c r="B458" s="44">
        <v>2</v>
      </c>
      <c r="C458" s="44">
        <v>1</v>
      </c>
      <c r="D458" s="45" t="str">
        <f>INDEX(Helper!$N$2:$N$4, MATCH(C458, Helper!$M$2:$M$4, 0))</f>
        <v>Beginner</v>
      </c>
      <c r="E458" s="50" t="s">
        <v>2086</v>
      </c>
      <c r="F458" s="50" t="s">
        <v>2087</v>
      </c>
      <c r="G458" s="5">
        <v>3</v>
      </c>
      <c r="H458" s="44">
        <v>1</v>
      </c>
      <c r="I458" s="44" t="str">
        <f>INDEX(Helper!$U:$U, MATCH(H458, Helper!$S:$S, 0))</f>
        <v>Standard (EADG)</v>
      </c>
      <c r="J458" s="44" t="s">
        <v>65</v>
      </c>
      <c r="K458" s="59" t="s">
        <v>23</v>
      </c>
      <c r="L458" s="44" t="str">
        <f>INDEX(Helper!$F:$F, MATCH(K458, Helper!$E:$E, 0))</f>
        <v>#F1D764</v>
      </c>
      <c r="M458" s="50" t="s">
        <v>2088</v>
      </c>
      <c r="N458" s="50" t="s">
        <v>1584</v>
      </c>
      <c r="O458" s="47" t="s">
        <v>2089</v>
      </c>
      <c r="P458" s="74" t="s">
        <v>2090</v>
      </c>
    </row>
    <row r="459" spans="1:16" ht="121.5">
      <c r="A459" s="44">
        <v>456</v>
      </c>
      <c r="B459" s="44">
        <v>2</v>
      </c>
      <c r="C459" s="44">
        <v>1</v>
      </c>
      <c r="D459" s="45" t="str">
        <f>INDEX(Helper!$N$2:$N$4, MATCH(C459, Helper!$M$2:$M$4, 0))</f>
        <v>Beginner</v>
      </c>
      <c r="E459" s="50" t="s">
        <v>2007</v>
      </c>
      <c r="F459" s="50" t="s">
        <v>2091</v>
      </c>
      <c r="G459" s="5">
        <v>0</v>
      </c>
      <c r="H459" s="44">
        <v>1</v>
      </c>
      <c r="I459" s="44" t="str">
        <f>INDEX(Helper!$U:$U, MATCH(H459, Helper!$S:$S, 0))</f>
        <v>Standard (EADG)</v>
      </c>
      <c r="J459" s="44" t="s">
        <v>794</v>
      </c>
      <c r="K459" s="86" t="s">
        <v>1641</v>
      </c>
      <c r="L459" s="44" t="str">
        <f>INDEX(Helper!$F:$F, MATCH(K459, Helper!$E:$E, 0))</f>
        <v>#22AAD6</v>
      </c>
      <c r="M459" s="50" t="s">
        <v>2092</v>
      </c>
      <c r="N459" s="50" t="s">
        <v>1584</v>
      </c>
      <c r="O459" s="50" t="s">
        <v>2093</v>
      </c>
      <c r="P459" s="74" t="s">
        <v>2094</v>
      </c>
    </row>
    <row r="460" spans="1:16" ht="54">
      <c r="A460" s="44">
        <v>457</v>
      </c>
      <c r="B460" s="44">
        <v>2</v>
      </c>
      <c r="C460" s="44">
        <v>1</v>
      </c>
      <c r="D460" s="45" t="str">
        <f>INDEX(Helper!$N$2:$N$4, MATCH(C460, Helper!$M$2:$M$4, 0))</f>
        <v>Beginner</v>
      </c>
      <c r="E460" s="50" t="s">
        <v>2095</v>
      </c>
      <c r="F460" s="50" t="s">
        <v>2096</v>
      </c>
      <c r="G460" s="5">
        <v>0</v>
      </c>
      <c r="H460" s="44">
        <v>1</v>
      </c>
      <c r="I460" s="44" t="str">
        <f>INDEX(Helper!$U:$U, MATCH(H460, Helper!$S:$S, 0))</f>
        <v>Standard (EADG)</v>
      </c>
      <c r="J460" s="44" t="s">
        <v>60</v>
      </c>
      <c r="K460" s="60" t="s">
        <v>371</v>
      </c>
      <c r="L460" s="44" t="str">
        <f>INDEX(Helper!$F:$F, MATCH(K460, Helper!$E:$E, 0))</f>
        <v>#B3F141</v>
      </c>
      <c r="M460" s="50" t="s">
        <v>2097</v>
      </c>
      <c r="N460" s="50" t="s">
        <v>1584</v>
      </c>
      <c r="O460" s="47" t="s">
        <v>2098</v>
      </c>
      <c r="P460" s="74" t="s">
        <v>2099</v>
      </c>
    </row>
    <row r="461" spans="1:16" ht="229.5">
      <c r="A461" s="44">
        <v>458</v>
      </c>
      <c r="B461" s="44">
        <v>2</v>
      </c>
      <c r="C461" s="44">
        <v>2</v>
      </c>
      <c r="D461" s="45" t="str">
        <f>INDEX(Helper!$N$2:$N$4, MATCH(C461, Helper!$M$2:$M$4, 0))</f>
        <v>Intermediate</v>
      </c>
      <c r="E461" s="50" t="s">
        <v>259</v>
      </c>
      <c r="F461" s="50" t="s">
        <v>2100</v>
      </c>
      <c r="G461" s="5">
        <v>3</v>
      </c>
      <c r="H461" s="53">
        <v>1</v>
      </c>
      <c r="I461" s="44" t="str">
        <f>INDEX(Helper!$U:$U, MATCH(H461, Helper!$S:$S, 0))</f>
        <v>Standard (EADG)</v>
      </c>
      <c r="J461" s="44" t="s">
        <v>626</v>
      </c>
      <c r="K461" s="60" t="s">
        <v>371</v>
      </c>
      <c r="L461" s="44" t="str">
        <f>INDEX(Helper!$F:$F, MATCH(K461, Helper!$E:$E, 0))</f>
        <v>#B3F141</v>
      </c>
      <c r="M461" s="50" t="s">
        <v>2101</v>
      </c>
      <c r="N461" s="50" t="s">
        <v>1584</v>
      </c>
      <c r="O461" s="47" t="s">
        <v>2102</v>
      </c>
      <c r="P461" s="74" t="s">
        <v>2103</v>
      </c>
    </row>
    <row r="462" spans="1:16" ht="148.5">
      <c r="A462" s="44">
        <v>459</v>
      </c>
      <c r="B462" s="44">
        <v>2</v>
      </c>
      <c r="C462" s="44">
        <v>1</v>
      </c>
      <c r="D462" s="45" t="str">
        <f>INDEX(Helper!$N$2:$N$4, MATCH(C462, Helper!$M$2:$M$4, 0))</f>
        <v>Beginner</v>
      </c>
      <c r="E462" s="45" t="s">
        <v>2104</v>
      </c>
      <c r="F462" s="45" t="s">
        <v>2105</v>
      </c>
      <c r="G462" s="5">
        <v>0</v>
      </c>
      <c r="H462" s="44">
        <v>1</v>
      </c>
      <c r="I462" s="44" t="str">
        <f>INDEX(Helper!$U:$U, MATCH(H462, Helper!$S:$S, 0))</f>
        <v>Standard (EADG)</v>
      </c>
      <c r="J462" s="44" t="s">
        <v>61</v>
      </c>
      <c r="K462" s="86" t="s">
        <v>1641</v>
      </c>
      <c r="L462" s="44" t="str">
        <f>INDEX(Helper!$F:$F, MATCH(K462, Helper!$E:$E, 0))</f>
        <v>#22AAD6</v>
      </c>
      <c r="M462" s="45" t="s">
        <v>2106</v>
      </c>
      <c r="N462" s="50" t="s">
        <v>1584</v>
      </c>
      <c r="O462" s="45" t="s">
        <v>2107</v>
      </c>
      <c r="P462" s="74" t="s">
        <v>2108</v>
      </c>
    </row>
    <row r="463" spans="1:16" ht="270">
      <c r="A463" s="44">
        <v>460</v>
      </c>
      <c r="B463" s="44">
        <v>2</v>
      </c>
      <c r="C463" s="44">
        <v>3</v>
      </c>
      <c r="D463" s="45" t="str">
        <f>INDEX(Helper!$N$2:$N$4, MATCH(C463, Helper!$M$2:$M$4, 0))</f>
        <v>Advanced</v>
      </c>
      <c r="E463" s="45" t="s">
        <v>1603</v>
      </c>
      <c r="F463" s="45" t="s">
        <v>2109</v>
      </c>
      <c r="G463" s="5">
        <v>0</v>
      </c>
      <c r="H463" s="44">
        <v>1</v>
      </c>
      <c r="I463" s="44" t="str">
        <f>INDEX(Helper!$U:$U, MATCH(H463, Helper!$S:$S, 0))</f>
        <v>Standard (EADG)</v>
      </c>
      <c r="J463" s="44" t="s">
        <v>619</v>
      </c>
      <c r="K463" s="66" t="s">
        <v>370</v>
      </c>
      <c r="L463" s="44" t="str">
        <f>INDEX(Helper!$F:$F, MATCH(K463, Helper!$E:$E, 0))</f>
        <v>#B3F141</v>
      </c>
      <c r="M463" s="45" t="s">
        <v>2110</v>
      </c>
      <c r="N463" s="50" t="s">
        <v>1584</v>
      </c>
      <c r="O463" s="45" t="s">
        <v>2111</v>
      </c>
      <c r="P463" s="74" t="s">
        <v>2112</v>
      </c>
    </row>
    <row r="464" spans="1:16" ht="67.5">
      <c r="A464" s="44">
        <v>461</v>
      </c>
      <c r="B464" s="44">
        <v>2</v>
      </c>
      <c r="C464" s="44">
        <v>2</v>
      </c>
      <c r="D464" s="45" t="str">
        <f>INDEX(Helper!$N$2:$N$4, MATCH(C464, Helper!$M$2:$M$4, 0))</f>
        <v>Intermediate</v>
      </c>
      <c r="E464" s="45" t="s">
        <v>2113</v>
      </c>
      <c r="F464" s="45" t="s">
        <v>2114</v>
      </c>
      <c r="G464" s="5">
        <v>3</v>
      </c>
      <c r="H464" s="44">
        <v>1</v>
      </c>
      <c r="I464" s="44" t="str">
        <f>INDEX(Helper!$U:$U, MATCH(H464, Helper!$S:$S, 0))</f>
        <v>Standard (EADG)</v>
      </c>
      <c r="J464" s="44" t="s">
        <v>68</v>
      </c>
      <c r="K464" s="88" t="s">
        <v>1587</v>
      </c>
      <c r="L464" s="44" t="str">
        <f>INDEX(Helper!$F:$F, MATCH(K464, Helper!$E:$E, 0))</f>
        <v>#B3F141</v>
      </c>
      <c r="M464" s="45" t="s">
        <v>2115</v>
      </c>
      <c r="N464" s="50" t="s">
        <v>1584</v>
      </c>
      <c r="O464" s="46" t="s">
        <v>2116</v>
      </c>
      <c r="P464" s="74" t="s">
        <v>2117</v>
      </c>
    </row>
    <row r="465" spans="1:16" ht="148.5">
      <c r="A465" s="44">
        <v>462</v>
      </c>
      <c r="B465" s="44">
        <v>2</v>
      </c>
      <c r="C465" s="44">
        <v>2</v>
      </c>
      <c r="D465" s="45" t="str">
        <f>INDEX(Helper!$N$2:$N$4, MATCH(C465, Helper!$M$2:$M$4, 0))</f>
        <v>Intermediate</v>
      </c>
      <c r="E465" s="45" t="s">
        <v>2118</v>
      </c>
      <c r="F465" s="45" t="s">
        <v>2119</v>
      </c>
      <c r="G465" s="5">
        <v>3</v>
      </c>
      <c r="H465" s="44">
        <v>1</v>
      </c>
      <c r="I465" s="44" t="str">
        <f>INDEX(Helper!$U:$U, MATCH(H465, Helper!$S:$S, 0))</f>
        <v>Standard (EADG)</v>
      </c>
      <c r="J465" s="44" t="s">
        <v>65</v>
      </c>
      <c r="K465" s="60" t="s">
        <v>1253</v>
      </c>
      <c r="L465" s="44" t="str">
        <f>INDEX(Helper!$F:$F, MATCH(K465, Helper!$E:$E, 0))</f>
        <v>#B3F141</v>
      </c>
      <c r="M465" s="45" t="s">
        <v>2120</v>
      </c>
      <c r="N465" s="50" t="s">
        <v>1584</v>
      </c>
      <c r="O465" s="46" t="s">
        <v>2121</v>
      </c>
      <c r="P465" s="74" t="s">
        <v>2122</v>
      </c>
    </row>
    <row r="466" spans="1:16" ht="337.5">
      <c r="A466" s="44">
        <v>463</v>
      </c>
      <c r="B466" s="44">
        <v>2</v>
      </c>
      <c r="C466" s="44">
        <v>2</v>
      </c>
      <c r="D466" s="45" t="str">
        <f>INDEX(Helper!$N$2:$N$4, MATCH(C466, Helper!$M$2:$M$4, 0))</f>
        <v>Intermediate</v>
      </c>
      <c r="E466" s="45" t="s">
        <v>78</v>
      </c>
      <c r="F466" s="45" t="s">
        <v>2123</v>
      </c>
      <c r="G466" s="5">
        <v>0</v>
      </c>
      <c r="H466" s="44">
        <v>1</v>
      </c>
      <c r="I466" s="44" t="str">
        <f>INDEX(Helper!$U:$U, MATCH(H466, Helper!$S:$S, 0))</f>
        <v>Standard (EADG)</v>
      </c>
      <c r="J466" s="44" t="s">
        <v>626</v>
      </c>
      <c r="K466" s="65" t="s">
        <v>13</v>
      </c>
      <c r="L466" s="44" t="str">
        <f>INDEX(Helper!$F:$F, MATCH(K466, Helper!$E:$E, 0))</f>
        <v>#FF4F53</v>
      </c>
      <c r="M466" s="45" t="s">
        <v>2124</v>
      </c>
      <c r="N466" s="50" t="s">
        <v>1584</v>
      </c>
      <c r="O466" s="45" t="s">
        <v>2125</v>
      </c>
      <c r="P466" s="74" t="s">
        <v>2126</v>
      </c>
    </row>
    <row r="467" spans="1:16" ht="148.5">
      <c r="A467" s="44">
        <v>464</v>
      </c>
      <c r="B467" s="44">
        <v>2</v>
      </c>
      <c r="C467" s="44">
        <v>2</v>
      </c>
      <c r="D467" s="45" t="str">
        <f>INDEX(Helper!$N$2:$N$4, MATCH(C467, Helper!$M$2:$M$4, 0))</f>
        <v>Intermediate</v>
      </c>
      <c r="E467" s="45" t="s">
        <v>127</v>
      </c>
      <c r="F467" s="45" t="s">
        <v>128</v>
      </c>
      <c r="G467" s="5">
        <v>3</v>
      </c>
      <c r="H467" s="44">
        <v>1</v>
      </c>
      <c r="I467" s="44" t="str">
        <f>INDEX(Helper!$U:$U, MATCH(H467, Helper!$S:$S, 0))</f>
        <v>Standard (EADG)</v>
      </c>
      <c r="J467" s="44" t="s">
        <v>65</v>
      </c>
      <c r="K467" s="59" t="s">
        <v>10</v>
      </c>
      <c r="L467" s="44" t="str">
        <f>INDEX(Helper!$F:$F, MATCH(K467, Helper!$E:$E, 0))</f>
        <v>#F5943C</v>
      </c>
      <c r="M467" s="45" t="s">
        <v>2127</v>
      </c>
      <c r="N467" s="50" t="s">
        <v>1584</v>
      </c>
      <c r="O467" s="46" t="s">
        <v>2128</v>
      </c>
      <c r="P467" s="74" t="s">
        <v>2129</v>
      </c>
    </row>
    <row r="468" spans="1:16" ht="135">
      <c r="A468" s="44">
        <v>465</v>
      </c>
      <c r="B468" s="44">
        <v>2</v>
      </c>
      <c r="C468" s="44">
        <v>2</v>
      </c>
      <c r="D468" s="45" t="str">
        <f>INDEX(Helper!$N$2:$N$4, MATCH(C468, Helper!$M$2:$M$4, 0))</f>
        <v>Intermediate</v>
      </c>
      <c r="E468" s="45" t="s">
        <v>90</v>
      </c>
      <c r="F468" s="45" t="s">
        <v>2130</v>
      </c>
      <c r="G468" s="5">
        <v>3</v>
      </c>
      <c r="H468" s="44">
        <v>1</v>
      </c>
      <c r="I468" s="44" t="str">
        <f>INDEX(Helper!$U:$U, MATCH(H468, Helper!$S:$S, 0))</f>
        <v>Standard (EADG)</v>
      </c>
      <c r="J468" s="44" t="s">
        <v>637</v>
      </c>
      <c r="K468" s="65" t="s">
        <v>13</v>
      </c>
      <c r="L468" s="44" t="str">
        <f>INDEX(Helper!$F:$F, MATCH(K468, Helper!$E:$E, 0))</f>
        <v>#FF4F53</v>
      </c>
      <c r="M468" s="45" t="s">
        <v>2131</v>
      </c>
      <c r="N468" s="50" t="s">
        <v>1584</v>
      </c>
      <c r="O468" s="46" t="s">
        <v>2132</v>
      </c>
      <c r="P468" s="74" t="s">
        <v>2133</v>
      </c>
    </row>
    <row r="469" spans="1:16" ht="202.5">
      <c r="A469" s="44">
        <v>466</v>
      </c>
      <c r="B469" s="44">
        <v>2</v>
      </c>
      <c r="C469" s="44">
        <v>3</v>
      </c>
      <c r="D469" s="45" t="str">
        <f>INDEX(Helper!$N$2:$N$4, MATCH(C469, Helper!$M$2:$M$4, 0))</f>
        <v>Advanced</v>
      </c>
      <c r="E469" s="45" t="s">
        <v>90</v>
      </c>
      <c r="F469" s="45" t="s">
        <v>2134</v>
      </c>
      <c r="G469" s="5">
        <v>0</v>
      </c>
      <c r="H469" s="44">
        <v>1</v>
      </c>
      <c r="I469" s="44" t="str">
        <f>INDEX(Helper!$U:$U, MATCH(H469, Helper!$S:$S, 0))</f>
        <v>Standard (EADG)</v>
      </c>
      <c r="J469" s="44" t="s">
        <v>61</v>
      </c>
      <c r="K469" s="65" t="s">
        <v>13</v>
      </c>
      <c r="L469" s="44" t="str">
        <f>INDEX(Helper!$F:$F, MATCH(K469, Helper!$E:$E, 0))</f>
        <v>#FF4F53</v>
      </c>
      <c r="M469" s="45" t="s">
        <v>2135</v>
      </c>
      <c r="N469" s="50" t="s">
        <v>1584</v>
      </c>
      <c r="O469" s="46" t="s">
        <v>2136</v>
      </c>
      <c r="P469" s="74" t="s">
        <v>2137</v>
      </c>
    </row>
    <row r="470" spans="1:16" ht="54">
      <c r="A470" s="44">
        <v>467</v>
      </c>
      <c r="B470" s="44">
        <v>2</v>
      </c>
      <c r="C470" s="44">
        <v>2</v>
      </c>
      <c r="D470" s="45" t="str">
        <f>INDEX(Helper!$N$2:$N$4, MATCH(C470, Helper!$M$2:$M$4, 0))</f>
        <v>Intermediate</v>
      </c>
      <c r="E470" s="45" t="s">
        <v>2138</v>
      </c>
      <c r="F470" s="45" t="s">
        <v>2139</v>
      </c>
      <c r="G470" s="5">
        <v>0</v>
      </c>
      <c r="H470" s="44">
        <v>1</v>
      </c>
      <c r="I470" s="44" t="str">
        <f>INDEX(Helper!$U:$U, MATCH(H470, Helper!$S:$S, 0))</f>
        <v>Standard (EADG)</v>
      </c>
      <c r="J470" s="44" t="s">
        <v>66</v>
      </c>
      <c r="K470" s="86" t="s">
        <v>1641</v>
      </c>
      <c r="L470" s="44" t="str">
        <f>INDEX(Helper!$F:$F, MATCH(K470, Helper!$E:$E, 0))</f>
        <v>#22AAD6</v>
      </c>
      <c r="M470" s="45" t="s">
        <v>2140</v>
      </c>
      <c r="N470" s="50" t="s">
        <v>1584</v>
      </c>
      <c r="O470" s="45" t="s">
        <v>2141</v>
      </c>
      <c r="P470" s="76" t="s">
        <v>2142</v>
      </c>
    </row>
    <row r="471" spans="1:16" ht="121.5">
      <c r="A471" s="44">
        <v>468</v>
      </c>
      <c r="B471" s="44">
        <v>2</v>
      </c>
      <c r="C471" s="44">
        <v>3</v>
      </c>
      <c r="D471" s="45" t="str">
        <f>INDEX(Helper!$N$2:$N$4, MATCH(C471, Helper!$M$2:$M$4, 0))</f>
        <v>Advanced</v>
      </c>
      <c r="E471" s="45" t="s">
        <v>210</v>
      </c>
      <c r="F471" s="45" t="s">
        <v>2143</v>
      </c>
      <c r="G471" s="5">
        <v>0</v>
      </c>
      <c r="H471" s="44">
        <v>3</v>
      </c>
      <c r="I471" s="44" t="str">
        <f>INDEX(Helper!$U:$U, MATCH(H471, Helper!$S:$S, 0))</f>
        <v>Half Step Down (D#G#C#F#)</v>
      </c>
      <c r="J471" s="44" t="s">
        <v>68</v>
      </c>
      <c r="K471" s="57" t="s">
        <v>21</v>
      </c>
      <c r="L471" s="44" t="str">
        <f>INDEX(Helper!$F:$F, MATCH(K471, Helper!$E:$E, 0))</f>
        <v>#45F0E2</v>
      </c>
      <c r="M471" s="45" t="s">
        <v>2144</v>
      </c>
      <c r="N471" s="50" t="s">
        <v>1584</v>
      </c>
      <c r="O471" s="45" t="s">
        <v>2145</v>
      </c>
      <c r="P471" s="74" t="s">
        <v>2146</v>
      </c>
    </row>
    <row r="472" spans="1:16" ht="54">
      <c r="A472" s="44">
        <v>469</v>
      </c>
      <c r="B472" s="44">
        <v>2</v>
      </c>
      <c r="C472" s="44">
        <v>2</v>
      </c>
      <c r="D472" s="45" t="str">
        <f>INDEX(Helper!$N$2:$N$4, MATCH(C472, Helper!$M$2:$M$4, 0))</f>
        <v>Intermediate</v>
      </c>
      <c r="E472" s="45" t="s">
        <v>2147</v>
      </c>
      <c r="F472" s="45" t="s">
        <v>2148</v>
      </c>
      <c r="G472" s="5">
        <v>0</v>
      </c>
      <c r="H472" s="44">
        <v>2</v>
      </c>
      <c r="I472" s="44" t="str">
        <f>INDEX(Helper!$U:$U, MATCH(H472, Helper!$S:$S, 0))</f>
        <v>Drop D (DADG)</v>
      </c>
      <c r="J472" s="44" t="s">
        <v>61</v>
      </c>
      <c r="K472" s="60" t="s">
        <v>1253</v>
      </c>
      <c r="L472" s="44" t="str">
        <f>INDEX(Helper!$F:$F, MATCH(K472, Helper!$E:$E, 0))</f>
        <v>#B3F141</v>
      </c>
      <c r="M472" s="45" t="s">
        <v>2149</v>
      </c>
      <c r="N472" s="50" t="s">
        <v>1584</v>
      </c>
      <c r="O472" s="46" t="s">
        <v>2150</v>
      </c>
      <c r="P472" s="74" t="s">
        <v>2151</v>
      </c>
    </row>
    <row r="473" spans="1:16" ht="189">
      <c r="A473" s="44">
        <v>470</v>
      </c>
      <c r="B473" s="44">
        <v>2</v>
      </c>
      <c r="C473" s="44">
        <v>3</v>
      </c>
      <c r="D473" s="45" t="str">
        <f>INDEX(Helper!$N$2:$N$4, MATCH(C473, Helper!$M$2:$M$4, 0))</f>
        <v>Advanced</v>
      </c>
      <c r="E473" s="45" t="s">
        <v>1944</v>
      </c>
      <c r="F473" s="45" t="s">
        <v>2152</v>
      </c>
      <c r="G473" s="5">
        <v>0</v>
      </c>
      <c r="H473" s="44">
        <v>1</v>
      </c>
      <c r="I473" s="44" t="str">
        <f>INDEX(Helper!$U:$U, MATCH(H473, Helper!$S:$S, 0))</f>
        <v>Standard (EADG)</v>
      </c>
      <c r="J473" s="44" t="s">
        <v>1267</v>
      </c>
      <c r="K473" s="86" t="s">
        <v>1641</v>
      </c>
      <c r="L473" s="44" t="str">
        <f>INDEX(Helper!$F:$F, MATCH(K473, Helper!$E:$E, 0))</f>
        <v>#22AAD6</v>
      </c>
      <c r="M473" s="45" t="s">
        <v>2153</v>
      </c>
      <c r="N473" s="50" t="s">
        <v>1584</v>
      </c>
      <c r="O473" s="46" t="s">
        <v>2154</v>
      </c>
      <c r="P473" s="76" t="s">
        <v>2155</v>
      </c>
    </row>
    <row r="474" spans="1:16" ht="121.5">
      <c r="A474" s="44">
        <v>471</v>
      </c>
      <c r="B474" s="44">
        <v>2</v>
      </c>
      <c r="C474" s="44">
        <v>2</v>
      </c>
      <c r="D474" s="45" t="str">
        <f>INDEX(Helper!$N$2:$N$4, MATCH(C474, Helper!$M$2:$M$4, 0))</f>
        <v>Intermediate</v>
      </c>
      <c r="E474" s="45" t="s">
        <v>2156</v>
      </c>
      <c r="F474" s="45" t="s">
        <v>2157</v>
      </c>
      <c r="G474" s="5">
        <v>0</v>
      </c>
      <c r="H474" s="44">
        <v>1</v>
      </c>
      <c r="I474" s="44" t="str">
        <f>INDEX(Helper!$U:$U, MATCH(H474, Helper!$S:$S, 0))</f>
        <v>Standard (EADG)</v>
      </c>
      <c r="J474" s="44" t="s">
        <v>62</v>
      </c>
      <c r="K474" s="60" t="s">
        <v>371</v>
      </c>
      <c r="L474" s="44" t="str">
        <f>INDEX(Helper!$F:$F, MATCH(K474, Helper!$E:$E, 0))</f>
        <v>#B3F141</v>
      </c>
      <c r="M474" s="45" t="s">
        <v>2158</v>
      </c>
      <c r="N474" s="50" t="s">
        <v>1584</v>
      </c>
      <c r="O474" s="46" t="s">
        <v>2159</v>
      </c>
      <c r="P474" s="74" t="s">
        <v>2160</v>
      </c>
    </row>
    <row r="475" spans="1:16" ht="202.5">
      <c r="A475" s="44">
        <v>472</v>
      </c>
      <c r="B475" s="44">
        <v>2</v>
      </c>
      <c r="C475" s="44">
        <v>2</v>
      </c>
      <c r="D475" s="45" t="str">
        <f>INDEX(Helper!$N$2:$N$4, MATCH(C475, Helper!$M$2:$M$4, 0))</f>
        <v>Intermediate</v>
      </c>
      <c r="E475" s="45" t="s">
        <v>263</v>
      </c>
      <c r="F475" s="45" t="s">
        <v>2161</v>
      </c>
      <c r="G475" s="5">
        <v>0</v>
      </c>
      <c r="H475" s="53">
        <v>1</v>
      </c>
      <c r="I475" s="44" t="str">
        <f>INDEX(Helper!$U:$U, MATCH(H475, Helper!$S:$S, 0))</f>
        <v>Standard (EADG)</v>
      </c>
      <c r="J475" s="44" t="s">
        <v>59</v>
      </c>
      <c r="K475" s="60" t="s">
        <v>29</v>
      </c>
      <c r="L475" s="44" t="str">
        <f>INDEX(Helper!$F:$F, MATCH(K475, Helper!$E:$E, 0))</f>
        <v>#66E586</v>
      </c>
      <c r="M475" s="45" t="s">
        <v>2162</v>
      </c>
      <c r="N475" s="50" t="s">
        <v>1584</v>
      </c>
      <c r="O475" s="45" t="s">
        <v>2163</v>
      </c>
      <c r="P475" s="74" t="s">
        <v>2164</v>
      </c>
    </row>
    <row r="476" spans="1:16" ht="409.5">
      <c r="A476" s="44">
        <v>473</v>
      </c>
      <c r="B476" s="44">
        <v>2</v>
      </c>
      <c r="C476" s="44">
        <v>2</v>
      </c>
      <c r="D476" s="45" t="str">
        <f>INDEX(Helper!$N$2:$N$4, MATCH(C476, Helper!$M$2:$M$4, 0))</f>
        <v>Intermediate</v>
      </c>
      <c r="E476" s="45" t="s">
        <v>102</v>
      </c>
      <c r="F476" s="45" t="s">
        <v>797</v>
      </c>
      <c r="G476" s="5">
        <v>3</v>
      </c>
      <c r="H476" s="44">
        <v>2</v>
      </c>
      <c r="I476" s="44" t="str">
        <f>INDEX(Helper!$U:$U, MATCH(H476, Helper!$S:$S, 0))</f>
        <v>Drop D (DADG)</v>
      </c>
      <c r="J476" s="44" t="s">
        <v>61</v>
      </c>
      <c r="K476" s="63" t="s">
        <v>19</v>
      </c>
      <c r="L476" s="44" t="str">
        <f>INDEX(Helper!$F:$F, MATCH(K476, Helper!$E:$E, 0))</f>
        <v>#FFDD21</v>
      </c>
      <c r="M476" s="45" t="s">
        <v>525</v>
      </c>
      <c r="N476" s="50" t="s">
        <v>1584</v>
      </c>
      <c r="O476" s="45" t="s">
        <v>2165</v>
      </c>
      <c r="P476" s="74" t="s">
        <v>2166</v>
      </c>
    </row>
    <row r="477" spans="1:16" ht="256.5">
      <c r="A477" s="44">
        <v>474</v>
      </c>
      <c r="B477" s="44">
        <v>2</v>
      </c>
      <c r="C477" s="44">
        <v>2</v>
      </c>
      <c r="D477" s="45" t="str">
        <f>INDEX(Helper!$N$2:$N$4, MATCH(C477, Helper!$M$2:$M$4, 0))</f>
        <v>Intermediate</v>
      </c>
      <c r="E477" s="45" t="s">
        <v>1664</v>
      </c>
      <c r="F477" s="45" t="s">
        <v>2167</v>
      </c>
      <c r="G477" s="5">
        <v>3</v>
      </c>
      <c r="H477" s="44">
        <v>1</v>
      </c>
      <c r="I477" s="44" t="str">
        <f>INDEX(Helper!$U:$U, MATCH(H477, Helper!$S:$S, 0))</f>
        <v>Standard (EADG)</v>
      </c>
      <c r="J477" s="44" t="s">
        <v>842</v>
      </c>
      <c r="K477" s="87" t="s">
        <v>1666</v>
      </c>
      <c r="L477" s="44" t="str">
        <f>INDEX(Helper!$F:$F, MATCH(K477, Helper!$E:$E, 0))</f>
        <v>#FFFFCC</v>
      </c>
      <c r="M477" s="45" t="s">
        <v>2168</v>
      </c>
      <c r="N477" s="50" t="s">
        <v>1584</v>
      </c>
      <c r="O477" s="46" t="s">
        <v>2169</v>
      </c>
      <c r="P477" s="74" t="s">
        <v>2170</v>
      </c>
    </row>
    <row r="478" spans="1:16" ht="148.5">
      <c r="A478" s="44">
        <v>475</v>
      </c>
      <c r="B478" s="44">
        <v>2</v>
      </c>
      <c r="C478" s="44">
        <v>1</v>
      </c>
      <c r="D478" s="45" t="str">
        <f>INDEX(Helper!$N$2:$N$4, MATCH(C478, Helper!$M$2:$M$4, 0))</f>
        <v>Beginner</v>
      </c>
      <c r="E478" s="45" t="s">
        <v>2171</v>
      </c>
      <c r="F478" s="45" t="s">
        <v>2172</v>
      </c>
      <c r="G478" s="5">
        <v>0</v>
      </c>
      <c r="H478" s="44">
        <v>1</v>
      </c>
      <c r="I478" s="44" t="str">
        <f>INDEX(Helper!$U:$U, MATCH(H478, Helper!$S:$S, 0))</f>
        <v>Standard (EADG)</v>
      </c>
      <c r="J478" s="44" t="s">
        <v>842</v>
      </c>
      <c r="K478" s="66" t="s">
        <v>370</v>
      </c>
      <c r="L478" s="44" t="str">
        <f>INDEX(Helper!$F:$F, MATCH(K478, Helper!$E:$E, 0))</f>
        <v>#B3F141</v>
      </c>
      <c r="M478" s="45" t="s">
        <v>2173</v>
      </c>
      <c r="N478" s="50" t="s">
        <v>1584</v>
      </c>
      <c r="O478" s="45" t="s">
        <v>2174</v>
      </c>
      <c r="P478" s="74" t="s">
        <v>2175</v>
      </c>
    </row>
    <row r="479" spans="1:16" ht="135">
      <c r="A479" s="44">
        <v>476</v>
      </c>
      <c r="B479" s="44">
        <v>2</v>
      </c>
      <c r="C479" s="44">
        <v>1</v>
      </c>
      <c r="D479" s="45" t="str">
        <f>INDEX(Helper!$N$2:$N$4, MATCH(C479, Helper!$M$2:$M$4, 0))</f>
        <v>Beginner</v>
      </c>
      <c r="E479" s="45" t="s">
        <v>2176</v>
      </c>
      <c r="F479" s="45" t="s">
        <v>2177</v>
      </c>
      <c r="G479" s="5">
        <v>0</v>
      </c>
      <c r="H479" s="44">
        <v>1</v>
      </c>
      <c r="I479" s="44" t="str">
        <f>INDEX(Helper!$U:$U, MATCH(H479, Helper!$S:$S, 0))</f>
        <v>Standard (EADG)</v>
      </c>
      <c r="J479" s="44" t="s">
        <v>66</v>
      </c>
      <c r="K479" s="86" t="s">
        <v>1641</v>
      </c>
      <c r="L479" s="44" t="str">
        <f>INDEX(Helper!$F:$F, MATCH(K479, Helper!$E:$E, 0))</f>
        <v>#22AAD6</v>
      </c>
      <c r="M479" s="45" t="s">
        <v>2178</v>
      </c>
      <c r="N479" s="50" t="s">
        <v>1584</v>
      </c>
      <c r="O479" s="46" t="s">
        <v>2179</v>
      </c>
      <c r="P479" s="74" t="s">
        <v>2180</v>
      </c>
    </row>
    <row r="480" spans="1:16" ht="189">
      <c r="A480" s="44">
        <v>477</v>
      </c>
      <c r="B480" s="44">
        <v>2</v>
      </c>
      <c r="C480" s="44">
        <v>1</v>
      </c>
      <c r="D480" s="45" t="str">
        <f>INDEX(Helper!$N$2:$N$4, MATCH(C480, Helper!$M$2:$M$4, 0))</f>
        <v>Beginner</v>
      </c>
      <c r="E480" s="45" t="s">
        <v>2181</v>
      </c>
      <c r="F480" s="45" t="s">
        <v>2182</v>
      </c>
      <c r="G480" s="5">
        <v>3</v>
      </c>
      <c r="H480" s="44">
        <v>1</v>
      </c>
      <c r="I480" s="44" t="str">
        <f>INDEX(Helper!$U:$U, MATCH(H480, Helper!$S:$S, 0))</f>
        <v>Standard (EADG)</v>
      </c>
      <c r="J480" s="44" t="s">
        <v>637</v>
      </c>
      <c r="K480" s="60" t="s">
        <v>371</v>
      </c>
      <c r="L480" s="44" t="str">
        <f>INDEX(Helper!$F:$F, MATCH(K480, Helper!$E:$E, 0))</f>
        <v>#B3F141</v>
      </c>
      <c r="M480" s="45" t="s">
        <v>2183</v>
      </c>
      <c r="N480" s="50" t="s">
        <v>1584</v>
      </c>
      <c r="O480" s="45" t="s">
        <v>2184</v>
      </c>
      <c r="P480" s="76" t="s">
        <v>2185</v>
      </c>
    </row>
    <row r="481" spans="1:16" ht="121.5">
      <c r="A481" s="44">
        <v>478</v>
      </c>
      <c r="B481" s="44">
        <v>2</v>
      </c>
      <c r="C481" s="44">
        <v>2</v>
      </c>
      <c r="D481" s="45" t="str">
        <f>INDEX(Helper!$N$2:$N$4, MATCH(C481, Helper!$M$2:$M$4, 0))</f>
        <v>Intermediate</v>
      </c>
      <c r="E481" s="45" t="s">
        <v>2186</v>
      </c>
      <c r="F481" s="45" t="s">
        <v>2187</v>
      </c>
      <c r="G481" s="5">
        <v>3</v>
      </c>
      <c r="H481" s="44">
        <v>2</v>
      </c>
      <c r="I481" s="44" t="str">
        <f>INDEX(Helper!$U:$U, MATCH(H481, Helper!$S:$S, 0))</f>
        <v>Drop D (DADG)</v>
      </c>
      <c r="J481" s="44" t="s">
        <v>619</v>
      </c>
      <c r="K481" s="60" t="s">
        <v>371</v>
      </c>
      <c r="L481" s="44" t="str">
        <f>INDEX(Helper!$F:$F, MATCH(K481, Helper!$E:$E, 0))</f>
        <v>#B3F141</v>
      </c>
      <c r="M481" s="45" t="s">
        <v>2188</v>
      </c>
      <c r="N481" s="50" t="s">
        <v>1584</v>
      </c>
      <c r="O481" s="45" t="s">
        <v>2189</v>
      </c>
      <c r="P481" s="74" t="s">
        <v>2190</v>
      </c>
    </row>
    <row r="482" spans="1:16" ht="121.5">
      <c r="A482" s="44">
        <v>479</v>
      </c>
      <c r="B482" s="44">
        <v>2</v>
      </c>
      <c r="C482" s="44">
        <v>2</v>
      </c>
      <c r="D482" s="45" t="str">
        <f>INDEX(Helper!$N$2:$N$4, MATCH(C482, Helper!$M$2:$M$4, 0))</f>
        <v>Intermediate</v>
      </c>
      <c r="E482" s="45" t="s">
        <v>351</v>
      </c>
      <c r="F482" s="45" t="s">
        <v>2191</v>
      </c>
      <c r="G482" s="5">
        <v>0</v>
      </c>
      <c r="H482" s="44">
        <v>1</v>
      </c>
      <c r="I482" s="44" t="str">
        <f>INDEX(Helper!$U:$U, MATCH(H482, Helper!$S:$S, 0))</f>
        <v>Standard (EADG)</v>
      </c>
      <c r="J482" s="44" t="s">
        <v>61</v>
      </c>
      <c r="K482" s="64" t="s">
        <v>15</v>
      </c>
      <c r="L482" s="44" t="str">
        <f>INDEX(Helper!$F:$F, MATCH(K482, Helper!$E:$E, 0))</f>
        <v>#C2C2A1</v>
      </c>
      <c r="M482" s="45" t="s">
        <v>2192</v>
      </c>
      <c r="N482" s="50" t="s">
        <v>1584</v>
      </c>
      <c r="O482" s="45" t="s">
        <v>2193</v>
      </c>
      <c r="P482" s="74" t="s">
        <v>2194</v>
      </c>
    </row>
    <row r="483" spans="1:16" ht="189">
      <c r="A483" s="44">
        <v>480</v>
      </c>
      <c r="B483" s="44">
        <v>2</v>
      </c>
      <c r="C483" s="44">
        <v>2</v>
      </c>
      <c r="D483" s="45" t="str">
        <f>INDEX(Helper!$N$2:$N$4, MATCH(C483, Helper!$M$2:$M$4, 0))</f>
        <v>Intermediate</v>
      </c>
      <c r="E483" s="45" t="s">
        <v>1831</v>
      </c>
      <c r="F483" s="45" t="s">
        <v>2195</v>
      </c>
      <c r="G483" s="5">
        <v>3</v>
      </c>
      <c r="H483" s="44">
        <v>1</v>
      </c>
      <c r="I483" s="44" t="str">
        <f>INDEX(Helper!$U:$U, MATCH(H483, Helper!$S:$S, 0))</f>
        <v>Standard (EADG)</v>
      </c>
      <c r="J483" s="44" t="s">
        <v>63</v>
      </c>
      <c r="K483" s="59" t="s">
        <v>10</v>
      </c>
      <c r="L483" s="44" t="str">
        <f>INDEX(Helper!$F:$F, MATCH(K483, Helper!$E:$E, 0))</f>
        <v>#F5943C</v>
      </c>
      <c r="M483" s="45" t="s">
        <v>2196</v>
      </c>
      <c r="N483" s="50" t="s">
        <v>1584</v>
      </c>
      <c r="O483" s="45" t="s">
        <v>2197</v>
      </c>
      <c r="P483" s="74" t="s">
        <v>2198</v>
      </c>
    </row>
    <row r="484" spans="1:16" ht="409.5">
      <c r="A484" s="44">
        <v>481</v>
      </c>
      <c r="B484" s="44">
        <v>2</v>
      </c>
      <c r="C484" s="44">
        <v>2</v>
      </c>
      <c r="D484" s="45" t="str">
        <f>INDEX(Helper!$N$2:$N$4, MATCH(C484, Helper!$M$2:$M$4, 0))</f>
        <v>Intermediate</v>
      </c>
      <c r="E484" s="45" t="s">
        <v>339</v>
      </c>
      <c r="F484" s="45" t="s">
        <v>340</v>
      </c>
      <c r="G484" s="5">
        <v>0</v>
      </c>
      <c r="H484" s="44">
        <v>1</v>
      </c>
      <c r="I484" s="44" t="str">
        <f>INDEX(Helper!$U:$U, MATCH(H484, Helper!$S:$S, 0))</f>
        <v>Standard (EADG)</v>
      </c>
      <c r="J484" s="44" t="s">
        <v>393</v>
      </c>
      <c r="K484" s="59" t="s">
        <v>10</v>
      </c>
      <c r="L484" s="44" t="str">
        <f>INDEX(Helper!$F:$F, MATCH(K484, Helper!$E:$E, 0))</f>
        <v>#F5943C</v>
      </c>
      <c r="M484" s="45" t="s">
        <v>2199</v>
      </c>
      <c r="N484" s="50" t="s">
        <v>1584</v>
      </c>
      <c r="O484" s="46" t="s">
        <v>2200</v>
      </c>
      <c r="P484" s="74" t="s">
        <v>2201</v>
      </c>
    </row>
    <row r="485" spans="1:16" ht="121.5">
      <c r="A485" s="44">
        <v>482</v>
      </c>
      <c r="B485" s="44">
        <v>2</v>
      </c>
      <c r="C485" s="44">
        <v>1</v>
      </c>
      <c r="D485" s="45" t="str">
        <f>INDEX(Helper!$N$2:$N$4, MATCH(C485, Helper!$M$2:$M$4, 0))</f>
        <v>Beginner</v>
      </c>
      <c r="E485" s="45" t="s">
        <v>232</v>
      </c>
      <c r="F485" s="45" t="s">
        <v>2202</v>
      </c>
      <c r="G485" s="5">
        <v>0</v>
      </c>
      <c r="H485" s="44">
        <v>1</v>
      </c>
      <c r="I485" s="44" t="str">
        <f>INDEX(Helper!$U:$U, MATCH(H485, Helper!$S:$S, 0))</f>
        <v>Standard (EADG)</v>
      </c>
      <c r="J485" s="44" t="s">
        <v>794</v>
      </c>
      <c r="K485" s="65" t="s">
        <v>13</v>
      </c>
      <c r="L485" s="44" t="str">
        <f>INDEX(Helper!$F:$F, MATCH(K485, Helper!$E:$E, 0))</f>
        <v>#FF4F53</v>
      </c>
      <c r="M485" s="45" t="s">
        <v>481</v>
      </c>
      <c r="N485" s="50" t="s">
        <v>1584</v>
      </c>
      <c r="O485" s="46" t="s">
        <v>2203</v>
      </c>
      <c r="P485" s="74" t="s">
        <v>2204</v>
      </c>
    </row>
    <row r="486" spans="1:16" ht="121.5">
      <c r="A486" s="44">
        <v>483</v>
      </c>
      <c r="B486" s="44">
        <v>2</v>
      </c>
      <c r="C486" s="44">
        <v>2</v>
      </c>
      <c r="D486" s="45" t="str">
        <f>INDEX(Helper!$N$2:$N$4, MATCH(C486, Helper!$M$2:$M$4, 0))</f>
        <v>Intermediate</v>
      </c>
      <c r="E486" s="45" t="s">
        <v>171</v>
      </c>
      <c r="F486" s="45" t="s">
        <v>256</v>
      </c>
      <c r="G486" s="5">
        <v>3</v>
      </c>
      <c r="H486" s="44">
        <v>1</v>
      </c>
      <c r="I486" s="44" t="str">
        <f>INDEX(Helper!$U:$U, MATCH(H486, Helper!$S:$S, 0))</f>
        <v>Standard (EADG)</v>
      </c>
      <c r="J486" s="44" t="s">
        <v>393</v>
      </c>
      <c r="K486" s="63" t="s">
        <v>19</v>
      </c>
      <c r="L486" s="44" t="str">
        <f>INDEX(Helper!$F:$F, MATCH(K486, Helper!$E:$E, 0))</f>
        <v>#FFDD21</v>
      </c>
      <c r="M486" s="45" t="s">
        <v>384</v>
      </c>
      <c r="N486" s="50" t="s">
        <v>1584</v>
      </c>
      <c r="O486" s="45" t="s">
        <v>2205</v>
      </c>
      <c r="P486" s="74" t="s">
        <v>2206</v>
      </c>
    </row>
    <row r="487" spans="1:16" ht="189">
      <c r="A487" s="44">
        <v>484</v>
      </c>
      <c r="B487" s="44">
        <v>2</v>
      </c>
      <c r="C487" s="44">
        <v>2</v>
      </c>
      <c r="D487" s="45" t="str">
        <f>INDEX(Helper!$N$2:$N$4, MATCH(C487, Helper!$M$2:$M$4, 0))</f>
        <v>Intermediate</v>
      </c>
      <c r="E487" s="45" t="s">
        <v>2207</v>
      </c>
      <c r="F487" s="45" t="s">
        <v>2208</v>
      </c>
      <c r="G487" s="5">
        <v>3</v>
      </c>
      <c r="H487" s="44">
        <v>1</v>
      </c>
      <c r="I487" s="44" t="str">
        <f>INDEX(Helper!$U:$U, MATCH(H487, Helper!$S:$S, 0))</f>
        <v>Standard (EADG)</v>
      </c>
      <c r="J487" s="44" t="s">
        <v>1268</v>
      </c>
      <c r="K487" s="60" t="s">
        <v>1253</v>
      </c>
      <c r="L487" s="44" t="str">
        <f>INDEX(Helper!$F:$F, MATCH(K487, Helper!$E:$E, 0))</f>
        <v>#B3F141</v>
      </c>
      <c r="M487" s="45" t="s">
        <v>2209</v>
      </c>
      <c r="N487" s="50" t="s">
        <v>1584</v>
      </c>
      <c r="O487" s="46" t="s">
        <v>2210</v>
      </c>
      <c r="P487" s="74" t="s">
        <v>2211</v>
      </c>
    </row>
    <row r="488" spans="1:16" ht="121.5">
      <c r="A488" s="44">
        <v>485</v>
      </c>
      <c r="B488" s="44">
        <v>2</v>
      </c>
      <c r="C488" s="44">
        <v>2</v>
      </c>
      <c r="D488" s="45" t="str">
        <f>INDEX(Helper!$N$2:$N$4, MATCH(C488, Helper!$M$2:$M$4, 0))</f>
        <v>Intermediate</v>
      </c>
      <c r="E488" s="45" t="s">
        <v>2212</v>
      </c>
      <c r="F488" s="45" t="s">
        <v>2213</v>
      </c>
      <c r="G488" s="5">
        <v>0</v>
      </c>
      <c r="H488" s="44">
        <v>1</v>
      </c>
      <c r="I488" s="44" t="str">
        <f>INDEX(Helper!$U:$U, MATCH(H488, Helper!$S:$S, 0))</f>
        <v>Standard (EADG)</v>
      </c>
      <c r="J488" s="44" t="s">
        <v>619</v>
      </c>
      <c r="K488" s="90" t="s">
        <v>1676</v>
      </c>
      <c r="L488" s="44" t="str">
        <f>INDEX(Helper!$F:$F, MATCH(K488, Helper!$E:$E, 0))</f>
        <v>#B2DB4B</v>
      </c>
      <c r="M488" s="45" t="s">
        <v>2214</v>
      </c>
      <c r="N488" s="45" t="s">
        <v>1737</v>
      </c>
      <c r="O488" s="46" t="s">
        <v>2215</v>
      </c>
      <c r="P488" s="74" t="s">
        <v>2216</v>
      </c>
    </row>
    <row r="489" spans="1:16" ht="54">
      <c r="A489" s="44">
        <v>486</v>
      </c>
      <c r="B489" s="44">
        <v>2</v>
      </c>
      <c r="C489" s="44">
        <v>1</v>
      </c>
      <c r="D489" s="45" t="str">
        <f>INDEX(Helper!$N$2:$N$4, MATCH(C489, Helper!$M$2:$M$4, 0))</f>
        <v>Beginner</v>
      </c>
      <c r="E489" s="45" t="s">
        <v>2212</v>
      </c>
      <c r="F489" s="45" t="s">
        <v>2217</v>
      </c>
      <c r="G489" s="5">
        <v>3</v>
      </c>
      <c r="H489" s="44">
        <v>1</v>
      </c>
      <c r="I489" s="44" t="str">
        <f>INDEX(Helper!$U:$U, MATCH(H489, Helper!$S:$S, 0))</f>
        <v>Standard (EADG)</v>
      </c>
      <c r="J489" s="44" t="s">
        <v>61</v>
      </c>
      <c r="K489" s="90" t="s">
        <v>1676</v>
      </c>
      <c r="L489" s="44" t="str">
        <f>INDEX(Helper!$F:$F, MATCH(K489, Helper!$E:$E, 0))</f>
        <v>#B2DB4B</v>
      </c>
      <c r="M489" s="45" t="s">
        <v>2218</v>
      </c>
      <c r="N489" s="50" t="s">
        <v>1584</v>
      </c>
      <c r="O489" s="46" t="s">
        <v>2219</v>
      </c>
      <c r="P489" s="74" t="s">
        <v>2220</v>
      </c>
    </row>
    <row r="490" spans="1:16" ht="54">
      <c r="A490" s="44">
        <v>487</v>
      </c>
      <c r="B490" s="44">
        <v>2</v>
      </c>
      <c r="C490" s="44">
        <v>1</v>
      </c>
      <c r="D490" s="45" t="str">
        <f>INDEX(Helper!$N$2:$N$4, MATCH(C490, Helper!$M$2:$M$4, 0))</f>
        <v>Beginner</v>
      </c>
      <c r="E490" s="45" t="s">
        <v>2221</v>
      </c>
      <c r="F490" s="45" t="s">
        <v>2222</v>
      </c>
      <c r="G490" s="5">
        <v>0</v>
      </c>
      <c r="H490" s="44">
        <v>1</v>
      </c>
      <c r="I490" s="44" t="str">
        <f>INDEX(Helper!$U:$U, MATCH(H490, Helper!$S:$S, 0))</f>
        <v>Standard (EADG)</v>
      </c>
      <c r="J490" s="44" t="s">
        <v>61</v>
      </c>
      <c r="K490" s="90" t="s">
        <v>1676</v>
      </c>
      <c r="L490" s="44" t="str">
        <f>INDEX(Helper!$F:$F, MATCH(K490, Helper!$E:$E, 0))</f>
        <v>#B2DB4B</v>
      </c>
      <c r="M490" s="45" t="s">
        <v>2223</v>
      </c>
      <c r="N490" s="50" t="s">
        <v>1584</v>
      </c>
      <c r="O490" s="45" t="s">
        <v>2224</v>
      </c>
      <c r="P490" s="74" t="s">
        <v>2225</v>
      </c>
    </row>
    <row r="491" spans="1:16" ht="121.5">
      <c r="A491" s="44">
        <v>488</v>
      </c>
      <c r="B491" s="44">
        <v>2</v>
      </c>
      <c r="C491" s="44">
        <v>2</v>
      </c>
      <c r="D491" s="45" t="str">
        <f>INDEX(Helper!$N$2:$N$4, MATCH(C491, Helper!$M$2:$M$4, 0))</f>
        <v>Intermediate</v>
      </c>
      <c r="E491" s="45" t="s">
        <v>1892</v>
      </c>
      <c r="F491" s="45" t="s">
        <v>2226</v>
      </c>
      <c r="G491" s="5">
        <v>3</v>
      </c>
      <c r="H491" s="44">
        <v>2</v>
      </c>
      <c r="I491" s="44" t="str">
        <f>INDEX(Helper!$U:$U, MATCH(H491, Helper!$S:$S, 0))</f>
        <v>Drop D (DADG)</v>
      </c>
      <c r="J491" s="44" t="s">
        <v>67</v>
      </c>
      <c r="K491" s="64" t="s">
        <v>15</v>
      </c>
      <c r="L491" s="44" t="str">
        <f>INDEX(Helper!$F:$F, MATCH(K491, Helper!$E:$E, 0))</f>
        <v>#C2C2A1</v>
      </c>
      <c r="M491" s="45" t="s">
        <v>2227</v>
      </c>
      <c r="N491" s="50" t="s">
        <v>1584</v>
      </c>
      <c r="O491" s="46" t="s">
        <v>2228</v>
      </c>
      <c r="P491" s="74" t="s">
        <v>2229</v>
      </c>
    </row>
    <row r="492" spans="1:16" ht="216">
      <c r="A492" s="44">
        <v>489</v>
      </c>
      <c r="B492" s="44">
        <v>2</v>
      </c>
      <c r="C492" s="44">
        <v>2</v>
      </c>
      <c r="D492" s="45" t="str">
        <f>INDEX(Helper!$N$2:$N$4, MATCH(C492, Helper!$M$2:$M$4, 0))</f>
        <v>Intermediate</v>
      </c>
      <c r="E492" s="45" t="s">
        <v>2230</v>
      </c>
      <c r="F492" s="45" t="s">
        <v>2231</v>
      </c>
      <c r="G492" s="5">
        <v>3</v>
      </c>
      <c r="H492" s="44">
        <v>1</v>
      </c>
      <c r="I492" s="44" t="str">
        <f>INDEX(Helper!$U:$U, MATCH(H492, Helper!$S:$S, 0))</f>
        <v>Standard (EADG)</v>
      </c>
      <c r="J492" s="44" t="s">
        <v>64</v>
      </c>
      <c r="K492" s="90" t="s">
        <v>1676</v>
      </c>
      <c r="L492" s="44" t="str">
        <f>INDEX(Helper!$F:$F, MATCH(K492, Helper!$E:$E, 0))</f>
        <v>#B2DB4B</v>
      </c>
      <c r="M492" s="45" t="s">
        <v>2232</v>
      </c>
      <c r="N492" s="50" t="s">
        <v>1584</v>
      </c>
      <c r="O492" s="46" t="s">
        <v>2233</v>
      </c>
      <c r="P492" s="79" t="s">
        <v>2234</v>
      </c>
    </row>
    <row r="493" spans="1:16" ht="54">
      <c r="A493" s="44">
        <v>490</v>
      </c>
      <c r="B493" s="44">
        <v>2</v>
      </c>
      <c r="C493" s="44">
        <v>2</v>
      </c>
      <c r="D493" s="45" t="str">
        <f>INDEX(Helper!$N$2:$N$4, MATCH(C493, Helper!$M$2:$M$4, 0))</f>
        <v>Intermediate</v>
      </c>
      <c r="E493" s="45" t="s">
        <v>2235</v>
      </c>
      <c r="F493" s="45" t="s">
        <v>2236</v>
      </c>
      <c r="G493" s="5">
        <v>3</v>
      </c>
      <c r="H493" s="53">
        <v>1</v>
      </c>
      <c r="I493" s="44" t="str">
        <f>INDEX(Helper!$U:$U, MATCH(H493, Helper!$S:$S, 0))</f>
        <v>Standard (EADG)</v>
      </c>
      <c r="J493" s="44" t="s">
        <v>1268</v>
      </c>
      <c r="K493" s="57" t="s">
        <v>21</v>
      </c>
      <c r="L493" s="44" t="str">
        <f>INDEX(Helper!$F:$F, MATCH(K493, Helper!$E:$E, 0))</f>
        <v>#45F0E2</v>
      </c>
      <c r="M493" s="45" t="s">
        <v>2237</v>
      </c>
      <c r="N493" s="50" t="s">
        <v>1737</v>
      </c>
      <c r="O493" s="81" t="s">
        <v>2238</v>
      </c>
      <c r="P493" s="74" t="s">
        <v>2239</v>
      </c>
    </row>
    <row r="494" spans="1:16" ht="310.5">
      <c r="A494" s="44">
        <v>491</v>
      </c>
      <c r="B494" s="44">
        <v>2</v>
      </c>
      <c r="C494" s="44">
        <v>1</v>
      </c>
      <c r="D494" s="45" t="str">
        <f>INDEX(Helper!$N$2:$N$4, MATCH(C494, Helper!$M$2:$M$4, 0))</f>
        <v>Beginner</v>
      </c>
      <c r="E494" s="45" t="s">
        <v>288</v>
      </c>
      <c r="F494" s="45" t="s">
        <v>2240</v>
      </c>
      <c r="G494" s="5">
        <v>3</v>
      </c>
      <c r="H494" s="44">
        <v>1</v>
      </c>
      <c r="I494" s="44" t="str">
        <f>INDEX(Helper!$U:$U, MATCH(H494, Helper!$S:$S, 0))</f>
        <v>Standard (EADG)</v>
      </c>
      <c r="J494" s="44" t="s">
        <v>61</v>
      </c>
      <c r="K494" s="60" t="s">
        <v>28</v>
      </c>
      <c r="L494" s="44" t="str">
        <f>INDEX(Helper!$F:$F, MATCH(K494, Helper!$E:$E, 0))</f>
        <v>#B3F141</v>
      </c>
      <c r="M494" s="45" t="s">
        <v>2241</v>
      </c>
      <c r="N494" s="50" t="s">
        <v>1584</v>
      </c>
      <c r="O494" s="46" t="s">
        <v>2242</v>
      </c>
      <c r="P494" s="74" t="s">
        <v>2243</v>
      </c>
    </row>
    <row r="495" spans="1:16" ht="202.5">
      <c r="A495" s="44">
        <v>492</v>
      </c>
      <c r="B495" s="44">
        <v>2</v>
      </c>
      <c r="C495" s="44">
        <v>1</v>
      </c>
      <c r="D495" s="45" t="str">
        <f>INDEX(Helper!$N$2:$N$4, MATCH(C495, Helper!$M$2:$M$4, 0))</f>
        <v>Beginner</v>
      </c>
      <c r="E495" s="45" t="s">
        <v>2244</v>
      </c>
      <c r="F495" s="45" t="s">
        <v>2245</v>
      </c>
      <c r="G495" s="5">
        <v>3</v>
      </c>
      <c r="H495" s="44">
        <v>1</v>
      </c>
      <c r="I495" s="44" t="str">
        <f>INDEX(Helper!$U:$U, MATCH(H495, Helper!$S:$S, 0))</f>
        <v>Standard (EADG)</v>
      </c>
      <c r="J495" s="44" t="s">
        <v>63</v>
      </c>
      <c r="K495" s="91" t="s">
        <v>1617</v>
      </c>
      <c r="L495" s="44" t="str">
        <f>INDEX(Helper!$F:$F, MATCH(K495, Helper!$E:$E, 0))</f>
        <v>#FFE129</v>
      </c>
      <c r="M495" s="45" t="s">
        <v>2246</v>
      </c>
      <c r="N495" s="50" t="s">
        <v>1584</v>
      </c>
      <c r="O495" s="45" t="s">
        <v>2247</v>
      </c>
      <c r="P495" s="74" t="s">
        <v>2248</v>
      </c>
    </row>
    <row r="496" spans="1:16" ht="121.5">
      <c r="A496" s="44">
        <v>493</v>
      </c>
      <c r="B496" s="44">
        <v>2</v>
      </c>
      <c r="C496" s="44">
        <v>2</v>
      </c>
      <c r="D496" s="45" t="str">
        <f>INDEX(Helper!$N$2:$N$4, MATCH(C496, Helper!$M$2:$M$4, 0))</f>
        <v>Intermediate</v>
      </c>
      <c r="E496" s="45" t="s">
        <v>2249</v>
      </c>
      <c r="F496" s="45" t="s">
        <v>2250</v>
      </c>
      <c r="G496" s="5">
        <v>3</v>
      </c>
      <c r="H496" s="44">
        <v>1</v>
      </c>
      <c r="I496" s="44" t="str">
        <f>INDEX(Helper!$U:$U, MATCH(H496, Helper!$S:$S, 0))</f>
        <v>Standard (EADG)</v>
      </c>
      <c r="J496" s="44" t="s">
        <v>626</v>
      </c>
      <c r="K496" s="57" t="s">
        <v>21</v>
      </c>
      <c r="L496" s="44" t="str">
        <f>INDEX(Helper!$F:$F, MATCH(K496, Helper!$E:$E, 0))</f>
        <v>#45F0E2</v>
      </c>
      <c r="M496" s="45" t="s">
        <v>2251</v>
      </c>
      <c r="N496" s="50" t="s">
        <v>1584</v>
      </c>
      <c r="O496" s="45" t="s">
        <v>2252</v>
      </c>
      <c r="P496" s="74" t="s">
        <v>2253</v>
      </c>
    </row>
    <row r="497" spans="1:16" ht="67.5">
      <c r="A497" s="44">
        <v>494</v>
      </c>
      <c r="B497" s="44">
        <v>2</v>
      </c>
      <c r="C497" s="44">
        <v>1</v>
      </c>
      <c r="D497" s="45" t="str">
        <f>INDEX(Helper!$N$2:$N$4, MATCH(C497, Helper!$M$2:$M$4, 0))</f>
        <v>Beginner</v>
      </c>
      <c r="E497" s="45" t="s">
        <v>93</v>
      </c>
      <c r="F497" s="45" t="s">
        <v>2254</v>
      </c>
      <c r="G497" s="5">
        <v>3</v>
      </c>
      <c r="H497" s="44">
        <v>1</v>
      </c>
      <c r="I497" s="44" t="str">
        <f>INDEX(Helper!$U:$U, MATCH(H497, Helper!$S:$S, 0))</f>
        <v>Standard (EADG)</v>
      </c>
      <c r="J497" s="44" t="s">
        <v>63</v>
      </c>
      <c r="K497" s="60" t="s">
        <v>29</v>
      </c>
      <c r="L497" s="44" t="str">
        <f>INDEX(Helper!$F:$F, MATCH(K497, Helper!$E:$E, 0))</f>
        <v>#66E586</v>
      </c>
      <c r="M497" s="45" t="s">
        <v>2255</v>
      </c>
      <c r="N497" s="50" t="s">
        <v>1584</v>
      </c>
      <c r="O497" s="45" t="s">
        <v>2256</v>
      </c>
      <c r="P497" s="74" t="s">
        <v>2257</v>
      </c>
    </row>
    <row r="498" spans="1:16" ht="216">
      <c r="A498" s="44">
        <v>495</v>
      </c>
      <c r="B498" s="44">
        <v>2</v>
      </c>
      <c r="C498" s="44">
        <v>1</v>
      </c>
      <c r="D498" s="45" t="str">
        <f>INDEX(Helper!$N$2:$N$4, MATCH(C498, Helper!$M$2:$M$4, 0))</f>
        <v>Beginner</v>
      </c>
      <c r="E498" s="45" t="s">
        <v>2258</v>
      </c>
      <c r="F498" s="45" t="s">
        <v>2259</v>
      </c>
      <c r="G498" s="5">
        <v>0</v>
      </c>
      <c r="H498" s="44">
        <v>1</v>
      </c>
      <c r="I498" s="44" t="str">
        <f>INDEX(Helper!$U:$U, MATCH(H498, Helper!$S:$S, 0))</f>
        <v>Standard (EADG)</v>
      </c>
      <c r="J498" s="44" t="s">
        <v>61</v>
      </c>
      <c r="K498" s="68" t="s">
        <v>14</v>
      </c>
      <c r="L498" s="44" t="str">
        <f>INDEX(Helper!$F:$F, MATCH(K498, Helper!$E:$E, 0))</f>
        <v>#FFE000</v>
      </c>
      <c r="M498" s="45" t="s">
        <v>2260</v>
      </c>
      <c r="N498" s="50" t="s">
        <v>1584</v>
      </c>
      <c r="O498" s="45" t="s">
        <v>2261</v>
      </c>
      <c r="P498" s="74" t="s">
        <v>2262</v>
      </c>
    </row>
    <row r="499" spans="1:16" ht="121.5">
      <c r="A499" s="44">
        <v>496</v>
      </c>
      <c r="B499" s="44">
        <v>2</v>
      </c>
      <c r="C499" s="44">
        <v>3</v>
      </c>
      <c r="D499" s="45" t="str">
        <f>INDEX(Helper!$N$2:$N$4, MATCH(C499, Helper!$M$2:$M$4, 0))</f>
        <v>Advanced</v>
      </c>
      <c r="E499" s="45" t="s">
        <v>2263</v>
      </c>
      <c r="F499" s="45" t="s">
        <v>2264</v>
      </c>
      <c r="G499" s="5">
        <v>0</v>
      </c>
      <c r="H499" s="44">
        <v>1</v>
      </c>
      <c r="I499" s="44" t="str">
        <f>INDEX(Helper!$U:$U, MATCH(H499, Helper!$S:$S, 0))</f>
        <v>Standard (EADG)</v>
      </c>
      <c r="J499" s="44" t="s">
        <v>393</v>
      </c>
      <c r="K499" s="60" t="s">
        <v>28</v>
      </c>
      <c r="L499" s="44" t="str">
        <f>INDEX(Helper!$F:$F, MATCH(K499, Helper!$E:$E, 0))</f>
        <v>#B3F141</v>
      </c>
      <c r="M499" s="45" t="s">
        <v>2265</v>
      </c>
      <c r="N499" s="50" t="s">
        <v>1584</v>
      </c>
      <c r="O499" s="45" t="s">
        <v>2266</v>
      </c>
      <c r="P499" s="74" t="s">
        <v>2267</v>
      </c>
    </row>
    <row r="500" spans="1:16" ht="148.5">
      <c r="A500" s="44">
        <v>497</v>
      </c>
      <c r="B500" s="44">
        <v>2</v>
      </c>
      <c r="C500" s="44">
        <v>3</v>
      </c>
      <c r="D500" s="45" t="str">
        <f>INDEX(Helper!$N$2:$N$4, MATCH(C500, Helper!$M$2:$M$4, 0))</f>
        <v>Advanced</v>
      </c>
      <c r="E500" s="45" t="s">
        <v>1944</v>
      </c>
      <c r="F500" s="45" t="s">
        <v>2268</v>
      </c>
      <c r="G500" s="5">
        <v>0</v>
      </c>
      <c r="H500" s="44">
        <v>1</v>
      </c>
      <c r="I500" s="44" t="str">
        <f>INDEX(Helper!$U:$U, MATCH(H500, Helper!$S:$S, 0))</f>
        <v>Standard (EADG)</v>
      </c>
      <c r="J500" s="44" t="s">
        <v>1267</v>
      </c>
      <c r="K500" s="86" t="s">
        <v>1641</v>
      </c>
      <c r="L500" s="44" t="str">
        <f>INDEX(Helper!$F:$F, MATCH(K500, Helper!$E:$E, 0))</f>
        <v>#22AAD6</v>
      </c>
      <c r="M500" s="45" t="s">
        <v>2269</v>
      </c>
      <c r="N500" s="50" t="s">
        <v>1584</v>
      </c>
      <c r="O500" s="45" t="s">
        <v>2270</v>
      </c>
      <c r="P500" s="74" t="s">
        <v>2271</v>
      </c>
    </row>
    <row r="501" spans="1:16" ht="270">
      <c r="A501" s="44">
        <v>498</v>
      </c>
      <c r="B501" s="44">
        <v>2</v>
      </c>
      <c r="C501" s="44">
        <v>2</v>
      </c>
      <c r="D501" s="45" t="str">
        <f>INDEX(Helper!$N$2:$N$4, MATCH(C501, Helper!$M$2:$M$4, 0))</f>
        <v>Intermediate</v>
      </c>
      <c r="E501" s="45" t="s">
        <v>2272</v>
      </c>
      <c r="F501" s="45" t="s">
        <v>2273</v>
      </c>
      <c r="G501" s="5">
        <v>0</v>
      </c>
      <c r="H501" s="44">
        <v>3</v>
      </c>
      <c r="I501" s="44" t="str">
        <f>INDEX(Helper!$U:$U, MATCH(H501, Helper!$S:$S, 0))</f>
        <v>Half Step Down (D#G#C#F#)</v>
      </c>
      <c r="J501" s="44" t="s">
        <v>70</v>
      </c>
      <c r="K501" s="60" t="s">
        <v>371</v>
      </c>
      <c r="L501" s="44" t="str">
        <f>INDEX(Helper!$F:$F, MATCH(K501, Helper!$E:$E, 0))</f>
        <v>#B3F141</v>
      </c>
      <c r="M501" s="45" t="s">
        <v>2274</v>
      </c>
      <c r="N501" s="50" t="s">
        <v>1584</v>
      </c>
      <c r="O501" s="45" t="s">
        <v>2275</v>
      </c>
      <c r="P501" s="74" t="s">
        <v>2276</v>
      </c>
    </row>
    <row r="502" spans="1:16" ht="148.5">
      <c r="A502" s="44">
        <v>499</v>
      </c>
      <c r="B502" s="44">
        <v>2</v>
      </c>
      <c r="C502" s="44">
        <v>2</v>
      </c>
      <c r="D502" s="45" t="str">
        <f>INDEX(Helper!$N$2:$N$4, MATCH(C502, Helper!$M$2:$M$4, 0))</f>
        <v>Intermediate</v>
      </c>
      <c r="E502" s="45" t="s">
        <v>90</v>
      </c>
      <c r="F502" s="45" t="s">
        <v>2277</v>
      </c>
      <c r="G502" s="5">
        <v>3</v>
      </c>
      <c r="H502" s="44">
        <v>1</v>
      </c>
      <c r="I502" s="44" t="str">
        <f>INDEX(Helper!$U:$U, MATCH(H502, Helper!$S:$S, 0))</f>
        <v>Standard (EADG)</v>
      </c>
      <c r="J502" s="44" t="s">
        <v>626</v>
      </c>
      <c r="K502" s="65" t="s">
        <v>13</v>
      </c>
      <c r="L502" s="44" t="str">
        <f>INDEX(Helper!$F:$F, MATCH(K502, Helper!$E:$E, 0))</f>
        <v>#FF4F53</v>
      </c>
      <c r="M502" s="45" t="s">
        <v>2278</v>
      </c>
      <c r="N502" s="50" t="s">
        <v>1584</v>
      </c>
      <c r="O502" s="45" t="s">
        <v>2279</v>
      </c>
      <c r="P502" s="74" t="s">
        <v>2280</v>
      </c>
    </row>
    <row r="503" spans="1:16" ht="297">
      <c r="A503" s="44">
        <v>500</v>
      </c>
      <c r="B503" s="44">
        <v>2</v>
      </c>
      <c r="C503" s="44">
        <v>3</v>
      </c>
      <c r="D503" s="45" t="str">
        <f>INDEX(Helper!$N$2:$N$4, MATCH(C503, Helper!$M$2:$M$4, 0))</f>
        <v>Advanced</v>
      </c>
      <c r="E503" s="45" t="s">
        <v>90</v>
      </c>
      <c r="F503" s="45" t="s">
        <v>2281</v>
      </c>
      <c r="G503" s="5">
        <v>0</v>
      </c>
      <c r="H503" s="44">
        <v>1</v>
      </c>
      <c r="I503" s="44" t="str">
        <f>INDEX(Helper!$U:$U, MATCH(H503, Helper!$S:$S, 0))</f>
        <v>Standard (EADG)</v>
      </c>
      <c r="J503" s="44" t="s">
        <v>1267</v>
      </c>
      <c r="K503" s="65" t="s">
        <v>13</v>
      </c>
      <c r="L503" s="44" t="str">
        <f>INDEX(Helper!$F:$F, MATCH(K503, Helper!$E:$E, 0))</f>
        <v>#FF4F53</v>
      </c>
      <c r="M503" s="45" t="s">
        <v>2282</v>
      </c>
      <c r="N503" s="50" t="s">
        <v>1584</v>
      </c>
      <c r="O503" s="45" t="s">
        <v>2283</v>
      </c>
      <c r="P503" s="74" t="s">
        <v>2284</v>
      </c>
    </row>
    <row r="504" spans="1:16" ht="409.5">
      <c r="A504" s="44">
        <v>501</v>
      </c>
      <c r="B504" s="44">
        <v>2</v>
      </c>
      <c r="C504" s="44">
        <v>2</v>
      </c>
      <c r="D504" s="45" t="str">
        <f>INDEX(Helper!$N$2:$N$4, MATCH(C504, Helper!$M$2:$M$4, 0))</f>
        <v>Intermediate</v>
      </c>
      <c r="E504" s="45" t="s">
        <v>1639</v>
      </c>
      <c r="F504" s="45" t="s">
        <v>2285</v>
      </c>
      <c r="G504" s="5">
        <v>3</v>
      </c>
      <c r="H504" s="44">
        <v>1</v>
      </c>
      <c r="I504" s="44" t="str">
        <f>INDEX(Helper!$U:$U, MATCH(H504, Helper!$S:$S, 0))</f>
        <v>Standard (EADG)</v>
      </c>
      <c r="J504" s="44" t="s">
        <v>66</v>
      </c>
      <c r="K504" s="86" t="s">
        <v>1641</v>
      </c>
      <c r="L504" s="44" t="str">
        <f>INDEX(Helper!$F:$F, MATCH(K504, Helper!$E:$E, 0))</f>
        <v>#22AAD6</v>
      </c>
      <c r="M504" s="45" t="s">
        <v>2286</v>
      </c>
      <c r="N504" s="50" t="s">
        <v>1584</v>
      </c>
      <c r="O504" s="45" t="s">
        <v>2287</v>
      </c>
      <c r="P504" s="74" t="s">
        <v>2288</v>
      </c>
    </row>
    <row r="505" spans="1:16" ht="189">
      <c r="A505" s="44">
        <v>502</v>
      </c>
      <c r="B505" s="44">
        <v>2</v>
      </c>
      <c r="C505" s="44">
        <v>2</v>
      </c>
      <c r="D505" s="45" t="str">
        <f>INDEX(Helper!$N$2:$N$4, MATCH(C505, Helper!$M$2:$M$4, 0))</f>
        <v>Intermediate</v>
      </c>
      <c r="E505" s="45" t="s">
        <v>2030</v>
      </c>
      <c r="F505" s="45" t="s">
        <v>2289</v>
      </c>
      <c r="G505" s="5">
        <v>0</v>
      </c>
      <c r="H505" s="44">
        <v>1</v>
      </c>
      <c r="I505" s="44" t="str">
        <f>INDEX(Helper!$U:$U, MATCH(H505, Helper!$S:$S, 0))</f>
        <v>Standard (EADG)</v>
      </c>
      <c r="J505" s="44" t="s">
        <v>62</v>
      </c>
      <c r="K505" s="60" t="s">
        <v>371</v>
      </c>
      <c r="L505" s="44" t="str">
        <f>INDEX(Helper!$F:$F, MATCH(K505, Helper!$E:$E, 0))</f>
        <v>#B3F141</v>
      </c>
      <c r="M505" s="45" t="s">
        <v>2290</v>
      </c>
      <c r="N505" s="50" t="s">
        <v>1584</v>
      </c>
      <c r="O505" s="46" t="s">
        <v>2291</v>
      </c>
      <c r="P505" s="74" t="s">
        <v>2292</v>
      </c>
    </row>
    <row r="506" spans="1:16" ht="121.5">
      <c r="A506" s="44">
        <v>503</v>
      </c>
      <c r="B506" s="44">
        <v>2</v>
      </c>
      <c r="C506" s="44">
        <v>1</v>
      </c>
      <c r="D506" s="45" t="str">
        <f>INDEX(Helper!$N$2:$N$4, MATCH(C506, Helper!$M$2:$M$4, 0))</f>
        <v>Beginner</v>
      </c>
      <c r="E506" s="45" t="s">
        <v>1603</v>
      </c>
      <c r="F506" s="45" t="s">
        <v>2293</v>
      </c>
      <c r="G506" s="5">
        <v>3</v>
      </c>
      <c r="H506" s="44">
        <v>1</v>
      </c>
      <c r="I506" s="44" t="str">
        <f>INDEX(Helper!$U:$U, MATCH(H506, Helper!$S:$S, 0))</f>
        <v>Standard (EADG)</v>
      </c>
      <c r="J506" s="44" t="s">
        <v>393</v>
      </c>
      <c r="K506" s="66" t="s">
        <v>370</v>
      </c>
      <c r="L506" s="44" t="str">
        <f>INDEX(Helper!$F:$F, MATCH(K506, Helper!$E:$E, 0))</f>
        <v>#B3F141</v>
      </c>
      <c r="M506" s="45" t="s">
        <v>2294</v>
      </c>
      <c r="N506" s="45" t="s">
        <v>1737</v>
      </c>
      <c r="O506" s="45" t="s">
        <v>2295</v>
      </c>
      <c r="P506" s="74" t="s">
        <v>2296</v>
      </c>
    </row>
    <row r="507" spans="1:16" ht="135">
      <c r="A507" s="44">
        <v>504</v>
      </c>
      <c r="B507" s="44">
        <v>2</v>
      </c>
      <c r="C507" s="44">
        <v>2</v>
      </c>
      <c r="D507" s="45" t="str">
        <f>INDEX(Helper!$N$2:$N$4, MATCH(C507, Helper!$M$2:$M$4, 0))</f>
        <v>Intermediate</v>
      </c>
      <c r="E507" s="45" t="s">
        <v>1639</v>
      </c>
      <c r="F507" s="45" t="s">
        <v>2297</v>
      </c>
      <c r="G507" s="5">
        <v>3</v>
      </c>
      <c r="H507" s="30">
        <v>1</v>
      </c>
      <c r="I507" s="44" t="str">
        <f>INDEX(Helper!$U:$U, MATCH(H507, Helper!$S:$S, 0))</f>
        <v>Standard (EADG)</v>
      </c>
      <c r="J507" s="44" t="s">
        <v>794</v>
      </c>
      <c r="K507" s="86" t="s">
        <v>1641</v>
      </c>
      <c r="L507" s="44" t="str">
        <f>INDEX(Helper!$F:$F, MATCH(K507, Helper!$E:$E, 0))</f>
        <v>#22AAD6</v>
      </c>
      <c r="M507" s="45" t="s">
        <v>2298</v>
      </c>
      <c r="N507" s="50" t="s">
        <v>1584</v>
      </c>
      <c r="O507" s="45" t="s">
        <v>2299</v>
      </c>
      <c r="P507" s="74" t="s">
        <v>2300</v>
      </c>
    </row>
    <row r="508" spans="1:16" ht="189">
      <c r="A508" s="44">
        <v>505</v>
      </c>
      <c r="B508" s="44">
        <v>2</v>
      </c>
      <c r="C508" s="44">
        <v>2</v>
      </c>
      <c r="D508" s="45" t="str">
        <f>INDEX(Helper!$N$2:$N$4, MATCH(C508, Helper!$M$2:$M$4, 0))</f>
        <v>Intermediate</v>
      </c>
      <c r="E508" s="45" t="s">
        <v>2301</v>
      </c>
      <c r="F508" s="45" t="s">
        <v>2302</v>
      </c>
      <c r="G508" s="5">
        <v>0</v>
      </c>
      <c r="H508" s="44">
        <v>1</v>
      </c>
      <c r="I508" s="44" t="str">
        <f>INDEX(Helper!$U:$U, MATCH(H508, Helper!$S:$S, 0))</f>
        <v>Standard (EADG)</v>
      </c>
      <c r="J508" s="44" t="s">
        <v>618</v>
      </c>
      <c r="K508" s="86" t="s">
        <v>1641</v>
      </c>
      <c r="L508" s="44" t="str">
        <f>INDEX(Helper!$F:$F, MATCH(K508, Helper!$E:$E, 0))</f>
        <v>#22AAD6</v>
      </c>
      <c r="M508" s="45" t="s">
        <v>2303</v>
      </c>
      <c r="N508" s="50" t="s">
        <v>1584</v>
      </c>
      <c r="O508" s="46" t="s">
        <v>2304</v>
      </c>
      <c r="P508" s="74" t="s">
        <v>2305</v>
      </c>
    </row>
    <row r="509" spans="1:16" ht="121.5">
      <c r="A509" s="44">
        <v>506</v>
      </c>
      <c r="B509" s="44">
        <v>2</v>
      </c>
      <c r="C509" s="44">
        <v>3</v>
      </c>
      <c r="D509" s="45" t="str">
        <f>INDEX(Helper!$N$2:$N$4, MATCH(C509, Helper!$M$2:$M$4, 0))</f>
        <v>Advanced</v>
      </c>
      <c r="E509" s="45" t="s">
        <v>2306</v>
      </c>
      <c r="F509" s="45" t="s">
        <v>2307</v>
      </c>
      <c r="G509" s="5">
        <v>3</v>
      </c>
      <c r="H509" s="44">
        <v>1</v>
      </c>
      <c r="I509" s="44" t="str">
        <f>INDEX(Helper!$U:$U, MATCH(H509, Helper!$S:$S, 0))</f>
        <v>Standard (EADG)</v>
      </c>
      <c r="J509" s="44" t="s">
        <v>59</v>
      </c>
      <c r="K509" s="89" t="s">
        <v>2308</v>
      </c>
      <c r="L509" s="44" t="str">
        <f>INDEX(Helper!$F:$F, MATCH(K509, Helper!$E:$E, 0))</f>
        <v>#8AF1AA</v>
      </c>
      <c r="M509" s="48" t="s">
        <v>2309</v>
      </c>
      <c r="N509" s="50" t="s">
        <v>1584</v>
      </c>
      <c r="O509" s="48" t="s">
        <v>2310</v>
      </c>
      <c r="P509" s="74" t="s">
        <v>2311</v>
      </c>
    </row>
    <row r="510" spans="1:16" ht="54">
      <c r="A510" s="44">
        <v>507</v>
      </c>
      <c r="B510" s="44">
        <v>2</v>
      </c>
      <c r="C510" s="44">
        <v>1</v>
      </c>
      <c r="D510" s="45" t="str">
        <f>INDEX(Helper!$N$2:$N$4, MATCH(C510, Helper!$M$2:$M$4, 0))</f>
        <v>Beginner</v>
      </c>
      <c r="E510" s="45" t="s">
        <v>1603</v>
      </c>
      <c r="F510" s="45" t="s">
        <v>2312</v>
      </c>
      <c r="G510" s="5">
        <v>3</v>
      </c>
      <c r="H510" s="44">
        <v>1</v>
      </c>
      <c r="I510" s="44" t="str">
        <f>INDEX(Helper!$U:$U, MATCH(H510, Helper!$S:$S, 0))</f>
        <v>Standard (EADG)</v>
      </c>
      <c r="J510" s="44" t="s">
        <v>59</v>
      </c>
      <c r="K510" s="66" t="s">
        <v>370</v>
      </c>
      <c r="L510" s="44" t="str">
        <f>INDEX(Helper!$F:$F, MATCH(K510, Helper!$E:$E, 0))</f>
        <v>#B3F141</v>
      </c>
      <c r="M510" s="45" t="s">
        <v>2313</v>
      </c>
      <c r="N510" s="45" t="s">
        <v>1737</v>
      </c>
      <c r="O510" s="45" t="s">
        <v>2314</v>
      </c>
      <c r="P510" s="74" t="s">
        <v>2315</v>
      </c>
    </row>
    <row r="511" spans="1:16" ht="135">
      <c r="A511" s="44">
        <v>508</v>
      </c>
      <c r="B511" s="44">
        <v>2</v>
      </c>
      <c r="C511" s="44">
        <v>2</v>
      </c>
      <c r="D511" s="45" t="str">
        <f>INDEX(Helper!$N$2:$N$4, MATCH(C511, Helper!$M$2:$M$4, 0))</f>
        <v>Intermediate</v>
      </c>
      <c r="E511" s="45" t="s">
        <v>90</v>
      </c>
      <c r="F511" s="45" t="s">
        <v>92</v>
      </c>
      <c r="G511" s="5">
        <v>0</v>
      </c>
      <c r="H511" s="44">
        <v>1</v>
      </c>
      <c r="I511" s="44" t="str">
        <f>INDEX(Helper!$U:$U, MATCH(H511, Helper!$S:$S, 0))</f>
        <v>Standard (EADG)</v>
      </c>
      <c r="J511" s="44" t="s">
        <v>61</v>
      </c>
      <c r="K511" s="65" t="s">
        <v>13</v>
      </c>
      <c r="L511" s="44" t="str">
        <f>INDEX(Helper!$F:$F, MATCH(K511, Helper!$E:$E, 0))</f>
        <v>#FF4F53</v>
      </c>
      <c r="M511" s="45" t="s">
        <v>517</v>
      </c>
      <c r="N511" s="50" t="s">
        <v>1584</v>
      </c>
      <c r="O511" s="45" t="s">
        <v>2316</v>
      </c>
      <c r="P511" s="74" t="s">
        <v>2317</v>
      </c>
    </row>
    <row r="512" spans="1:16" ht="54">
      <c r="A512" s="44">
        <v>509</v>
      </c>
      <c r="B512" s="44">
        <v>2</v>
      </c>
      <c r="C512" s="44">
        <v>2</v>
      </c>
      <c r="D512" s="45" t="str">
        <f>INDEX(Helper!$N$2:$N$4, MATCH(C512, Helper!$M$2:$M$4, 0))</f>
        <v>Intermediate</v>
      </c>
      <c r="E512" s="45" t="s">
        <v>2318</v>
      </c>
      <c r="F512" s="45" t="s">
        <v>2319</v>
      </c>
      <c r="G512" s="5">
        <v>0</v>
      </c>
      <c r="H512" s="44">
        <v>1</v>
      </c>
      <c r="I512" s="44" t="str">
        <f>INDEX(Helper!$U:$U, MATCH(H512, Helper!$S:$S, 0))</f>
        <v>Standard (EADG)</v>
      </c>
      <c r="J512" s="44" t="s">
        <v>61</v>
      </c>
      <c r="K512" s="91" t="s">
        <v>1617</v>
      </c>
      <c r="L512" s="44" t="str">
        <f>INDEX(Helper!$F:$F, MATCH(K512, Helper!$E:$E, 0))</f>
        <v>#FFE129</v>
      </c>
      <c r="M512" s="45" t="s">
        <v>2320</v>
      </c>
      <c r="N512" s="50" t="s">
        <v>1584</v>
      </c>
      <c r="O512" s="45" t="s">
        <v>2321</v>
      </c>
      <c r="P512" s="74" t="s">
        <v>2322</v>
      </c>
    </row>
    <row r="513" spans="1:16" ht="121.5">
      <c r="A513" s="44">
        <v>510</v>
      </c>
      <c r="B513" s="44">
        <v>2</v>
      </c>
      <c r="C513" s="44">
        <v>2</v>
      </c>
      <c r="D513" s="45" t="str">
        <f>INDEX(Helper!$N$2:$N$4, MATCH(C513, Helper!$M$2:$M$4, 0))</f>
        <v>Intermediate</v>
      </c>
      <c r="E513" s="45" t="s">
        <v>2030</v>
      </c>
      <c r="F513" s="45" t="s">
        <v>2323</v>
      </c>
      <c r="G513" s="5">
        <v>3</v>
      </c>
      <c r="H513" s="44">
        <v>1</v>
      </c>
      <c r="I513" s="44" t="str">
        <f>INDEX(Helper!$U:$U, MATCH(H513, Helper!$S:$S, 0))</f>
        <v>Standard (EADG)</v>
      </c>
      <c r="J513" s="44" t="s">
        <v>393</v>
      </c>
      <c r="K513" s="60" t="s">
        <v>371</v>
      </c>
      <c r="L513" s="44" t="str">
        <f>INDEX(Helper!$F:$F, MATCH(K513, Helper!$E:$E, 0))</f>
        <v>#B3F141</v>
      </c>
      <c r="M513" s="45" t="s">
        <v>2324</v>
      </c>
      <c r="N513" s="50" t="s">
        <v>1584</v>
      </c>
      <c r="O513" s="45" t="s">
        <v>2325</v>
      </c>
      <c r="P513" s="74" t="s">
        <v>2326</v>
      </c>
    </row>
    <row r="514" spans="1:16" ht="409.5">
      <c r="A514" s="44">
        <v>511</v>
      </c>
      <c r="B514" s="44">
        <v>2</v>
      </c>
      <c r="C514" s="44">
        <v>2</v>
      </c>
      <c r="D514" s="45" t="str">
        <f>INDEX(Helper!$N$2:$N$4, MATCH(C514, Helper!$M$2:$M$4, 0))</f>
        <v>Intermediate</v>
      </c>
      <c r="E514" s="45" t="s">
        <v>2327</v>
      </c>
      <c r="F514" s="45" t="s">
        <v>2328</v>
      </c>
      <c r="G514" s="5">
        <v>0</v>
      </c>
      <c r="H514" s="44">
        <v>1</v>
      </c>
      <c r="I514" s="44" t="str">
        <f>INDEX(Helper!$U:$U, MATCH(H514, Helper!$S:$S, 0))</f>
        <v>Standard (EADG)</v>
      </c>
      <c r="J514" s="44" t="s">
        <v>842</v>
      </c>
      <c r="K514" s="60" t="s">
        <v>371</v>
      </c>
      <c r="L514" s="44" t="str">
        <f>INDEX(Helper!$F:$F, MATCH(K514, Helper!$E:$E, 0))</f>
        <v>#B3F141</v>
      </c>
      <c r="M514" s="45" t="s">
        <v>2329</v>
      </c>
      <c r="N514" s="50" t="s">
        <v>1584</v>
      </c>
      <c r="O514" s="45" t="s">
        <v>2330</v>
      </c>
      <c r="P514" s="74" t="s">
        <v>2331</v>
      </c>
    </row>
    <row r="515" spans="1:16" ht="121.5">
      <c r="A515" s="44">
        <v>512</v>
      </c>
      <c r="B515" s="44">
        <v>2</v>
      </c>
      <c r="C515" s="44">
        <v>3</v>
      </c>
      <c r="D515" s="45" t="str">
        <f>INDEX(Helper!$N$2:$N$4, MATCH(C515, Helper!$M$2:$M$4, 0))</f>
        <v>Advanced</v>
      </c>
      <c r="E515" s="45" t="s">
        <v>2332</v>
      </c>
      <c r="F515" s="45" t="s">
        <v>2333</v>
      </c>
      <c r="G515" s="5">
        <v>0</v>
      </c>
      <c r="H515" s="44">
        <v>1</v>
      </c>
      <c r="I515" s="44" t="str">
        <f>INDEX(Helper!$U:$U, MATCH(H515, Helper!$S:$S, 0))</f>
        <v>Standard (EADG)</v>
      </c>
      <c r="J515" s="44" t="s">
        <v>61</v>
      </c>
      <c r="K515" s="91" t="s">
        <v>1617</v>
      </c>
      <c r="L515" s="44" t="str">
        <f>INDEX(Helper!$F:$F, MATCH(K515, Helper!$E:$E, 0))</f>
        <v>#FFE129</v>
      </c>
      <c r="M515" s="45" t="s">
        <v>1724</v>
      </c>
      <c r="N515" s="50" t="s">
        <v>1584</v>
      </c>
      <c r="O515" s="45" t="s">
        <v>2334</v>
      </c>
      <c r="P515" s="74" t="s">
        <v>2335</v>
      </c>
    </row>
    <row r="516" spans="1:16" ht="54">
      <c r="A516" s="44">
        <v>513</v>
      </c>
      <c r="B516" s="44">
        <v>2</v>
      </c>
      <c r="C516" s="44">
        <v>1</v>
      </c>
      <c r="D516" s="45" t="str">
        <f>INDEX(Helper!$N$2:$N$4, MATCH(C516, Helper!$M$2:$M$4, 0))</f>
        <v>Beginner</v>
      </c>
      <c r="E516" s="45" t="s">
        <v>2047</v>
      </c>
      <c r="F516" s="45" t="s">
        <v>2336</v>
      </c>
      <c r="G516" s="5">
        <v>0</v>
      </c>
      <c r="H516" s="44">
        <v>1</v>
      </c>
      <c r="I516" s="44" t="str">
        <f>INDEX(Helper!$U:$U, MATCH(H516, Helper!$S:$S, 0))</f>
        <v>Standard (EADG)</v>
      </c>
      <c r="J516" s="44" t="s">
        <v>64</v>
      </c>
      <c r="K516" s="60" t="s">
        <v>1253</v>
      </c>
      <c r="L516" s="44" t="str">
        <f>INDEX(Helper!$F:$F, MATCH(K516, Helper!$E:$E, 0))</f>
        <v>#B3F141</v>
      </c>
      <c r="M516" s="45" t="s">
        <v>2337</v>
      </c>
      <c r="N516" s="50" t="s">
        <v>1584</v>
      </c>
      <c r="O516" s="45" t="s">
        <v>2050</v>
      </c>
      <c r="P516" s="74" t="s">
        <v>2338</v>
      </c>
    </row>
    <row r="517" spans="1:16" ht="135">
      <c r="A517" s="44">
        <v>514</v>
      </c>
      <c r="B517" s="44">
        <v>2</v>
      </c>
      <c r="C517" s="44">
        <v>2</v>
      </c>
      <c r="D517" s="45" t="str">
        <f>INDEX(Helper!$N$2:$N$4, MATCH(C517, Helper!$M$2:$M$4, 0))</f>
        <v>Intermediate</v>
      </c>
      <c r="E517" s="45" t="s">
        <v>1196</v>
      </c>
      <c r="F517" s="45" t="s">
        <v>1195</v>
      </c>
      <c r="G517" s="5">
        <v>3</v>
      </c>
      <c r="H517" s="44">
        <v>1</v>
      </c>
      <c r="I517" s="44" t="str">
        <f>INDEX(Helper!$U:$U, MATCH(H517, Helper!$S:$S, 0))</f>
        <v>Standard (EADG)</v>
      </c>
      <c r="J517" s="44" t="s">
        <v>65</v>
      </c>
      <c r="K517" s="60" t="s">
        <v>29</v>
      </c>
      <c r="L517" s="44" t="str">
        <f>INDEX(Helper!$F:$F, MATCH(K517, Helper!$E:$E, 0))</f>
        <v>#66E586</v>
      </c>
      <c r="M517" s="45" t="s">
        <v>1272</v>
      </c>
      <c r="N517" s="50" t="s">
        <v>1584</v>
      </c>
      <c r="O517" s="45" t="s">
        <v>2339</v>
      </c>
      <c r="P517" s="74" t="s">
        <v>2340</v>
      </c>
    </row>
    <row r="518" spans="1:16" ht="54">
      <c r="A518" s="44">
        <v>515</v>
      </c>
      <c r="B518" s="44">
        <v>2</v>
      </c>
      <c r="C518" s="44">
        <v>1</v>
      </c>
      <c r="D518" s="45" t="str">
        <f>INDEX(Helper!$N$2:$N$4, MATCH(C518, Helper!$M$2:$M$4, 0))</f>
        <v>Beginner</v>
      </c>
      <c r="E518" s="45" t="s">
        <v>105</v>
      </c>
      <c r="F518" s="45" t="s">
        <v>2341</v>
      </c>
      <c r="G518" s="5">
        <v>3</v>
      </c>
      <c r="H518" s="44">
        <v>1</v>
      </c>
      <c r="I518" s="44" t="str">
        <f>INDEX(Helper!$U:$U, MATCH(H518, Helper!$S:$S, 0))</f>
        <v>Standard (EADG)</v>
      </c>
      <c r="J518" s="44" t="s">
        <v>66</v>
      </c>
      <c r="K518" s="71" t="s">
        <v>27</v>
      </c>
      <c r="L518" s="44" t="str">
        <f>INDEX(Helper!$F:$F, MATCH(K518, Helper!$E:$E, 0))</f>
        <v>#B2DB4B</v>
      </c>
      <c r="M518" s="45" t="s">
        <v>529</v>
      </c>
      <c r="N518" s="50" t="s">
        <v>1584</v>
      </c>
      <c r="O518" s="45" t="s">
        <v>2342</v>
      </c>
      <c r="P518" s="74" t="s">
        <v>2343</v>
      </c>
    </row>
    <row r="519" spans="1:16" ht="405">
      <c r="A519" s="44">
        <v>516</v>
      </c>
      <c r="B519" s="44">
        <v>2</v>
      </c>
      <c r="C519" s="44">
        <v>3</v>
      </c>
      <c r="D519" s="45" t="str">
        <f>INDEX(Helper!$N$2:$N$4, MATCH(C519, Helper!$M$2:$M$4, 0))</f>
        <v>Advanced</v>
      </c>
      <c r="E519" s="45" t="s">
        <v>116</v>
      </c>
      <c r="F519" s="45" t="s">
        <v>2344</v>
      </c>
      <c r="G519" s="5">
        <v>0</v>
      </c>
      <c r="H519" s="44">
        <v>1</v>
      </c>
      <c r="I519" s="44" t="str">
        <f>INDEX(Helper!$U:$U, MATCH(H519, Helper!$S:$S, 0))</f>
        <v>Standard (EADG)</v>
      </c>
      <c r="J519" s="44" t="s">
        <v>794</v>
      </c>
      <c r="K519" s="63" t="s">
        <v>19</v>
      </c>
      <c r="L519" s="44" t="str">
        <f>INDEX(Helper!$F:$F, MATCH(K519, Helper!$E:$E, 0))</f>
        <v>#FFDD21</v>
      </c>
      <c r="M519" s="45" t="s">
        <v>2345</v>
      </c>
      <c r="N519" s="50" t="s">
        <v>1584</v>
      </c>
      <c r="O519" s="45" t="s">
        <v>2346</v>
      </c>
      <c r="P519" s="74" t="s">
        <v>2347</v>
      </c>
    </row>
    <row r="520" spans="1:16" ht="270">
      <c r="A520" s="44">
        <v>517</v>
      </c>
      <c r="B520" s="44">
        <v>2</v>
      </c>
      <c r="C520" s="44">
        <v>3</v>
      </c>
      <c r="D520" s="45" t="str">
        <f>INDEX(Helper!$N$2:$N$4, MATCH(C520, Helper!$M$2:$M$4, 0))</f>
        <v>Advanced</v>
      </c>
      <c r="E520" s="45" t="s">
        <v>271</v>
      </c>
      <c r="F520" s="45" t="s">
        <v>2348</v>
      </c>
      <c r="G520" s="5">
        <v>0</v>
      </c>
      <c r="H520" s="44">
        <v>1</v>
      </c>
      <c r="I520" s="44" t="str">
        <f>INDEX(Helper!$U:$U, MATCH(H520, Helper!$S:$S, 0))</f>
        <v>Standard (EADG)</v>
      </c>
      <c r="J520" s="44" t="s">
        <v>65</v>
      </c>
      <c r="K520" s="64" t="s">
        <v>15</v>
      </c>
      <c r="L520" s="44" t="str">
        <f>INDEX(Helper!$F:$F, MATCH(K520, Helper!$E:$E, 0))</f>
        <v>#C2C2A1</v>
      </c>
      <c r="M520" s="45" t="s">
        <v>2349</v>
      </c>
      <c r="N520" s="50" t="s">
        <v>1584</v>
      </c>
      <c r="O520" s="45" t="s">
        <v>2350</v>
      </c>
      <c r="P520" s="74" t="s">
        <v>2351</v>
      </c>
    </row>
    <row r="521" spans="1:16" ht="54">
      <c r="A521" s="44">
        <v>518</v>
      </c>
      <c r="B521" s="44">
        <v>2</v>
      </c>
      <c r="C521" s="44">
        <v>2</v>
      </c>
      <c r="D521" s="45" t="str">
        <f>INDEX(Helper!$N$2:$N$4, MATCH(C521, Helper!$M$2:$M$4, 0))</f>
        <v>Intermediate</v>
      </c>
      <c r="E521" s="45" t="s">
        <v>2352</v>
      </c>
      <c r="F521" s="45" t="s">
        <v>2353</v>
      </c>
      <c r="G521" s="5">
        <v>3</v>
      </c>
      <c r="H521" s="53">
        <v>1</v>
      </c>
      <c r="I521" s="44" t="str">
        <f>INDEX(Helper!$U:$U, MATCH(H521, Helper!$S:$S, 0))</f>
        <v>Standard (EADG)</v>
      </c>
      <c r="J521" s="44" t="s">
        <v>61</v>
      </c>
      <c r="K521" s="71" t="s">
        <v>27</v>
      </c>
      <c r="L521" s="44" t="str">
        <f>INDEX(Helper!$F:$F, MATCH(K521, Helper!$E:$E, 0))</f>
        <v>#B2DB4B</v>
      </c>
      <c r="M521" s="45" t="s">
        <v>2354</v>
      </c>
      <c r="N521" s="50" t="s">
        <v>1584</v>
      </c>
      <c r="O521" s="45" t="s">
        <v>2355</v>
      </c>
      <c r="P521" s="74" t="s">
        <v>2356</v>
      </c>
    </row>
    <row r="522" spans="1:16" ht="54">
      <c r="A522" s="44">
        <v>519</v>
      </c>
      <c r="B522" s="44">
        <v>2</v>
      </c>
      <c r="C522" s="44">
        <v>1</v>
      </c>
      <c r="D522" s="45" t="str">
        <f>INDEX(Helper!$N$2:$N$4, MATCH(C522, Helper!$M$2:$M$4, 0))</f>
        <v>Beginner</v>
      </c>
      <c r="E522" s="45" t="s">
        <v>2357</v>
      </c>
      <c r="F522" s="45" t="s">
        <v>2358</v>
      </c>
      <c r="G522" s="5">
        <v>3</v>
      </c>
      <c r="H522" s="44">
        <v>1</v>
      </c>
      <c r="I522" s="44" t="str">
        <f>INDEX(Helper!$U:$U, MATCH(H522, Helper!$S:$S, 0))</f>
        <v>Standard (EADG)</v>
      </c>
      <c r="J522" s="44" t="s">
        <v>393</v>
      </c>
      <c r="K522" s="65" t="s">
        <v>13</v>
      </c>
      <c r="L522" s="44" t="str">
        <f>INDEX(Helper!$F:$F, MATCH(K522, Helper!$E:$E, 0))</f>
        <v>#FF4F53</v>
      </c>
      <c r="M522" s="45" t="s">
        <v>2359</v>
      </c>
      <c r="N522" s="50" t="s">
        <v>1584</v>
      </c>
      <c r="O522" s="45" t="s">
        <v>2360</v>
      </c>
      <c r="P522" s="74" t="s">
        <v>2361</v>
      </c>
    </row>
    <row r="523" spans="1:16" ht="189">
      <c r="A523" s="44">
        <v>520</v>
      </c>
      <c r="B523" s="44">
        <v>2</v>
      </c>
      <c r="C523" s="44">
        <v>2</v>
      </c>
      <c r="D523" s="45" t="str">
        <f>INDEX(Helper!$N$2:$N$4, MATCH(C523, Helper!$M$2:$M$4, 0))</f>
        <v>Intermediate</v>
      </c>
      <c r="E523" s="45" t="s">
        <v>329</v>
      </c>
      <c r="F523" s="45" t="s">
        <v>330</v>
      </c>
      <c r="G523" s="5">
        <v>3</v>
      </c>
      <c r="H523" s="44">
        <v>1</v>
      </c>
      <c r="I523" s="44" t="str">
        <f>INDEX(Helper!$U:$U, MATCH(H523, Helper!$S:$S, 0))</f>
        <v>Standard (EADG)</v>
      </c>
      <c r="J523" s="44" t="s">
        <v>1268</v>
      </c>
      <c r="K523" s="66" t="s">
        <v>370</v>
      </c>
      <c r="L523" s="44" t="str">
        <f>INDEX(Helper!$F:$F, MATCH(K523, Helper!$E:$E, 0))</f>
        <v>#B3F141</v>
      </c>
      <c r="M523" s="45" t="s">
        <v>471</v>
      </c>
      <c r="N523" s="45" t="s">
        <v>1737</v>
      </c>
      <c r="O523" s="46" t="s">
        <v>2362</v>
      </c>
      <c r="P523" s="74" t="s">
        <v>2363</v>
      </c>
    </row>
    <row r="524" spans="1:16" ht="283.5">
      <c r="A524" s="44">
        <v>521</v>
      </c>
      <c r="B524" s="44">
        <v>2</v>
      </c>
      <c r="C524" s="44">
        <v>2</v>
      </c>
      <c r="D524" s="45" t="str">
        <f>INDEX(Helper!$N$2:$N$4, MATCH(C524, Helper!$M$2:$M$4, 0))</f>
        <v>Intermediate</v>
      </c>
      <c r="E524" s="45" t="s">
        <v>1654</v>
      </c>
      <c r="F524" s="45" t="s">
        <v>2364</v>
      </c>
      <c r="G524" s="5">
        <v>3</v>
      </c>
      <c r="H524" s="44">
        <v>1</v>
      </c>
      <c r="I524" s="44" t="str">
        <f>INDEX(Helper!$U:$U, MATCH(H524, Helper!$S:$S, 0))</f>
        <v>Standard (EADG)</v>
      </c>
      <c r="J524" s="44" t="s">
        <v>794</v>
      </c>
      <c r="K524" s="91" t="s">
        <v>1617</v>
      </c>
      <c r="L524" s="44" t="str">
        <f>INDEX(Helper!$F:$F, MATCH(K524, Helper!$E:$E, 0))</f>
        <v>#FFE129</v>
      </c>
      <c r="M524" s="45" t="s">
        <v>2365</v>
      </c>
      <c r="N524" s="50" t="s">
        <v>1584</v>
      </c>
      <c r="O524" s="45" t="s">
        <v>2366</v>
      </c>
      <c r="P524" s="74" t="s">
        <v>2367</v>
      </c>
    </row>
    <row r="525" spans="1:16" ht="283.5">
      <c r="A525" s="44">
        <v>522</v>
      </c>
      <c r="B525" s="44">
        <v>2</v>
      </c>
      <c r="C525" s="44">
        <v>2</v>
      </c>
      <c r="D525" s="45" t="str">
        <f>INDEX(Helper!$N$2:$N$4, MATCH(C525, Helper!$M$2:$M$4, 0))</f>
        <v>Intermediate</v>
      </c>
      <c r="E525" s="45" t="s">
        <v>1639</v>
      </c>
      <c r="F525" s="45" t="s">
        <v>2368</v>
      </c>
      <c r="G525" s="5">
        <v>0</v>
      </c>
      <c r="H525" s="44">
        <v>1</v>
      </c>
      <c r="I525" s="44" t="str">
        <f>INDEX(Helper!$U:$U, MATCH(H525, Helper!$S:$S, 0))</f>
        <v>Standard (EADG)</v>
      </c>
      <c r="J525" s="44" t="s">
        <v>623</v>
      </c>
      <c r="K525" s="86" t="s">
        <v>1641</v>
      </c>
      <c r="L525" s="44" t="str">
        <f>INDEX(Helper!$F:$F, MATCH(K525, Helper!$E:$E, 0))</f>
        <v>#22AAD6</v>
      </c>
      <c r="M525" s="45" t="s">
        <v>2369</v>
      </c>
      <c r="N525" s="50" t="s">
        <v>1584</v>
      </c>
      <c r="O525" s="45" t="s">
        <v>2370</v>
      </c>
      <c r="P525" s="74" t="s">
        <v>2371</v>
      </c>
    </row>
    <row r="526" spans="1:16" ht="297">
      <c r="A526" s="44">
        <v>523</v>
      </c>
      <c r="B526" s="44">
        <v>2</v>
      </c>
      <c r="C526" s="44">
        <v>1</v>
      </c>
      <c r="D526" s="45" t="str">
        <f>INDEX(Helper!$N$2:$N$4, MATCH(C526, Helper!$M$2:$M$4, 0))</f>
        <v>Beginner</v>
      </c>
      <c r="E526" s="45" t="s">
        <v>2372</v>
      </c>
      <c r="F526" s="45" t="s">
        <v>2373</v>
      </c>
      <c r="G526" s="5">
        <v>0</v>
      </c>
      <c r="H526" s="44">
        <v>1</v>
      </c>
      <c r="I526" s="44" t="str">
        <f>INDEX(Helper!$U:$U, MATCH(H526, Helper!$S:$S, 0))</f>
        <v>Standard (EADG)</v>
      </c>
      <c r="J526" s="44" t="s">
        <v>62</v>
      </c>
      <c r="K526" s="61" t="s">
        <v>11</v>
      </c>
      <c r="L526" s="44" t="str">
        <f>INDEX(Helper!$F:$F, MATCH(K526, Helper!$E:$E, 0))</f>
        <v>#E8AD1D</v>
      </c>
      <c r="M526" s="45" t="s">
        <v>2374</v>
      </c>
      <c r="N526" s="50" t="s">
        <v>1584</v>
      </c>
      <c r="O526" s="46" t="s">
        <v>2375</v>
      </c>
      <c r="P526" s="74" t="s">
        <v>2376</v>
      </c>
    </row>
    <row r="527" spans="1:16" ht="54">
      <c r="A527" s="44">
        <v>524</v>
      </c>
      <c r="B527" s="44">
        <v>2</v>
      </c>
      <c r="C527" s="44">
        <v>1</v>
      </c>
      <c r="D527" s="45" t="str">
        <f>INDEX(Helper!$N$2:$N$4, MATCH(C527, Helper!$M$2:$M$4, 0))</f>
        <v>Beginner</v>
      </c>
      <c r="E527" s="45" t="s">
        <v>2377</v>
      </c>
      <c r="F527" s="45" t="s">
        <v>2378</v>
      </c>
      <c r="G527" s="5">
        <v>0</v>
      </c>
      <c r="H527" s="44">
        <v>1</v>
      </c>
      <c r="I527" s="44" t="str">
        <f>INDEX(Helper!$U:$U, MATCH(H527, Helper!$S:$S, 0))</f>
        <v>Standard (EADG)</v>
      </c>
      <c r="J527" s="44" t="s">
        <v>842</v>
      </c>
      <c r="K527" s="88" t="s">
        <v>1587</v>
      </c>
      <c r="L527" s="44" t="str">
        <f>INDEX(Helper!$F:$F, MATCH(K527, Helper!$E:$E, 0))</f>
        <v>#B3F141</v>
      </c>
      <c r="M527" s="45" t="s">
        <v>2379</v>
      </c>
      <c r="N527" s="50" t="s">
        <v>1584</v>
      </c>
      <c r="O527" s="45" t="s">
        <v>2380</v>
      </c>
      <c r="P527" s="74" t="s">
        <v>2381</v>
      </c>
    </row>
    <row r="528" spans="1:16" ht="121.5">
      <c r="A528" s="44">
        <v>525</v>
      </c>
      <c r="B528" s="44">
        <v>2</v>
      </c>
      <c r="C528" s="44">
        <v>2</v>
      </c>
      <c r="D528" s="45" t="str">
        <f>INDEX(Helper!$N$2:$N$4, MATCH(C528, Helper!$M$2:$M$4, 0))</f>
        <v>Intermediate</v>
      </c>
      <c r="E528" s="45" t="s">
        <v>36</v>
      </c>
      <c r="F528" s="45" t="s">
        <v>2382</v>
      </c>
      <c r="G528" s="5">
        <v>0</v>
      </c>
      <c r="H528" s="44">
        <v>1</v>
      </c>
      <c r="I528" s="44" t="str">
        <f>INDEX(Helper!$U:$U, MATCH(H528, Helper!$S:$S, 0))</f>
        <v>Standard (EADG)</v>
      </c>
      <c r="J528" s="44" t="s">
        <v>59</v>
      </c>
      <c r="K528" s="64" t="s">
        <v>15</v>
      </c>
      <c r="L528" s="44" t="str">
        <f>INDEX(Helper!$F:$F, MATCH(K528, Helper!$E:$E, 0))</f>
        <v>#C2C2A1</v>
      </c>
      <c r="M528" s="45" t="s">
        <v>2383</v>
      </c>
      <c r="N528" s="45" t="s">
        <v>1737</v>
      </c>
      <c r="O528" s="45" t="s">
        <v>2384</v>
      </c>
      <c r="P528" s="74" t="s">
        <v>2385</v>
      </c>
    </row>
    <row r="529" spans="1:16" ht="121.5">
      <c r="A529" s="44">
        <v>526</v>
      </c>
      <c r="B529" s="44">
        <v>2</v>
      </c>
      <c r="C529" s="44">
        <v>1</v>
      </c>
      <c r="D529" s="45" t="str">
        <f>INDEX(Helper!$N$2:$N$4, MATCH(C529, Helper!$M$2:$M$4, 0))</f>
        <v>Beginner</v>
      </c>
      <c r="E529" s="45" t="s">
        <v>36</v>
      </c>
      <c r="F529" s="45" t="s">
        <v>55</v>
      </c>
      <c r="G529" s="5">
        <v>0</v>
      </c>
      <c r="H529" s="44">
        <v>1</v>
      </c>
      <c r="I529" s="44" t="str">
        <f>INDEX(Helper!$U:$U, MATCH(H529, Helper!$S:$S, 0))</f>
        <v>Standard (EADG)</v>
      </c>
      <c r="J529" s="44" t="s">
        <v>61</v>
      </c>
      <c r="K529" s="64" t="s">
        <v>15</v>
      </c>
      <c r="L529" s="44" t="str">
        <f>INDEX(Helper!$F:$F, MATCH(K529, Helper!$E:$E, 0))</f>
        <v>#C2C2A1</v>
      </c>
      <c r="M529" s="45" t="s">
        <v>2386</v>
      </c>
      <c r="N529" s="45" t="s">
        <v>1737</v>
      </c>
      <c r="O529" s="75" t="s">
        <v>2387</v>
      </c>
      <c r="P529" s="74" t="s">
        <v>2388</v>
      </c>
    </row>
    <row r="530" spans="1:16" ht="54">
      <c r="A530" s="44">
        <v>527</v>
      </c>
      <c r="B530" s="44">
        <v>2</v>
      </c>
      <c r="C530" s="44">
        <v>1</v>
      </c>
      <c r="D530" s="45" t="str">
        <f>INDEX(Helper!$N$2:$N$4, MATCH(C530, Helper!$M$2:$M$4, 0))</f>
        <v>Beginner</v>
      </c>
      <c r="E530" s="45" t="s">
        <v>90</v>
      </c>
      <c r="F530" s="45" t="s">
        <v>2389</v>
      </c>
      <c r="G530" s="5">
        <v>0</v>
      </c>
      <c r="H530" s="44">
        <v>1</v>
      </c>
      <c r="I530" s="44" t="str">
        <f>INDEX(Helper!$U:$U, MATCH(H530, Helper!$S:$S, 0))</f>
        <v>Standard (EADG)</v>
      </c>
      <c r="J530" s="44" t="s">
        <v>59</v>
      </c>
      <c r="K530" s="65" t="s">
        <v>13</v>
      </c>
      <c r="L530" s="44" t="str">
        <f>INDEX(Helper!$F:$F, MATCH(K530, Helper!$E:$E, 0))</f>
        <v>#FF4F53</v>
      </c>
      <c r="M530" s="45" t="s">
        <v>2390</v>
      </c>
      <c r="N530" s="50" t="s">
        <v>1584</v>
      </c>
      <c r="O530" s="45" t="s">
        <v>2391</v>
      </c>
      <c r="P530" s="74" t="s">
        <v>2392</v>
      </c>
    </row>
    <row r="531" spans="1:16" ht="216">
      <c r="A531" s="44">
        <v>528</v>
      </c>
      <c r="B531" s="44">
        <v>2</v>
      </c>
      <c r="C531" s="44">
        <v>3</v>
      </c>
      <c r="D531" s="45" t="str">
        <f>INDEX(Helper!$N$2:$N$4, MATCH(C531, Helper!$M$2:$M$4, 0))</f>
        <v>Advanced</v>
      </c>
      <c r="E531" s="45" t="s">
        <v>90</v>
      </c>
      <c r="F531" s="45" t="s">
        <v>2393</v>
      </c>
      <c r="G531" s="5">
        <v>3</v>
      </c>
      <c r="H531" s="44">
        <v>1</v>
      </c>
      <c r="I531" s="44" t="str">
        <f>INDEX(Helper!$U:$U, MATCH(H531, Helper!$S:$S, 0))</f>
        <v>Standard (EADG)</v>
      </c>
      <c r="J531" s="44" t="s">
        <v>623</v>
      </c>
      <c r="K531" s="65" t="s">
        <v>13</v>
      </c>
      <c r="L531" s="44" t="str">
        <f>INDEX(Helper!$F:$F, MATCH(K531, Helper!$E:$E, 0))</f>
        <v>#FF4F53</v>
      </c>
      <c r="M531" s="45" t="s">
        <v>2394</v>
      </c>
      <c r="N531" s="50" t="s">
        <v>1584</v>
      </c>
      <c r="O531" s="45" t="s">
        <v>2395</v>
      </c>
      <c r="P531" s="74" t="s">
        <v>2396</v>
      </c>
    </row>
    <row r="532" spans="1:16" ht="54">
      <c r="A532" s="44">
        <v>529</v>
      </c>
      <c r="B532" s="44">
        <v>2</v>
      </c>
      <c r="C532" s="44">
        <v>1</v>
      </c>
      <c r="D532" s="45" t="str">
        <f>INDEX(Helper!$N$2:$N$4, MATCH(C532, Helper!$M$2:$M$4, 0))</f>
        <v>Beginner</v>
      </c>
      <c r="E532" s="45" t="s">
        <v>2397</v>
      </c>
      <c r="F532" s="45" t="s">
        <v>2398</v>
      </c>
      <c r="G532" s="5">
        <v>3</v>
      </c>
      <c r="H532" s="44">
        <v>1</v>
      </c>
      <c r="I532" s="44" t="str">
        <f>INDEX(Helper!$U:$U, MATCH(H532, Helper!$S:$S, 0))</f>
        <v>Standard (EADG)</v>
      </c>
      <c r="J532" s="44" t="s">
        <v>618</v>
      </c>
      <c r="K532" s="60" t="s">
        <v>1253</v>
      </c>
      <c r="L532" s="44" t="str">
        <f>INDEX(Helper!$F:$F, MATCH(K532, Helper!$E:$E, 0))</f>
        <v>#B3F141</v>
      </c>
      <c r="M532" s="45" t="s">
        <v>2399</v>
      </c>
      <c r="N532" s="50" t="s">
        <v>1584</v>
      </c>
      <c r="O532" s="45" t="s">
        <v>2400</v>
      </c>
      <c r="P532" s="74" t="s">
        <v>2401</v>
      </c>
    </row>
    <row r="533" spans="1:16" ht="297">
      <c r="A533" s="44">
        <v>530</v>
      </c>
      <c r="B533" s="44">
        <v>2</v>
      </c>
      <c r="C533" s="44">
        <v>2</v>
      </c>
      <c r="D533" s="45" t="str">
        <f>INDEX(Helper!$N$2:$N$4, MATCH(C533, Helper!$M$2:$M$4, 0))</f>
        <v>Intermediate</v>
      </c>
      <c r="E533" s="45" t="s">
        <v>2402</v>
      </c>
      <c r="F533" s="45" t="s">
        <v>2403</v>
      </c>
      <c r="G533" s="5">
        <v>3</v>
      </c>
      <c r="H533" s="44">
        <v>1</v>
      </c>
      <c r="I533" s="44" t="str">
        <f>INDEX(Helper!$U:$U, MATCH(H533, Helper!$S:$S, 0))</f>
        <v>Standard (EADG)</v>
      </c>
      <c r="J533" s="44" t="s">
        <v>623</v>
      </c>
      <c r="K533" s="60" t="s">
        <v>1253</v>
      </c>
      <c r="L533" s="44" t="str">
        <f>INDEX(Helper!$F:$F, MATCH(K533, Helper!$E:$E, 0))</f>
        <v>#B3F141</v>
      </c>
      <c r="M533" s="45" t="s">
        <v>2404</v>
      </c>
      <c r="N533" s="50" t="s">
        <v>1584</v>
      </c>
      <c r="O533" s="45" t="s">
        <v>2405</v>
      </c>
      <c r="P533" s="74" t="s">
        <v>2406</v>
      </c>
    </row>
    <row r="534" spans="1:16" ht="54">
      <c r="A534" s="44">
        <v>531</v>
      </c>
      <c r="B534" s="44">
        <v>2</v>
      </c>
      <c r="C534" s="44">
        <v>2</v>
      </c>
      <c r="D534" s="45" t="str">
        <f>INDEX(Helper!$N$2:$N$4, MATCH(C534, Helper!$M$2:$M$4, 0))</f>
        <v>Intermediate</v>
      </c>
      <c r="E534" s="45" t="s">
        <v>2407</v>
      </c>
      <c r="F534" s="45" t="s">
        <v>2408</v>
      </c>
      <c r="G534" s="5">
        <v>0</v>
      </c>
      <c r="H534" s="44">
        <v>1</v>
      </c>
      <c r="I534" s="44" t="str">
        <f>INDEX(Helper!$U:$U, MATCH(H534, Helper!$S:$S, 0))</f>
        <v>Standard (EADG)</v>
      </c>
      <c r="J534" s="44" t="s">
        <v>844</v>
      </c>
      <c r="K534" s="60" t="s">
        <v>1253</v>
      </c>
      <c r="L534" s="44" t="str">
        <f>INDEX(Helper!$F:$F, MATCH(K534, Helper!$E:$E, 0))</f>
        <v>#B3F141</v>
      </c>
      <c r="M534" s="45" t="s">
        <v>2409</v>
      </c>
      <c r="N534" s="50" t="s">
        <v>1584</v>
      </c>
      <c r="O534" s="75" t="s">
        <v>2410</v>
      </c>
      <c r="P534" s="74" t="s">
        <v>2411</v>
      </c>
    </row>
    <row r="535" spans="1:16" ht="54">
      <c r="A535" s="44">
        <v>532</v>
      </c>
      <c r="B535" s="44">
        <v>2</v>
      </c>
      <c r="C535" s="44">
        <v>1</v>
      </c>
      <c r="D535" s="45" t="str">
        <f>INDEX(Helper!$N$2:$N$4, MATCH(C535, Helper!$M$2:$M$4, 0))</f>
        <v>Beginner</v>
      </c>
      <c r="E535" s="45" t="s">
        <v>2412</v>
      </c>
      <c r="F535" s="45" t="s">
        <v>2413</v>
      </c>
      <c r="G535" s="5">
        <v>0</v>
      </c>
      <c r="H535" s="44">
        <v>1</v>
      </c>
      <c r="I535" s="44" t="str">
        <f>INDEX(Helper!$U:$U, MATCH(H535, Helper!$S:$S, 0))</f>
        <v>Standard (EADG)</v>
      </c>
      <c r="J535" s="44" t="s">
        <v>66</v>
      </c>
      <c r="K535" s="60" t="s">
        <v>1253</v>
      </c>
      <c r="L535" s="44" t="str">
        <f>INDEX(Helper!$F:$F, MATCH(K535, Helper!$E:$E, 0))</f>
        <v>#B3F141</v>
      </c>
      <c r="M535" s="45" t="s">
        <v>2414</v>
      </c>
      <c r="N535" s="50" t="s">
        <v>1584</v>
      </c>
      <c r="O535" s="45" t="s">
        <v>2415</v>
      </c>
      <c r="P535" s="74" t="s">
        <v>2416</v>
      </c>
    </row>
    <row r="536" spans="1:16" ht="121.5">
      <c r="A536" s="44">
        <v>533</v>
      </c>
      <c r="B536" s="44">
        <v>2</v>
      </c>
      <c r="C536" s="44">
        <v>1</v>
      </c>
      <c r="D536" s="45" t="str">
        <f>INDEX(Helper!$N$2:$N$4, MATCH(C536, Helper!$M$2:$M$4, 0))</f>
        <v>Beginner</v>
      </c>
      <c r="E536" s="45" t="s">
        <v>2417</v>
      </c>
      <c r="F536" s="45" t="s">
        <v>2418</v>
      </c>
      <c r="G536" s="5">
        <v>0</v>
      </c>
      <c r="H536" s="53">
        <v>1</v>
      </c>
      <c r="I536" s="44" t="str">
        <f>INDEX(Helper!$U:$U, MATCH(H536, Helper!$S:$S, 0))</f>
        <v>Standard (EADG)</v>
      </c>
      <c r="J536" s="44" t="s">
        <v>61</v>
      </c>
      <c r="K536" s="66" t="s">
        <v>370</v>
      </c>
      <c r="L536" s="44" t="str">
        <f>INDEX(Helper!$F:$F, MATCH(K536, Helper!$E:$E, 0))</f>
        <v>#B3F141</v>
      </c>
      <c r="M536" s="45" t="s">
        <v>2419</v>
      </c>
      <c r="N536" s="50" t="s">
        <v>1584</v>
      </c>
      <c r="O536" s="46" t="s">
        <v>2420</v>
      </c>
      <c r="P536" s="74" t="s">
        <v>2421</v>
      </c>
    </row>
    <row r="537" spans="1:16" ht="297">
      <c r="A537" s="44">
        <v>534</v>
      </c>
      <c r="B537" s="44">
        <v>2</v>
      </c>
      <c r="C537" s="44">
        <v>2</v>
      </c>
      <c r="D537" s="45" t="str">
        <f>INDEX(Helper!$N$2:$N$4, MATCH(C537, Helper!$M$2:$M$4, 0))</f>
        <v>Intermediate</v>
      </c>
      <c r="E537" s="45" t="s">
        <v>2422</v>
      </c>
      <c r="F537" s="45" t="s">
        <v>2423</v>
      </c>
      <c r="G537" s="5">
        <v>0</v>
      </c>
      <c r="H537" s="44">
        <v>1</v>
      </c>
      <c r="I537" s="44" t="str">
        <f>INDEX(Helper!$U:$U, MATCH(H537, Helper!$S:$S, 0))</f>
        <v>Standard (EADG)</v>
      </c>
      <c r="J537" s="44" t="s">
        <v>794</v>
      </c>
      <c r="K537" s="90" t="s">
        <v>1676</v>
      </c>
      <c r="L537" s="44" t="str">
        <f>INDEX(Helper!$F:$F, MATCH(K537, Helper!$E:$E, 0))</f>
        <v>#B2DB4B</v>
      </c>
      <c r="M537" s="45" t="s">
        <v>2424</v>
      </c>
      <c r="N537" s="50" t="s">
        <v>1584</v>
      </c>
      <c r="O537" s="45" t="s">
        <v>2425</v>
      </c>
      <c r="P537" s="74" t="s">
        <v>2426</v>
      </c>
    </row>
    <row r="538" spans="1:16" ht="148.5">
      <c r="A538" s="44">
        <v>535</v>
      </c>
      <c r="B538" s="44">
        <v>2</v>
      </c>
      <c r="C538" s="44">
        <v>2</v>
      </c>
      <c r="D538" s="45" t="str">
        <f>INDEX(Helper!$N$2:$N$4, MATCH(C538, Helper!$M$2:$M$4, 0))</f>
        <v>Intermediate</v>
      </c>
      <c r="E538" s="45" t="s">
        <v>2397</v>
      </c>
      <c r="F538" s="45" t="s">
        <v>2427</v>
      </c>
      <c r="G538" s="5">
        <v>0</v>
      </c>
      <c r="H538" s="44">
        <v>1</v>
      </c>
      <c r="I538" s="44" t="str">
        <f>INDEX(Helper!$U:$U, MATCH(H538, Helper!$S:$S, 0))</f>
        <v>Standard (EADG)</v>
      </c>
      <c r="J538" s="44" t="s">
        <v>623</v>
      </c>
      <c r="K538" s="60" t="s">
        <v>1253</v>
      </c>
      <c r="L538" s="44" t="str">
        <f>INDEX(Helper!$F:$F, MATCH(K538, Helper!$E:$E, 0))</f>
        <v>#B3F141</v>
      </c>
      <c r="M538" s="45" t="s">
        <v>2428</v>
      </c>
      <c r="N538" s="50" t="s">
        <v>1584</v>
      </c>
      <c r="O538" s="46" t="s">
        <v>2429</v>
      </c>
      <c r="P538" s="74" t="s">
        <v>2430</v>
      </c>
    </row>
    <row r="539" spans="1:16" ht="351">
      <c r="A539" s="44">
        <v>536</v>
      </c>
      <c r="B539" s="44">
        <v>2</v>
      </c>
      <c r="C539" s="44">
        <v>1</v>
      </c>
      <c r="D539" s="45" t="str">
        <f>INDEX(Helper!$N$2:$N$4, MATCH(C539, Helper!$M$2:$M$4, 0))</f>
        <v>Beginner</v>
      </c>
      <c r="E539" s="45" t="s">
        <v>261</v>
      </c>
      <c r="F539" s="45" t="s">
        <v>2431</v>
      </c>
      <c r="G539" s="5">
        <v>0</v>
      </c>
      <c r="H539" s="44">
        <v>1</v>
      </c>
      <c r="I539" s="44" t="str">
        <f>INDEX(Helper!$U:$U, MATCH(H539, Helper!$S:$S, 0))</f>
        <v>Standard (EADG)</v>
      </c>
      <c r="J539" s="44" t="s">
        <v>626</v>
      </c>
      <c r="K539" s="61" t="s">
        <v>11</v>
      </c>
      <c r="L539" s="44" t="str">
        <f>INDEX(Helper!$F:$F, MATCH(K539, Helper!$E:$E, 0))</f>
        <v>#E8AD1D</v>
      </c>
      <c r="M539" s="45" t="s">
        <v>2432</v>
      </c>
      <c r="N539" s="50" t="s">
        <v>1584</v>
      </c>
      <c r="O539" s="45" t="s">
        <v>2433</v>
      </c>
      <c r="P539" s="74" t="s">
        <v>2434</v>
      </c>
    </row>
    <row r="540" spans="1:16" ht="256.5">
      <c r="A540" s="44">
        <v>537</v>
      </c>
      <c r="B540" s="44">
        <v>2</v>
      </c>
      <c r="C540" s="44">
        <v>2</v>
      </c>
      <c r="D540" s="45" t="str">
        <f>INDEX(Helper!$N$2:$N$4, MATCH(C540, Helper!$M$2:$M$4, 0))</f>
        <v>Intermediate</v>
      </c>
      <c r="E540" s="45" t="s">
        <v>2047</v>
      </c>
      <c r="F540" s="45" t="s">
        <v>2435</v>
      </c>
      <c r="G540" s="5">
        <v>3</v>
      </c>
      <c r="H540" s="44">
        <v>1</v>
      </c>
      <c r="I540" s="44" t="str">
        <f>INDEX(Helper!$U:$U, MATCH(H540, Helper!$S:$S, 0))</f>
        <v>Standard (EADG)</v>
      </c>
      <c r="J540" s="44" t="s">
        <v>794</v>
      </c>
      <c r="K540" s="60" t="s">
        <v>1253</v>
      </c>
      <c r="L540" s="44" t="str">
        <f>INDEX(Helper!$F:$F, MATCH(K540, Helper!$E:$E, 0))</f>
        <v>#B3F141</v>
      </c>
      <c r="M540" s="45" t="s">
        <v>2436</v>
      </c>
      <c r="N540" s="50" t="s">
        <v>1584</v>
      </c>
      <c r="O540" s="45" t="s">
        <v>2437</v>
      </c>
      <c r="P540" s="74" t="s">
        <v>2438</v>
      </c>
    </row>
    <row r="541" spans="1:16" ht="54">
      <c r="A541" s="44">
        <v>538</v>
      </c>
      <c r="B541" s="44">
        <v>2</v>
      </c>
      <c r="C541" s="44">
        <v>1</v>
      </c>
      <c r="D541" s="45" t="str">
        <f>INDEX(Helper!$N$2:$N$4, MATCH(C541, Helper!$M$2:$M$4, 0))</f>
        <v>Beginner</v>
      </c>
      <c r="E541" s="45" t="s">
        <v>2439</v>
      </c>
      <c r="F541" s="45" t="s">
        <v>2440</v>
      </c>
      <c r="G541" s="5">
        <v>0</v>
      </c>
      <c r="H541" s="44">
        <v>1</v>
      </c>
      <c r="I541" s="44" t="str">
        <f>INDEX(Helper!$U:$U, MATCH(H541, Helper!$S:$S, 0))</f>
        <v>Standard (EADG)</v>
      </c>
      <c r="J541" s="44" t="s">
        <v>59</v>
      </c>
      <c r="K541" s="88" t="s">
        <v>1587</v>
      </c>
      <c r="L541" s="44" t="str">
        <f>INDEX(Helper!$F:$F, MATCH(K541, Helper!$E:$E, 0))</f>
        <v>#B3F141</v>
      </c>
      <c r="M541" s="45" t="s">
        <v>2441</v>
      </c>
      <c r="N541" s="50" t="s">
        <v>1584</v>
      </c>
      <c r="O541" s="46" t="s">
        <v>2442</v>
      </c>
      <c r="P541" s="74" t="s">
        <v>2443</v>
      </c>
    </row>
    <row r="542" spans="1:16" ht="121.5">
      <c r="A542" s="44">
        <v>539</v>
      </c>
      <c r="B542" s="44">
        <v>2</v>
      </c>
      <c r="C542" s="44">
        <v>2</v>
      </c>
      <c r="D542" s="45" t="str">
        <f>INDEX(Helper!$N$2:$N$4, MATCH(C542, Helper!$M$2:$M$4, 0))</f>
        <v>Intermediate</v>
      </c>
      <c r="E542" s="45" t="s">
        <v>2397</v>
      </c>
      <c r="F542" s="45" t="s">
        <v>2444</v>
      </c>
      <c r="G542" s="5">
        <v>0</v>
      </c>
      <c r="H542" s="44">
        <v>1</v>
      </c>
      <c r="I542" s="44" t="str">
        <f>INDEX(Helper!$U:$U, MATCH(H542, Helper!$S:$S, 0))</f>
        <v>Standard (EADG)</v>
      </c>
      <c r="J542" s="44" t="s">
        <v>65</v>
      </c>
      <c r="K542" s="60" t="s">
        <v>1253</v>
      </c>
      <c r="L542" s="44" t="str">
        <f>INDEX(Helper!$F:$F, MATCH(K542, Helper!$E:$E, 0))</f>
        <v>#B3F141</v>
      </c>
      <c r="M542" s="45" t="s">
        <v>2445</v>
      </c>
      <c r="N542" s="50" t="s">
        <v>1584</v>
      </c>
      <c r="O542" s="45" t="s">
        <v>2446</v>
      </c>
      <c r="P542" s="74" t="s">
        <v>2447</v>
      </c>
    </row>
    <row r="543" spans="1:16" ht="378">
      <c r="A543" s="44">
        <v>540</v>
      </c>
      <c r="B543" s="44">
        <v>2</v>
      </c>
      <c r="C543" s="44">
        <v>3</v>
      </c>
      <c r="D543" s="45" t="str">
        <f>INDEX(Helper!$N$2:$N$4, MATCH(C543, Helper!$M$2:$M$4, 0))</f>
        <v>Advanced</v>
      </c>
      <c r="E543" s="45" t="s">
        <v>110</v>
      </c>
      <c r="F543" s="45" t="s">
        <v>2448</v>
      </c>
      <c r="G543" s="5">
        <v>3</v>
      </c>
      <c r="H543" s="44">
        <v>1</v>
      </c>
      <c r="I543" s="44" t="str">
        <f>INDEX(Helper!$U:$U, MATCH(H543, Helper!$S:$S, 0))</f>
        <v>Standard (EADG)</v>
      </c>
      <c r="J543" s="44" t="s">
        <v>66</v>
      </c>
      <c r="K543" s="65" t="s">
        <v>13</v>
      </c>
      <c r="L543" s="44" t="str">
        <f>INDEX(Helper!$F:$F, MATCH(K543, Helper!$E:$E, 0))</f>
        <v>#FF4F53</v>
      </c>
      <c r="M543" s="45" t="s">
        <v>2449</v>
      </c>
      <c r="N543" s="50" t="s">
        <v>1584</v>
      </c>
      <c r="O543" s="45" t="s">
        <v>2450</v>
      </c>
      <c r="P543" s="74" t="s">
        <v>2451</v>
      </c>
    </row>
    <row r="544" spans="1:16" ht="54">
      <c r="A544" s="44">
        <v>541</v>
      </c>
      <c r="B544" s="44">
        <v>2</v>
      </c>
      <c r="C544" s="44">
        <v>2</v>
      </c>
      <c r="D544" s="45" t="str">
        <f>INDEX(Helper!$N$2:$N$4, MATCH(C544, Helper!$M$2:$M$4, 0))</f>
        <v>Intermediate</v>
      </c>
      <c r="E544" s="45" t="s">
        <v>2407</v>
      </c>
      <c r="F544" s="45" t="s">
        <v>2452</v>
      </c>
      <c r="G544" s="5">
        <v>3</v>
      </c>
      <c r="H544" s="44">
        <v>1</v>
      </c>
      <c r="I544" s="44" t="str">
        <f>INDEX(Helper!$U:$U, MATCH(H544, Helper!$S:$S, 0))</f>
        <v>Standard (EADG)</v>
      </c>
      <c r="J544" s="44" t="s">
        <v>1267</v>
      </c>
      <c r="K544" s="60" t="s">
        <v>1253</v>
      </c>
      <c r="L544" s="44" t="str">
        <f>INDEX(Helper!$F:$F, MATCH(K544, Helper!$E:$E, 0))</f>
        <v>#B3F141</v>
      </c>
      <c r="M544" s="45" t="s">
        <v>2453</v>
      </c>
      <c r="N544" s="50" t="s">
        <v>1584</v>
      </c>
      <c r="O544" s="45" t="s">
        <v>2454</v>
      </c>
      <c r="P544" s="74" t="s">
        <v>2455</v>
      </c>
    </row>
    <row r="545" spans="1:16" ht="229.5">
      <c r="A545" s="44">
        <v>542</v>
      </c>
      <c r="B545" s="44">
        <v>2</v>
      </c>
      <c r="C545" s="44">
        <v>2</v>
      </c>
      <c r="D545" s="45" t="str">
        <f>INDEX(Helper!$N$2:$N$4, MATCH(C545, Helper!$M$2:$M$4, 0))</f>
        <v>Intermediate</v>
      </c>
      <c r="E545" s="45" t="s">
        <v>38</v>
      </c>
      <c r="F545" s="45" t="s">
        <v>104</v>
      </c>
      <c r="G545" s="5">
        <v>0</v>
      </c>
      <c r="H545" s="44">
        <v>1</v>
      </c>
      <c r="I545" s="44" t="str">
        <f>INDEX(Helper!$U:$U, MATCH(H545, Helper!$S:$S, 0))</f>
        <v>Standard (EADG)</v>
      </c>
      <c r="J545" s="44" t="s">
        <v>393</v>
      </c>
      <c r="K545" s="59" t="s">
        <v>10</v>
      </c>
      <c r="L545" s="44" t="str">
        <f>INDEX(Helper!$F:$F, MATCH(K545, Helper!$E:$E, 0))</f>
        <v>#F5943C</v>
      </c>
      <c r="M545" s="45" t="s">
        <v>527</v>
      </c>
      <c r="N545" s="50" t="s">
        <v>1584</v>
      </c>
      <c r="O545" s="46" t="s">
        <v>2456</v>
      </c>
      <c r="P545" s="74" t="s">
        <v>2457</v>
      </c>
    </row>
    <row r="546" spans="1:16" ht="229.5">
      <c r="A546" s="44">
        <v>543</v>
      </c>
      <c r="B546" s="44">
        <v>2</v>
      </c>
      <c r="C546" s="44">
        <v>2</v>
      </c>
      <c r="D546" s="45" t="str">
        <f>INDEX(Helper!$N$2:$N$4, MATCH(C546, Helper!$M$2:$M$4, 0))</f>
        <v>Intermediate</v>
      </c>
      <c r="E546" s="45" t="s">
        <v>78</v>
      </c>
      <c r="F546" s="45" t="s">
        <v>2458</v>
      </c>
      <c r="G546" s="5">
        <v>3</v>
      </c>
      <c r="H546" s="44">
        <v>1</v>
      </c>
      <c r="I546" s="44" t="str">
        <f>INDEX(Helper!$U:$U, MATCH(H546, Helper!$S:$S, 0))</f>
        <v>Standard (EADG)</v>
      </c>
      <c r="J546" s="44" t="s">
        <v>626</v>
      </c>
      <c r="K546" s="65" t="s">
        <v>13</v>
      </c>
      <c r="L546" s="44" t="str">
        <f>INDEX(Helper!$F:$F, MATCH(K546, Helper!$E:$E, 0))</f>
        <v>#FF4F53</v>
      </c>
      <c r="M546" s="45" t="s">
        <v>2459</v>
      </c>
      <c r="N546" s="50" t="s">
        <v>1584</v>
      </c>
      <c r="O546" s="46" t="s">
        <v>2460</v>
      </c>
      <c r="P546" s="74" t="s">
        <v>2461</v>
      </c>
    </row>
    <row r="547" spans="1:16" ht="189">
      <c r="A547" s="44">
        <v>544</v>
      </c>
      <c r="B547" s="44">
        <v>2</v>
      </c>
      <c r="C547" s="44">
        <v>2</v>
      </c>
      <c r="D547" s="45" t="str">
        <f>INDEX(Helper!$N$2:$N$4, MATCH(C547, Helper!$M$2:$M$4, 0))</f>
        <v>Intermediate</v>
      </c>
      <c r="E547" s="45" t="s">
        <v>334</v>
      </c>
      <c r="F547" s="45" t="s">
        <v>2462</v>
      </c>
      <c r="G547" s="5">
        <v>0</v>
      </c>
      <c r="H547" s="44">
        <v>1</v>
      </c>
      <c r="I547" s="44" t="str">
        <f>INDEX(Helper!$U:$U, MATCH(H547, Helper!$S:$S, 0))</f>
        <v>Standard (EADG)</v>
      </c>
      <c r="J547" s="44" t="s">
        <v>67</v>
      </c>
      <c r="K547" s="59" t="s">
        <v>10</v>
      </c>
      <c r="L547" s="44" t="str">
        <f>INDEX(Helper!$F:$F, MATCH(K547, Helper!$E:$E, 0))</f>
        <v>#F5943C</v>
      </c>
      <c r="M547" s="45" t="s">
        <v>2463</v>
      </c>
      <c r="N547" s="50" t="s">
        <v>1584</v>
      </c>
      <c r="O547" s="46" t="s">
        <v>2464</v>
      </c>
      <c r="P547" s="74" t="s">
        <v>2465</v>
      </c>
    </row>
    <row r="548" spans="1:16" ht="391.5">
      <c r="A548" s="44">
        <v>545</v>
      </c>
      <c r="B548" s="44">
        <v>2</v>
      </c>
      <c r="C548" s="44">
        <v>3</v>
      </c>
      <c r="D548" s="45" t="str">
        <f>INDEX(Helper!$N$2:$N$4, MATCH(C548, Helper!$M$2:$M$4, 0))</f>
        <v>Advanced</v>
      </c>
      <c r="E548" s="45" t="s">
        <v>78</v>
      </c>
      <c r="F548" s="45" t="s">
        <v>2466</v>
      </c>
      <c r="G548" s="5">
        <v>3</v>
      </c>
      <c r="H548" s="44">
        <v>2</v>
      </c>
      <c r="I548" s="44" t="str">
        <f>INDEX(Helper!$U:$U, MATCH(H548, Helper!$S:$S, 0))</f>
        <v>Drop D (DADG)</v>
      </c>
      <c r="J548" s="44" t="s">
        <v>626</v>
      </c>
      <c r="K548" s="65" t="s">
        <v>13</v>
      </c>
      <c r="L548" s="44" t="str">
        <f>INDEX(Helper!$F:$F, MATCH(K548, Helper!$E:$E, 0))</f>
        <v>#FF4F53</v>
      </c>
      <c r="M548" s="45" t="s">
        <v>2467</v>
      </c>
      <c r="N548" s="50" t="s">
        <v>1584</v>
      </c>
      <c r="O548" s="45" t="s">
        <v>2468</v>
      </c>
      <c r="P548" s="74" t="s">
        <v>2469</v>
      </c>
    </row>
    <row r="549" spans="1:16" ht="189">
      <c r="A549" s="44">
        <v>546</v>
      </c>
      <c r="B549" s="44">
        <v>2</v>
      </c>
      <c r="C549" s="44">
        <v>2</v>
      </c>
      <c r="D549" s="45" t="str">
        <f>INDEX(Helper!$N$2:$N$4, MATCH(C549, Helper!$M$2:$M$4, 0))</f>
        <v>Intermediate</v>
      </c>
      <c r="E549" s="45" t="s">
        <v>78</v>
      </c>
      <c r="F549" s="45" t="s">
        <v>2470</v>
      </c>
      <c r="G549" s="5">
        <v>0</v>
      </c>
      <c r="H549" s="44">
        <v>1</v>
      </c>
      <c r="I549" s="44" t="str">
        <f>INDEX(Helper!$U:$U, MATCH(H549, Helper!$S:$S, 0))</f>
        <v>Standard (EADG)</v>
      </c>
      <c r="J549" s="44" t="s">
        <v>65</v>
      </c>
      <c r="K549" s="65" t="s">
        <v>13</v>
      </c>
      <c r="L549" s="44" t="str">
        <f>INDEX(Helper!$F:$F, MATCH(K549, Helper!$E:$E, 0))</f>
        <v>#FF4F53</v>
      </c>
      <c r="M549" s="45" t="s">
        <v>2471</v>
      </c>
      <c r="N549" s="50" t="s">
        <v>1584</v>
      </c>
      <c r="O549" s="45" t="s">
        <v>2472</v>
      </c>
      <c r="P549" s="74" t="s">
        <v>2473</v>
      </c>
    </row>
    <row r="550" spans="1:16" ht="54">
      <c r="A550" s="44">
        <v>547</v>
      </c>
      <c r="B550" s="44">
        <v>2</v>
      </c>
      <c r="C550" s="44">
        <v>2</v>
      </c>
      <c r="D550" s="45" t="str">
        <f>INDEX(Helper!$N$2:$N$4, MATCH(C550, Helper!$M$2:$M$4, 0))</f>
        <v>Intermediate</v>
      </c>
      <c r="E550" s="45" t="s">
        <v>78</v>
      </c>
      <c r="F550" s="45" t="s">
        <v>2474</v>
      </c>
      <c r="G550" s="5">
        <v>3</v>
      </c>
      <c r="H550" s="44">
        <v>1</v>
      </c>
      <c r="I550" s="44" t="str">
        <f>INDEX(Helper!$U:$U, MATCH(H550, Helper!$S:$S, 0))</f>
        <v>Standard (EADG)</v>
      </c>
      <c r="J550" s="44" t="s">
        <v>59</v>
      </c>
      <c r="K550" s="65" t="s">
        <v>13</v>
      </c>
      <c r="L550" s="44" t="str">
        <f>INDEX(Helper!$F:$F, MATCH(K550, Helper!$E:$E, 0))</f>
        <v>#FF4F53</v>
      </c>
      <c r="M550" s="45" t="s">
        <v>2475</v>
      </c>
      <c r="N550" s="50" t="s">
        <v>1584</v>
      </c>
      <c r="O550" s="45" t="s">
        <v>2476</v>
      </c>
      <c r="P550" s="74" t="s">
        <v>2477</v>
      </c>
    </row>
    <row r="551" spans="1:16" ht="324">
      <c r="A551" s="44">
        <v>548</v>
      </c>
      <c r="B551" s="44">
        <v>2</v>
      </c>
      <c r="C551" s="44">
        <v>3</v>
      </c>
      <c r="D551" s="45" t="str">
        <f>INDEX(Helper!$N$2:$N$4, MATCH(C551, Helper!$M$2:$M$4, 0))</f>
        <v>Advanced</v>
      </c>
      <c r="E551" s="45" t="s">
        <v>78</v>
      </c>
      <c r="F551" s="45" t="s">
        <v>479</v>
      </c>
      <c r="G551" s="5">
        <v>0</v>
      </c>
      <c r="H551" s="53">
        <v>2</v>
      </c>
      <c r="I551" s="44" t="str">
        <f>INDEX(Helper!$U:$U, MATCH(H551, Helper!$S:$S, 0))</f>
        <v>Drop D (DADG)</v>
      </c>
      <c r="J551" s="44" t="s">
        <v>65</v>
      </c>
      <c r="K551" s="65" t="s">
        <v>13</v>
      </c>
      <c r="L551" s="44" t="str">
        <f>INDEX(Helper!$F:$F, MATCH(K551, Helper!$E:$E, 0))</f>
        <v>#FF4F53</v>
      </c>
      <c r="M551" s="45" t="s">
        <v>480</v>
      </c>
      <c r="N551" s="50" t="s">
        <v>1584</v>
      </c>
      <c r="O551" s="45" t="s">
        <v>2478</v>
      </c>
      <c r="P551" s="74" t="s">
        <v>2479</v>
      </c>
    </row>
    <row r="552" spans="1:16" ht="121.5">
      <c r="A552" s="44">
        <v>549</v>
      </c>
      <c r="B552" s="44">
        <v>2</v>
      </c>
      <c r="C552" s="44">
        <v>2</v>
      </c>
      <c r="D552" s="45" t="str">
        <f>INDEX(Helper!$N$2:$N$4, MATCH(C552, Helper!$M$2:$M$4, 0))</f>
        <v>Intermediate</v>
      </c>
      <c r="E552" s="45" t="s">
        <v>78</v>
      </c>
      <c r="F552" s="45" t="s">
        <v>2480</v>
      </c>
      <c r="G552" s="5">
        <v>3</v>
      </c>
      <c r="H552" s="44">
        <v>2</v>
      </c>
      <c r="I552" s="44" t="str">
        <f>INDEX(Helper!$U:$U, MATCH(H552, Helper!$S:$S, 0))</f>
        <v>Drop D (DADG)</v>
      </c>
      <c r="J552" s="44" t="s">
        <v>618</v>
      </c>
      <c r="K552" s="65" t="s">
        <v>13</v>
      </c>
      <c r="L552" s="44" t="str">
        <f>INDEX(Helper!$F:$F, MATCH(K552, Helper!$E:$E, 0))</f>
        <v>#FF4F53</v>
      </c>
      <c r="M552" s="45" t="s">
        <v>2481</v>
      </c>
      <c r="N552" s="50" t="s">
        <v>1584</v>
      </c>
      <c r="O552" s="45" t="s">
        <v>2482</v>
      </c>
      <c r="P552" s="74" t="s">
        <v>2483</v>
      </c>
    </row>
    <row r="553" spans="1:16" ht="121.5">
      <c r="A553" s="44">
        <v>550</v>
      </c>
      <c r="B553" s="44">
        <v>2</v>
      </c>
      <c r="C553" s="44">
        <v>2</v>
      </c>
      <c r="D553" s="45" t="str">
        <f>INDEX(Helper!$N$2:$N$4, MATCH(C553, Helper!$M$2:$M$4, 0))</f>
        <v>Intermediate</v>
      </c>
      <c r="E553" s="45" t="s">
        <v>78</v>
      </c>
      <c r="F553" s="45" t="s">
        <v>2484</v>
      </c>
      <c r="G553" s="5">
        <v>3</v>
      </c>
      <c r="H553" s="44">
        <v>2</v>
      </c>
      <c r="I553" s="44" t="str">
        <f>INDEX(Helper!$U:$U, MATCH(H553, Helper!$S:$S, 0))</f>
        <v>Drop D (DADG)</v>
      </c>
      <c r="J553" s="44" t="s">
        <v>63</v>
      </c>
      <c r="K553" s="65" t="s">
        <v>13</v>
      </c>
      <c r="L553" s="44" t="str">
        <f>INDEX(Helper!$F:$F, MATCH(K553, Helper!$E:$E, 0))</f>
        <v>#FF4F53</v>
      </c>
      <c r="M553" s="45" t="s">
        <v>2485</v>
      </c>
      <c r="N553" s="50" t="s">
        <v>1584</v>
      </c>
      <c r="O553" s="45" t="s">
        <v>2486</v>
      </c>
      <c r="P553" s="74" t="s">
        <v>2487</v>
      </c>
    </row>
    <row r="554" spans="1:16" ht="297">
      <c r="A554" s="44">
        <v>551</v>
      </c>
      <c r="B554" s="44">
        <v>2</v>
      </c>
      <c r="C554" s="44">
        <v>3</v>
      </c>
      <c r="D554" s="45" t="str">
        <f>INDEX(Helper!$N$2:$N$4, MATCH(C554, Helper!$M$2:$M$4, 0))</f>
        <v>Advanced</v>
      </c>
      <c r="E554" s="45" t="s">
        <v>78</v>
      </c>
      <c r="F554" s="45" t="s">
        <v>2488</v>
      </c>
      <c r="G554" s="5">
        <v>0</v>
      </c>
      <c r="H554" s="44">
        <v>2</v>
      </c>
      <c r="I554" s="44" t="str">
        <f>INDEX(Helper!$U:$U, MATCH(H554, Helper!$S:$S, 0))</f>
        <v>Drop D (DADG)</v>
      </c>
      <c r="J554" s="44" t="s">
        <v>626</v>
      </c>
      <c r="K554" s="65" t="s">
        <v>13</v>
      </c>
      <c r="L554" s="44" t="str">
        <f>INDEX(Helper!$F:$F, MATCH(K554, Helper!$E:$E, 0))</f>
        <v>#FF4F53</v>
      </c>
      <c r="M554" s="45" t="s">
        <v>2489</v>
      </c>
      <c r="N554" s="50" t="s">
        <v>1584</v>
      </c>
      <c r="O554" s="45" t="s">
        <v>2490</v>
      </c>
      <c r="P554" s="74" t="s">
        <v>2491</v>
      </c>
    </row>
    <row r="555" spans="1:16" ht="121.5">
      <c r="A555" s="44">
        <v>552</v>
      </c>
      <c r="B555" s="44">
        <v>2</v>
      </c>
      <c r="C555" s="44">
        <v>2</v>
      </c>
      <c r="D555" s="45" t="str">
        <f>INDEX(Helper!$N$2:$N$4, MATCH(C555, Helper!$M$2:$M$4, 0))</f>
        <v>Intermediate</v>
      </c>
      <c r="E555" s="45" t="s">
        <v>78</v>
      </c>
      <c r="F555" s="45" t="s">
        <v>2492</v>
      </c>
      <c r="G555" s="5">
        <v>0</v>
      </c>
      <c r="H555" s="44">
        <v>3</v>
      </c>
      <c r="I555" s="44" t="str">
        <f>INDEX(Helper!$U:$U, MATCH(H555, Helper!$S:$S, 0))</f>
        <v>Half Step Down (D#G#C#F#)</v>
      </c>
      <c r="J555" s="44" t="s">
        <v>844</v>
      </c>
      <c r="K555" s="65" t="s">
        <v>13</v>
      </c>
      <c r="L555" s="44" t="str">
        <f>INDEX(Helper!$F:$F, MATCH(K555, Helper!$E:$E, 0))</f>
        <v>#FF4F53</v>
      </c>
      <c r="M555" s="48" t="s">
        <v>2493</v>
      </c>
      <c r="N555" s="50" t="s">
        <v>1584</v>
      </c>
      <c r="O555" s="48" t="s">
        <v>2494</v>
      </c>
      <c r="P555" s="74" t="s">
        <v>2495</v>
      </c>
    </row>
    <row r="556" spans="1:16" ht="148.5">
      <c r="A556" s="44">
        <v>553</v>
      </c>
      <c r="B556" s="44">
        <v>2</v>
      </c>
      <c r="C556" s="44">
        <v>2</v>
      </c>
      <c r="D556" s="45" t="str">
        <f>INDEX(Helper!$N$2:$N$4, MATCH(C556, Helper!$M$2:$M$4, 0))</f>
        <v>Intermediate</v>
      </c>
      <c r="E556" s="45" t="s">
        <v>78</v>
      </c>
      <c r="F556" s="45" t="s">
        <v>2496</v>
      </c>
      <c r="G556" s="5">
        <v>3</v>
      </c>
      <c r="H556" s="44">
        <v>1</v>
      </c>
      <c r="I556" s="44" t="str">
        <f>INDEX(Helper!$U:$U, MATCH(H556, Helper!$S:$S, 0))</f>
        <v>Standard (EADG)</v>
      </c>
      <c r="J556" s="44" t="s">
        <v>64</v>
      </c>
      <c r="K556" s="65" t="s">
        <v>13</v>
      </c>
      <c r="L556" s="44" t="str">
        <f>INDEX(Helper!$F:$F, MATCH(K556, Helper!$E:$E, 0))</f>
        <v>#FF4F53</v>
      </c>
      <c r="M556" s="45" t="s">
        <v>2497</v>
      </c>
      <c r="N556" s="50" t="s">
        <v>1584</v>
      </c>
      <c r="O556" s="46" t="s">
        <v>2498</v>
      </c>
      <c r="P556" s="74" t="s">
        <v>2499</v>
      </c>
    </row>
    <row r="557" spans="1:16" ht="189">
      <c r="A557" s="44">
        <v>554</v>
      </c>
      <c r="B557" s="44">
        <v>2</v>
      </c>
      <c r="C557" s="44">
        <v>1</v>
      </c>
      <c r="D557" s="45" t="str">
        <f>INDEX(Helper!$N$2:$N$4, MATCH(C557, Helper!$M$2:$M$4, 0))</f>
        <v>Beginner</v>
      </c>
      <c r="E557" s="45" t="s">
        <v>41</v>
      </c>
      <c r="F557" s="45" t="s">
        <v>165</v>
      </c>
      <c r="G557" s="5">
        <v>3</v>
      </c>
      <c r="H557" s="44">
        <v>3</v>
      </c>
      <c r="I557" s="44" t="str">
        <f>INDEX(Helper!$U:$U, MATCH(H557, Helper!$S:$S, 0))</f>
        <v>Half Step Down (D#G#C#F#)</v>
      </c>
      <c r="J557" s="44" t="s">
        <v>842</v>
      </c>
      <c r="K557" s="59" t="s">
        <v>10</v>
      </c>
      <c r="L557" s="44" t="str">
        <f>INDEX(Helper!$F:$F, MATCH(K557, Helper!$E:$E, 0))</f>
        <v>#F5943C</v>
      </c>
      <c r="M557" s="45" t="s">
        <v>2500</v>
      </c>
      <c r="N557" s="50" t="s">
        <v>1584</v>
      </c>
      <c r="O557" s="46" t="s">
        <v>2501</v>
      </c>
      <c r="P557" s="74" t="s">
        <v>2502</v>
      </c>
    </row>
    <row r="558" spans="1:16" ht="409.5">
      <c r="A558" s="44">
        <v>555</v>
      </c>
      <c r="B558" s="44">
        <v>2</v>
      </c>
      <c r="C558" s="44">
        <v>2</v>
      </c>
      <c r="D558" s="45" t="str">
        <f>INDEX(Helper!$N$2:$N$4, MATCH(C558, Helper!$M$2:$M$4, 0))</f>
        <v>Intermediate</v>
      </c>
      <c r="E558" s="45" t="s">
        <v>41</v>
      </c>
      <c r="F558" s="45" t="s">
        <v>44</v>
      </c>
      <c r="G558" s="5">
        <v>0</v>
      </c>
      <c r="H558" s="44">
        <v>1</v>
      </c>
      <c r="I558" s="44" t="str">
        <f>INDEX(Helper!$U:$U, MATCH(H558, Helper!$S:$S, 0))</f>
        <v>Standard (EADG)</v>
      </c>
      <c r="J558" s="44" t="s">
        <v>68</v>
      </c>
      <c r="K558" s="59" t="s">
        <v>10</v>
      </c>
      <c r="L558" s="44" t="str">
        <f>INDEX(Helper!$F:$F, MATCH(K558, Helper!$E:$E, 0))</f>
        <v>#F5943C</v>
      </c>
      <c r="M558" s="45" t="s">
        <v>482</v>
      </c>
      <c r="N558" s="50" t="s">
        <v>1584</v>
      </c>
      <c r="O558" s="45" t="s">
        <v>2503</v>
      </c>
      <c r="P558" s="74" t="s">
        <v>2504</v>
      </c>
    </row>
    <row r="559" spans="1:16" ht="121.5">
      <c r="A559" s="44">
        <v>556</v>
      </c>
      <c r="B559" s="44">
        <v>2</v>
      </c>
      <c r="C559" s="44">
        <v>1</v>
      </c>
      <c r="D559" s="45" t="str">
        <f>INDEX(Helper!$N$2:$N$4, MATCH(C559, Helper!$M$2:$M$4, 0))</f>
        <v>Beginner</v>
      </c>
      <c r="E559" s="45" t="s">
        <v>41</v>
      </c>
      <c r="F559" s="45" t="s">
        <v>2505</v>
      </c>
      <c r="G559" s="5">
        <v>3</v>
      </c>
      <c r="H559" s="44">
        <v>3</v>
      </c>
      <c r="I559" s="44" t="str">
        <f>INDEX(Helper!$U:$U, MATCH(H559, Helper!$S:$S, 0))</f>
        <v>Half Step Down (D#G#C#F#)</v>
      </c>
      <c r="J559" s="44" t="s">
        <v>60</v>
      </c>
      <c r="K559" s="59" t="s">
        <v>10</v>
      </c>
      <c r="L559" s="44" t="str">
        <f>INDEX(Helper!$F:$F, MATCH(K559, Helper!$E:$E, 0))</f>
        <v>#F5943C</v>
      </c>
      <c r="M559" s="45" t="s">
        <v>2506</v>
      </c>
      <c r="N559" s="50" t="s">
        <v>1584</v>
      </c>
      <c r="O559" s="45" t="s">
        <v>2507</v>
      </c>
      <c r="P559" s="74" t="s">
        <v>2508</v>
      </c>
    </row>
    <row r="560" spans="1:16" ht="54">
      <c r="A560" s="44">
        <v>557</v>
      </c>
      <c r="B560" s="44">
        <v>2</v>
      </c>
      <c r="C560" s="44">
        <v>1</v>
      </c>
      <c r="D560" s="45" t="str">
        <f>INDEX(Helper!$N$2:$N$4, MATCH(C560, Helper!$M$2:$M$4, 0))</f>
        <v>Beginner</v>
      </c>
      <c r="E560" s="54" t="s">
        <v>41</v>
      </c>
      <c r="F560" s="54" t="s">
        <v>166</v>
      </c>
      <c r="G560" s="5">
        <v>0</v>
      </c>
      <c r="H560" s="44">
        <v>3</v>
      </c>
      <c r="I560" s="44" t="str">
        <f>INDEX(Helper!$U:$U, MATCH(H560, Helper!$S:$S, 0))</f>
        <v>Half Step Down (D#G#C#F#)</v>
      </c>
      <c r="J560" s="44" t="s">
        <v>60</v>
      </c>
      <c r="K560" s="59" t="s">
        <v>10</v>
      </c>
      <c r="L560" s="44" t="str">
        <f>INDEX(Helper!$F:$F, MATCH(K560, Helper!$E:$E, 0))</f>
        <v>#F5943C</v>
      </c>
      <c r="M560" s="45" t="s">
        <v>565</v>
      </c>
      <c r="N560" s="50" t="s">
        <v>1584</v>
      </c>
      <c r="O560" s="45" t="s">
        <v>2509</v>
      </c>
      <c r="P560" s="74" t="s">
        <v>2510</v>
      </c>
    </row>
    <row r="561" spans="1:16" ht="243">
      <c r="A561" s="44">
        <v>558</v>
      </c>
      <c r="B561" s="44">
        <v>2</v>
      </c>
      <c r="C561" s="44">
        <v>2</v>
      </c>
      <c r="D561" s="45" t="str">
        <f>INDEX(Helper!$N$2:$N$4, MATCH(C561, Helper!$M$2:$M$4, 0))</f>
        <v>Intermediate</v>
      </c>
      <c r="E561" s="45" t="s">
        <v>41</v>
      </c>
      <c r="F561" s="45" t="s">
        <v>382</v>
      </c>
      <c r="G561" s="5">
        <v>0</v>
      </c>
      <c r="H561" s="44">
        <v>3</v>
      </c>
      <c r="I561" s="44" t="str">
        <f>INDEX(Helper!$U:$U, MATCH(H561, Helper!$S:$S, 0))</f>
        <v>Half Step Down (D#G#C#F#)</v>
      </c>
      <c r="J561" s="44" t="s">
        <v>794</v>
      </c>
      <c r="K561" s="59" t="s">
        <v>10</v>
      </c>
      <c r="L561" s="44" t="str">
        <f>INDEX(Helper!$F:$F, MATCH(K561, Helper!$E:$E, 0))</f>
        <v>#F5943C</v>
      </c>
      <c r="M561" s="45" t="s">
        <v>2511</v>
      </c>
      <c r="N561" s="50" t="s">
        <v>1584</v>
      </c>
      <c r="O561" s="46" t="s">
        <v>2512</v>
      </c>
      <c r="P561" s="74" t="s">
        <v>2513</v>
      </c>
    </row>
    <row r="562" spans="1:16" ht="121.5">
      <c r="A562" s="44">
        <v>559</v>
      </c>
      <c r="B562" s="44">
        <v>2</v>
      </c>
      <c r="C562" s="44">
        <v>1</v>
      </c>
      <c r="D562" s="45" t="str">
        <f>INDEX(Helper!$N$2:$N$4, MATCH(C562, Helper!$M$2:$M$4, 0))</f>
        <v>Beginner</v>
      </c>
      <c r="E562" s="45" t="s">
        <v>38</v>
      </c>
      <c r="F562" s="45" t="s">
        <v>273</v>
      </c>
      <c r="G562" s="5">
        <v>0</v>
      </c>
      <c r="H562" s="44">
        <v>1</v>
      </c>
      <c r="I562" s="44" t="str">
        <f>INDEX(Helper!$U:$U, MATCH(H562, Helper!$S:$S, 0))</f>
        <v>Standard (EADG)</v>
      </c>
      <c r="J562" s="44" t="s">
        <v>64</v>
      </c>
      <c r="K562" s="59" t="s">
        <v>10</v>
      </c>
      <c r="L562" s="44" t="str">
        <f>INDEX(Helper!$F:$F, MATCH(K562, Helper!$E:$E, 0))</f>
        <v>#F5943C</v>
      </c>
      <c r="M562" s="45" t="s">
        <v>427</v>
      </c>
      <c r="N562" s="45" t="s">
        <v>1737</v>
      </c>
      <c r="O562" s="46" t="s">
        <v>2514</v>
      </c>
      <c r="P562" s="74" t="s">
        <v>2515</v>
      </c>
    </row>
    <row r="563" spans="1:16" ht="54">
      <c r="A563" s="44">
        <v>560</v>
      </c>
      <c r="B563" s="44">
        <v>2</v>
      </c>
      <c r="C563" s="44">
        <v>1</v>
      </c>
      <c r="D563" s="45" t="str">
        <f>INDEX(Helper!$N$2:$N$4, MATCH(C563, Helper!$M$2:$M$4, 0))</f>
        <v>Beginner</v>
      </c>
      <c r="E563" s="45" t="s">
        <v>38</v>
      </c>
      <c r="F563" s="45" t="s">
        <v>2516</v>
      </c>
      <c r="G563" s="5">
        <v>3</v>
      </c>
      <c r="H563" s="44">
        <v>1</v>
      </c>
      <c r="I563" s="44" t="str">
        <f>INDEX(Helper!$U:$U, MATCH(H563, Helper!$S:$S, 0))</f>
        <v>Standard (EADG)</v>
      </c>
      <c r="J563" s="44" t="s">
        <v>66</v>
      </c>
      <c r="K563" s="59" t="s">
        <v>10</v>
      </c>
      <c r="L563" s="44" t="str">
        <f>INDEX(Helper!$F:$F, MATCH(K563, Helper!$E:$E, 0))</f>
        <v>#F5943C</v>
      </c>
      <c r="M563" s="45" t="s">
        <v>2517</v>
      </c>
      <c r="N563" s="45" t="s">
        <v>1737</v>
      </c>
      <c r="O563" s="46" t="s">
        <v>2518</v>
      </c>
      <c r="P563" s="74" t="s">
        <v>2519</v>
      </c>
    </row>
    <row r="564" spans="1:16" ht="243">
      <c r="A564" s="44">
        <v>561</v>
      </c>
      <c r="B564" s="44">
        <v>2</v>
      </c>
      <c r="C564" s="53">
        <v>2</v>
      </c>
      <c r="D564" s="45" t="str">
        <f>INDEX(Helper!$N$2:$N$4, MATCH(C564, Helper!$M$2:$M$4, 0))</f>
        <v>Intermediate</v>
      </c>
      <c r="E564" s="45" t="s">
        <v>38</v>
      </c>
      <c r="F564" s="45" t="s">
        <v>2520</v>
      </c>
      <c r="G564" s="7">
        <v>3</v>
      </c>
      <c r="H564" s="44">
        <v>1</v>
      </c>
      <c r="I564" s="44" t="str">
        <f>INDEX(Helper!$U:$U, MATCH(H564, Helper!$S:$S, 0))</f>
        <v>Standard (EADG)</v>
      </c>
      <c r="J564" s="44" t="s">
        <v>618</v>
      </c>
      <c r="K564" s="59" t="s">
        <v>10</v>
      </c>
      <c r="L564" s="44" t="str">
        <f>INDEX(Helper!$F:$F, MATCH(K564, Helper!$E:$E, 0))</f>
        <v>#F5943C</v>
      </c>
      <c r="M564" s="54" t="s">
        <v>2521</v>
      </c>
      <c r="N564" s="50" t="s">
        <v>1584</v>
      </c>
      <c r="O564" s="81" t="s">
        <v>2522</v>
      </c>
      <c r="P564" s="80" t="s">
        <v>2523</v>
      </c>
    </row>
    <row r="565" spans="1:16" ht="391.5">
      <c r="A565" s="44">
        <v>562</v>
      </c>
      <c r="B565" s="44">
        <v>2</v>
      </c>
      <c r="C565" s="44">
        <v>2</v>
      </c>
      <c r="D565" s="45" t="str">
        <f>INDEX(Helper!$N$2:$N$4, MATCH(C565, Helper!$M$2:$M$4, 0))</f>
        <v>Intermediate</v>
      </c>
      <c r="E565" s="45" t="s">
        <v>38</v>
      </c>
      <c r="F565" s="45" t="s">
        <v>2524</v>
      </c>
      <c r="G565" s="5">
        <v>3</v>
      </c>
      <c r="H565" s="44">
        <v>1</v>
      </c>
      <c r="I565" s="44" t="str">
        <f>INDEX(Helper!$U:$U, MATCH(H565, Helper!$S:$S, 0))</f>
        <v>Standard (EADG)</v>
      </c>
      <c r="J565" s="44" t="s">
        <v>63</v>
      </c>
      <c r="K565" s="59" t="s">
        <v>10</v>
      </c>
      <c r="L565" s="44" t="str">
        <f>INDEX(Helper!$F:$F, MATCH(K565, Helper!$E:$E, 0))</f>
        <v>#F5943C</v>
      </c>
      <c r="M565" s="45" t="s">
        <v>2525</v>
      </c>
      <c r="N565" s="45" t="s">
        <v>1737</v>
      </c>
      <c r="O565" s="75" t="s">
        <v>2526</v>
      </c>
      <c r="P565" s="74" t="s">
        <v>2527</v>
      </c>
    </row>
    <row r="566" spans="1:16" ht="256.5">
      <c r="A566" s="44">
        <v>563</v>
      </c>
      <c r="B566" s="44">
        <v>2</v>
      </c>
      <c r="C566" s="44">
        <v>2</v>
      </c>
      <c r="D566" s="45" t="str">
        <f>INDEX(Helper!$N$2:$N$4, MATCH(C566, Helper!$M$2:$M$4, 0))</f>
        <v>Intermediate</v>
      </c>
      <c r="E566" s="45" t="s">
        <v>261</v>
      </c>
      <c r="F566" s="45" t="s">
        <v>2528</v>
      </c>
      <c r="G566" s="5">
        <v>3</v>
      </c>
      <c r="H566" s="44">
        <v>1</v>
      </c>
      <c r="I566" s="44" t="str">
        <f>INDEX(Helper!$U:$U, MATCH(H566, Helper!$S:$S, 0))</f>
        <v>Standard (EADG)</v>
      </c>
      <c r="J566" s="44" t="s">
        <v>64</v>
      </c>
      <c r="K566" s="61" t="s">
        <v>11</v>
      </c>
      <c r="L566" s="44" t="str">
        <f>INDEX(Helper!$F:$F, MATCH(K566, Helper!$E:$E, 0))</f>
        <v>#E8AD1D</v>
      </c>
      <c r="M566" s="45" t="s">
        <v>2529</v>
      </c>
      <c r="N566" s="50" t="s">
        <v>1584</v>
      </c>
      <c r="O566" s="75" t="s">
        <v>2530</v>
      </c>
      <c r="P566" s="74" t="s">
        <v>2531</v>
      </c>
    </row>
    <row r="567" spans="1:16" ht="67.5">
      <c r="A567" s="44">
        <v>564</v>
      </c>
      <c r="B567" s="44">
        <v>2</v>
      </c>
      <c r="C567" s="44">
        <v>2</v>
      </c>
      <c r="D567" s="45" t="str">
        <f>INDEX(Helper!$N$2:$N$4, MATCH(C567, Helper!$M$2:$M$4, 0))</f>
        <v>Intermediate</v>
      </c>
      <c r="E567" s="45" t="s">
        <v>226</v>
      </c>
      <c r="F567" s="45" t="s">
        <v>2532</v>
      </c>
      <c r="G567" s="5">
        <v>0</v>
      </c>
      <c r="H567" s="44">
        <v>2</v>
      </c>
      <c r="I567" s="44" t="str">
        <f>INDEX(Helper!$U:$U, MATCH(H567, Helper!$S:$S, 0))</f>
        <v>Drop D (DADG)</v>
      </c>
      <c r="J567" s="44" t="s">
        <v>64</v>
      </c>
      <c r="K567" s="88" t="s">
        <v>1587</v>
      </c>
      <c r="L567" s="44" t="str">
        <f>INDEX(Helper!$F:$F, MATCH(K567, Helper!$E:$E, 0))</f>
        <v>#B3F141</v>
      </c>
      <c r="M567" s="45" t="s">
        <v>2533</v>
      </c>
      <c r="N567" s="50" t="s">
        <v>1584</v>
      </c>
      <c r="O567" s="75" t="s">
        <v>2534</v>
      </c>
      <c r="P567" s="74" t="s">
        <v>2535</v>
      </c>
    </row>
    <row r="568" spans="1:16" ht="297">
      <c r="A568" s="44">
        <v>565</v>
      </c>
      <c r="B568" s="44">
        <v>2</v>
      </c>
      <c r="C568" s="44">
        <v>1</v>
      </c>
      <c r="D568" s="45" t="str">
        <f>INDEX(Helper!$N$2:$N$4, MATCH(C568, Helper!$M$2:$M$4, 0))</f>
        <v>Beginner</v>
      </c>
      <c r="E568" s="45" t="s">
        <v>226</v>
      </c>
      <c r="F568" s="45" t="s">
        <v>2536</v>
      </c>
      <c r="G568" s="5">
        <v>0</v>
      </c>
      <c r="H568" s="44">
        <v>1</v>
      </c>
      <c r="I568" s="44" t="str">
        <f>INDEX(Helper!$U:$U, MATCH(H568, Helper!$S:$S, 0))</f>
        <v>Standard (EADG)</v>
      </c>
      <c r="J568" s="44" t="s">
        <v>68</v>
      </c>
      <c r="K568" s="88" t="s">
        <v>1587</v>
      </c>
      <c r="L568" s="44" t="str">
        <f>INDEX(Helper!$F:$F, MATCH(K568, Helper!$E:$E, 0))</f>
        <v>#B3F141</v>
      </c>
      <c r="M568" s="45" t="s">
        <v>2537</v>
      </c>
      <c r="N568" s="50" t="s">
        <v>1584</v>
      </c>
      <c r="O568" s="75" t="s">
        <v>2538</v>
      </c>
      <c r="P568" s="74" t="s">
        <v>2539</v>
      </c>
    </row>
    <row r="569" spans="1:16" ht="409.5">
      <c r="A569" s="44">
        <v>566</v>
      </c>
      <c r="B569" s="44">
        <v>2</v>
      </c>
      <c r="C569" s="44">
        <v>2</v>
      </c>
      <c r="D569" s="45" t="str">
        <f>INDEX(Helper!$N$2:$N$4, MATCH(C569, Helper!$M$2:$M$4, 0))</f>
        <v>Intermediate</v>
      </c>
      <c r="E569" s="45" t="s">
        <v>226</v>
      </c>
      <c r="F569" s="45" t="s">
        <v>2540</v>
      </c>
      <c r="G569" s="5">
        <v>3</v>
      </c>
      <c r="H569" s="44">
        <v>1</v>
      </c>
      <c r="I569" s="44" t="str">
        <f>INDEX(Helper!$U:$U, MATCH(H569, Helper!$S:$S, 0))</f>
        <v>Standard (EADG)</v>
      </c>
      <c r="J569" s="44" t="s">
        <v>844</v>
      </c>
      <c r="K569" s="88" t="s">
        <v>1587</v>
      </c>
      <c r="L569" s="44" t="str">
        <f>INDEX(Helper!$F:$F, MATCH(K569, Helper!$E:$E, 0))</f>
        <v>#B3F141</v>
      </c>
      <c r="M569" s="45" t="s">
        <v>2541</v>
      </c>
      <c r="N569" s="50" t="s">
        <v>1584</v>
      </c>
      <c r="O569" s="75" t="s">
        <v>2542</v>
      </c>
      <c r="P569" s="74" t="s">
        <v>2543</v>
      </c>
    </row>
    <row r="570" spans="1:16" ht="256.5">
      <c r="A570" s="44">
        <v>567</v>
      </c>
      <c r="B570" s="44">
        <v>2</v>
      </c>
      <c r="C570" s="44">
        <v>1</v>
      </c>
      <c r="D570" s="45" t="str">
        <f>INDEX(Helper!$N$2:$N$4, MATCH(C570, Helper!$M$2:$M$4, 0))</f>
        <v>Beginner</v>
      </c>
      <c r="E570" s="45" t="s">
        <v>1176</v>
      </c>
      <c r="F570" s="45" t="s">
        <v>1175</v>
      </c>
      <c r="G570" s="5">
        <v>0</v>
      </c>
      <c r="H570" s="44">
        <v>1</v>
      </c>
      <c r="I570" s="44" t="str">
        <f>INDEX(Helper!$U:$U, MATCH(H570, Helper!$S:$S, 0))</f>
        <v>Standard (EADG)</v>
      </c>
      <c r="J570" s="44" t="s">
        <v>393</v>
      </c>
      <c r="K570" s="65" t="s">
        <v>13</v>
      </c>
      <c r="L570" s="44" t="str">
        <f>INDEX(Helper!$F:$F, MATCH(K570, Helper!$E:$E, 0))</f>
        <v>#FF4F53</v>
      </c>
      <c r="M570" s="45" t="s">
        <v>1305</v>
      </c>
      <c r="N570" s="50" t="s">
        <v>1584</v>
      </c>
      <c r="O570" s="75" t="s">
        <v>2544</v>
      </c>
      <c r="P570" s="74" t="s">
        <v>2545</v>
      </c>
    </row>
    <row r="571" spans="1:16" ht="121.5">
      <c r="A571" s="44">
        <v>568</v>
      </c>
      <c r="B571" s="44">
        <v>2</v>
      </c>
      <c r="C571" s="44">
        <v>1</v>
      </c>
      <c r="D571" s="45" t="str">
        <f>INDEX(Helper!$N$2:$N$4, MATCH(C571, Helper!$M$2:$M$4, 0))</f>
        <v>Beginner</v>
      </c>
      <c r="E571" s="45" t="s">
        <v>1176</v>
      </c>
      <c r="F571" s="45" t="s">
        <v>2546</v>
      </c>
      <c r="G571" s="5">
        <v>3</v>
      </c>
      <c r="H571" s="44">
        <v>1</v>
      </c>
      <c r="I571" s="44" t="str">
        <f>INDEX(Helper!$U:$U, MATCH(H571, Helper!$S:$S, 0))</f>
        <v>Standard (EADG)</v>
      </c>
      <c r="J571" s="44" t="s">
        <v>62</v>
      </c>
      <c r="K571" s="65" t="s">
        <v>13</v>
      </c>
      <c r="L571" s="44" t="str">
        <f>INDEX(Helper!$F:$F, MATCH(K571, Helper!$E:$E, 0))</f>
        <v>#FF4F53</v>
      </c>
      <c r="M571" s="45" t="s">
        <v>2547</v>
      </c>
      <c r="N571" s="50" t="s">
        <v>1584</v>
      </c>
      <c r="O571" s="75" t="s">
        <v>2548</v>
      </c>
      <c r="P571" s="74" t="s">
        <v>2549</v>
      </c>
    </row>
    <row r="572" spans="1:16" ht="67.5">
      <c r="A572" s="44">
        <v>569</v>
      </c>
      <c r="B572" s="44">
        <v>2</v>
      </c>
      <c r="C572" s="44">
        <v>1</v>
      </c>
      <c r="D572" s="45" t="str">
        <f>INDEX(Helper!$N$2:$N$4, MATCH(C572, Helper!$M$2:$M$4, 0))</f>
        <v>Beginner</v>
      </c>
      <c r="E572" s="45" t="s">
        <v>2417</v>
      </c>
      <c r="F572" s="45" t="s">
        <v>2550</v>
      </c>
      <c r="G572" s="5">
        <v>3</v>
      </c>
      <c r="H572" s="44">
        <v>1</v>
      </c>
      <c r="I572" s="44" t="str">
        <f>INDEX(Helper!$U:$U, MATCH(H572, Helper!$S:$S, 0))</f>
        <v>Standard (EADG)</v>
      </c>
      <c r="J572" s="44" t="s">
        <v>618</v>
      </c>
      <c r="K572" s="66" t="s">
        <v>370</v>
      </c>
      <c r="L572" s="44" t="str">
        <f>INDEX(Helper!$F:$F, MATCH(K572, Helper!$E:$E, 0))</f>
        <v>#B3F141</v>
      </c>
      <c r="M572" s="45" t="s">
        <v>2551</v>
      </c>
      <c r="N572" s="50" t="s">
        <v>1584</v>
      </c>
      <c r="O572" s="75" t="s">
        <v>2552</v>
      </c>
      <c r="P572" s="74" t="s">
        <v>2553</v>
      </c>
    </row>
    <row r="573" spans="1:16" ht="409.5">
      <c r="A573" s="44">
        <v>570</v>
      </c>
      <c r="B573" s="44">
        <v>2</v>
      </c>
      <c r="C573" s="44">
        <v>2</v>
      </c>
      <c r="D573" s="45" t="str">
        <f>INDEX(Helper!$N$2:$N$4, MATCH(C573, Helper!$M$2:$M$4, 0))</f>
        <v>Intermediate</v>
      </c>
      <c r="E573" s="45" t="s">
        <v>2417</v>
      </c>
      <c r="F573" s="45" t="s">
        <v>2554</v>
      </c>
      <c r="G573" s="5">
        <v>3</v>
      </c>
      <c r="H573" s="44">
        <v>1</v>
      </c>
      <c r="I573" s="44" t="str">
        <f>INDEX(Helper!$U:$U, MATCH(H573, Helper!$S:$S, 0))</f>
        <v>Standard (EADG)</v>
      </c>
      <c r="J573" s="44" t="s">
        <v>623</v>
      </c>
      <c r="K573" s="66" t="s">
        <v>370</v>
      </c>
      <c r="L573" s="44" t="str">
        <f>INDEX(Helper!$F:$F, MATCH(K573, Helper!$E:$E, 0))</f>
        <v>#B3F141</v>
      </c>
      <c r="M573" s="45" t="s">
        <v>2555</v>
      </c>
      <c r="N573" s="50" t="s">
        <v>1584</v>
      </c>
      <c r="O573" s="75" t="s">
        <v>2556</v>
      </c>
      <c r="P573" s="74" t="s">
        <v>2557</v>
      </c>
    </row>
    <row r="574" spans="1:16" ht="54">
      <c r="A574" s="44">
        <v>571</v>
      </c>
      <c r="B574" s="44">
        <v>2</v>
      </c>
      <c r="C574" s="44">
        <v>2</v>
      </c>
      <c r="D574" s="45" t="str">
        <f>INDEX(Helper!$N$2:$N$4, MATCH(C574, Helper!$M$2:$M$4, 0))</f>
        <v>Intermediate</v>
      </c>
      <c r="E574" s="45" t="s">
        <v>186</v>
      </c>
      <c r="F574" s="45" t="s">
        <v>2558</v>
      </c>
      <c r="G574" s="5">
        <v>3</v>
      </c>
      <c r="H574" s="44">
        <v>1</v>
      </c>
      <c r="I574" s="44" t="str">
        <f>INDEX(Helper!$U:$U, MATCH(H574, Helper!$S:$S, 0))</f>
        <v>Standard (EADG)</v>
      </c>
      <c r="J574" s="44" t="s">
        <v>59</v>
      </c>
      <c r="K574" s="59" t="s">
        <v>10</v>
      </c>
      <c r="L574" s="44" t="str">
        <f>INDEX(Helper!$F:$F, MATCH(K574, Helper!$E:$E, 0))</f>
        <v>#F5943C</v>
      </c>
      <c r="M574" s="45" t="s">
        <v>2559</v>
      </c>
      <c r="N574" s="50" t="s">
        <v>1584</v>
      </c>
      <c r="O574" s="75" t="s">
        <v>2560</v>
      </c>
      <c r="P574" s="74" t="s">
        <v>2561</v>
      </c>
    </row>
    <row r="575" spans="1:16" ht="54">
      <c r="A575" s="44">
        <v>572</v>
      </c>
      <c r="B575" s="44">
        <v>2</v>
      </c>
      <c r="C575" s="44">
        <v>1</v>
      </c>
      <c r="D575" s="45" t="str">
        <f>INDEX(Helper!$N$2:$N$4, MATCH(C575, Helper!$M$2:$M$4, 0))</f>
        <v>Beginner</v>
      </c>
      <c r="E575" s="45" t="s">
        <v>2562</v>
      </c>
      <c r="F575" s="45" t="s">
        <v>2563</v>
      </c>
      <c r="G575" s="5">
        <v>0</v>
      </c>
      <c r="H575" s="44">
        <v>1</v>
      </c>
      <c r="I575" s="44" t="str">
        <f>INDEX(Helper!$U:$U, MATCH(H575, Helper!$S:$S, 0))</f>
        <v>Standard (EADG)</v>
      </c>
      <c r="J575" s="44" t="s">
        <v>619</v>
      </c>
      <c r="K575" s="89" t="s">
        <v>2308</v>
      </c>
      <c r="L575" s="44" t="str">
        <f>INDEX(Helper!$F:$F, MATCH(K575, Helper!$E:$E, 0))</f>
        <v>#8AF1AA</v>
      </c>
      <c r="M575" s="45" t="s">
        <v>2564</v>
      </c>
      <c r="N575" s="50" t="s">
        <v>1584</v>
      </c>
      <c r="O575" s="75" t="s">
        <v>2565</v>
      </c>
      <c r="P575" s="74" t="s">
        <v>2566</v>
      </c>
    </row>
    <row r="576" spans="1:16" ht="324">
      <c r="A576" s="44">
        <v>573</v>
      </c>
      <c r="B576" s="44">
        <v>2</v>
      </c>
      <c r="C576" s="44">
        <v>3</v>
      </c>
      <c r="D576" s="45" t="str">
        <f>INDEX(Helper!$N$2:$N$4, MATCH(C576, Helper!$M$2:$M$4, 0))</f>
        <v>Advanced</v>
      </c>
      <c r="E576" s="45" t="s">
        <v>351</v>
      </c>
      <c r="F576" s="45" t="s">
        <v>2567</v>
      </c>
      <c r="G576" s="5">
        <v>3</v>
      </c>
      <c r="H576" s="44">
        <v>1</v>
      </c>
      <c r="I576" s="44" t="str">
        <f>INDEX(Helper!$U:$U, MATCH(H576, Helper!$S:$S, 0))</f>
        <v>Standard (EADG)</v>
      </c>
      <c r="J576" s="44" t="s">
        <v>626</v>
      </c>
      <c r="K576" s="64" t="s">
        <v>15</v>
      </c>
      <c r="L576" s="44" t="str">
        <f>INDEX(Helper!$F:$F, MATCH(K576, Helper!$E:$E, 0))</f>
        <v>#C2C2A1</v>
      </c>
      <c r="M576" s="45" t="s">
        <v>2568</v>
      </c>
      <c r="N576" s="50" t="s">
        <v>1584</v>
      </c>
      <c r="O576" s="75" t="s">
        <v>2569</v>
      </c>
      <c r="P576" s="74" t="s">
        <v>2570</v>
      </c>
    </row>
    <row r="577" spans="1:16" ht="256.5">
      <c r="A577" s="44">
        <v>574</v>
      </c>
      <c r="B577" s="44">
        <v>2</v>
      </c>
      <c r="C577" s="44">
        <v>3</v>
      </c>
      <c r="D577" s="45" t="str">
        <f>INDEX(Helper!$N$2:$N$4, MATCH(C577, Helper!$M$2:$M$4, 0))</f>
        <v>Advanced</v>
      </c>
      <c r="E577" s="45" t="s">
        <v>351</v>
      </c>
      <c r="F577" s="45" t="s">
        <v>2571</v>
      </c>
      <c r="G577" s="5">
        <v>0</v>
      </c>
      <c r="H577" s="44">
        <v>1</v>
      </c>
      <c r="I577" s="44" t="str">
        <f>INDEX(Helper!$U:$U, MATCH(H577, Helper!$S:$S, 0))</f>
        <v>Standard (EADG)</v>
      </c>
      <c r="J577" s="44" t="s">
        <v>393</v>
      </c>
      <c r="K577" s="64" t="s">
        <v>15</v>
      </c>
      <c r="L577" s="44" t="str">
        <f>INDEX(Helper!$F:$F, MATCH(K577, Helper!$E:$E, 0))</f>
        <v>#C2C2A1</v>
      </c>
      <c r="M577" s="45" t="s">
        <v>2572</v>
      </c>
      <c r="N577" s="50" t="s">
        <v>1584</v>
      </c>
      <c r="O577" s="84" t="s">
        <v>2573</v>
      </c>
      <c r="P577" s="74" t="s">
        <v>2574</v>
      </c>
    </row>
  </sheetData>
  <autoFilter ref="A1:P334" xr:uid="{00000000-0009-0000-0000-000002000000}">
    <filterColumn colId="2" showButton="0"/>
    <filterColumn colId="7" showButton="0"/>
    <filterColumn colId="10" showButton="0"/>
    <sortState xmlns:xlrd2="http://schemas.microsoft.com/office/spreadsheetml/2017/richdata2" ref="A4:O577">
      <sortCondition ref="A1:A333"/>
    </sortState>
  </autoFilter>
  <sortState xmlns:xlrd2="http://schemas.microsoft.com/office/spreadsheetml/2017/richdata2" ref="A4:P602">
    <sortCondition ref="A4:A1000"/>
  </sortState>
  <mergeCells count="13">
    <mergeCell ref="A1:A2"/>
    <mergeCell ref="H1:I1"/>
    <mergeCell ref="P1:P2"/>
    <mergeCell ref="K1:L1"/>
    <mergeCell ref="M1:M2"/>
    <mergeCell ref="J1:J2"/>
    <mergeCell ref="F1:F2"/>
    <mergeCell ref="E1:E2"/>
    <mergeCell ref="G1:G2"/>
    <mergeCell ref="C1:D2"/>
    <mergeCell ref="O1:O2"/>
    <mergeCell ref="N1:N2"/>
    <mergeCell ref="B1:B2"/>
  </mergeCells>
  <hyperlinks>
    <hyperlink ref="O5" r:id="rId1" xr:uid="{00000000-0004-0000-0200-000000000000}"/>
    <hyperlink ref="O10" r:id="rId2" xr:uid="{00000000-0004-0000-0200-000001000000}"/>
    <hyperlink ref="O11" r:id="rId3" xr:uid="{00000000-0004-0000-0200-000002000000}"/>
    <hyperlink ref="O16" r:id="rId4" xr:uid="{00000000-0004-0000-0200-000003000000}"/>
    <hyperlink ref="O18" r:id="rId5" xr:uid="{00000000-0004-0000-0200-000004000000}"/>
    <hyperlink ref="O12" r:id="rId6" xr:uid="{00000000-0004-0000-0200-000005000000}"/>
    <hyperlink ref="O22" r:id="rId7" xr:uid="{00000000-0004-0000-0200-000006000000}"/>
    <hyperlink ref="O25" r:id="rId8" xr:uid="{00000000-0004-0000-0200-000007000000}"/>
    <hyperlink ref="O31" r:id="rId9" xr:uid="{00000000-0004-0000-0200-000008000000}"/>
    <hyperlink ref="O36" r:id="rId10" xr:uid="{00000000-0004-0000-0200-000009000000}"/>
    <hyperlink ref="O37" r:id="rId11" xr:uid="{00000000-0004-0000-0200-00000A000000}"/>
    <hyperlink ref="O39" r:id="rId12" xr:uid="{00000000-0004-0000-0200-00000B000000}"/>
    <hyperlink ref="O40" r:id="rId13" xr:uid="{00000000-0004-0000-0200-00000C000000}"/>
    <hyperlink ref="O43" r:id="rId14" xr:uid="{00000000-0004-0000-0200-00000D000000}"/>
    <hyperlink ref="O44" r:id="rId15" xr:uid="{00000000-0004-0000-0200-00000E000000}"/>
    <hyperlink ref="O65" r:id="rId16" xr:uid="{00000000-0004-0000-0200-00000F000000}"/>
    <hyperlink ref="O66" r:id="rId17" xr:uid="{00000000-0004-0000-0200-000010000000}"/>
    <hyperlink ref="O79" r:id="rId18" xr:uid="{00000000-0004-0000-0200-000011000000}"/>
    <hyperlink ref="O86" r:id="rId19" xr:uid="{00000000-0004-0000-0200-000012000000}"/>
    <hyperlink ref="O88" r:id="rId20" xr:uid="{00000000-0004-0000-0200-000013000000}"/>
    <hyperlink ref="O89" r:id="rId21" xr:uid="{00000000-0004-0000-0200-000014000000}"/>
    <hyperlink ref="O90" r:id="rId22" xr:uid="{00000000-0004-0000-0200-000015000000}"/>
    <hyperlink ref="O92" r:id="rId23" xr:uid="{00000000-0004-0000-0200-000016000000}"/>
    <hyperlink ref="O14" r:id="rId24" xr:uid="{00000000-0004-0000-0200-000017000000}"/>
    <hyperlink ref="O42" r:id="rId25" xr:uid="{00000000-0004-0000-0200-000018000000}"/>
    <hyperlink ref="O47" r:id="rId26" xr:uid="{00000000-0004-0000-0200-000019000000}"/>
    <hyperlink ref="O59" r:id="rId27" xr:uid="{00000000-0004-0000-0200-00001A000000}"/>
    <hyperlink ref="O4" r:id="rId28" xr:uid="{00000000-0004-0000-0200-00001B000000}"/>
    <hyperlink ref="O7" r:id="rId29" xr:uid="{00000000-0004-0000-0200-00001C000000}"/>
    <hyperlink ref="O6" r:id="rId30" xr:uid="{00000000-0004-0000-0200-00001D000000}"/>
    <hyperlink ref="O8" r:id="rId31" xr:uid="{00000000-0004-0000-0200-00001E000000}"/>
    <hyperlink ref="O9" r:id="rId32" xr:uid="{00000000-0004-0000-0200-00001F000000}"/>
    <hyperlink ref="O13" r:id="rId33" xr:uid="{00000000-0004-0000-0200-000020000000}"/>
    <hyperlink ref="O15" r:id="rId34" xr:uid="{00000000-0004-0000-0200-000021000000}"/>
    <hyperlink ref="O17" r:id="rId35" xr:uid="{00000000-0004-0000-0200-000022000000}"/>
    <hyperlink ref="O19" r:id="rId36" xr:uid="{00000000-0004-0000-0200-000023000000}"/>
    <hyperlink ref="O20" r:id="rId37" xr:uid="{00000000-0004-0000-0200-000024000000}"/>
    <hyperlink ref="O21" r:id="rId38" xr:uid="{00000000-0004-0000-0200-000025000000}"/>
    <hyperlink ref="O23" r:id="rId39" xr:uid="{00000000-0004-0000-0200-000026000000}"/>
    <hyperlink ref="O24" r:id="rId40" xr:uid="{00000000-0004-0000-0200-000027000000}"/>
    <hyperlink ref="O26" r:id="rId41" xr:uid="{00000000-0004-0000-0200-000028000000}"/>
    <hyperlink ref="O27" r:id="rId42" xr:uid="{00000000-0004-0000-0200-000029000000}"/>
    <hyperlink ref="O28" r:id="rId43" xr:uid="{00000000-0004-0000-0200-00002A000000}"/>
    <hyperlink ref="O29" r:id="rId44" xr:uid="{00000000-0004-0000-0200-00002B000000}"/>
    <hyperlink ref="O30" r:id="rId45" xr:uid="{00000000-0004-0000-0200-00002C000000}"/>
    <hyperlink ref="O32" r:id="rId46" xr:uid="{00000000-0004-0000-0200-00002D000000}"/>
    <hyperlink ref="O33" r:id="rId47" xr:uid="{00000000-0004-0000-0200-00002E000000}"/>
    <hyperlink ref="O34" r:id="rId48" xr:uid="{00000000-0004-0000-0200-00002F000000}"/>
    <hyperlink ref="O35" r:id="rId49" xr:uid="{00000000-0004-0000-0200-000030000000}"/>
    <hyperlink ref="O38" r:id="rId50" xr:uid="{00000000-0004-0000-0200-000031000000}"/>
    <hyperlink ref="O41" r:id="rId51" xr:uid="{00000000-0004-0000-0200-000032000000}"/>
    <hyperlink ref="O45" r:id="rId52" xr:uid="{00000000-0004-0000-0200-000033000000}"/>
    <hyperlink ref="O46" r:id="rId53" xr:uid="{00000000-0004-0000-0200-000034000000}"/>
    <hyperlink ref="O48" r:id="rId54" xr:uid="{00000000-0004-0000-0200-000035000000}"/>
    <hyperlink ref="O49" r:id="rId55" xr:uid="{00000000-0004-0000-0200-000036000000}"/>
    <hyperlink ref="O50" r:id="rId56" xr:uid="{00000000-0004-0000-0200-000037000000}"/>
    <hyperlink ref="O51" r:id="rId57" xr:uid="{00000000-0004-0000-0200-000038000000}"/>
    <hyperlink ref="O52" r:id="rId58" xr:uid="{00000000-0004-0000-0200-000039000000}"/>
    <hyperlink ref="O53" r:id="rId59" xr:uid="{00000000-0004-0000-0200-00003A000000}"/>
    <hyperlink ref="O55" r:id="rId60" xr:uid="{00000000-0004-0000-0200-00003B000000}"/>
    <hyperlink ref="O56" r:id="rId61" xr:uid="{00000000-0004-0000-0200-00003C000000}"/>
    <hyperlink ref="O57" r:id="rId62" xr:uid="{00000000-0004-0000-0200-00003D000000}"/>
    <hyperlink ref="O58" r:id="rId63" xr:uid="{00000000-0004-0000-0200-00003E000000}"/>
    <hyperlink ref="O60" r:id="rId64" xr:uid="{00000000-0004-0000-0200-00003F000000}"/>
    <hyperlink ref="O61" r:id="rId65" xr:uid="{00000000-0004-0000-0200-000040000000}"/>
    <hyperlink ref="O62" r:id="rId66" xr:uid="{00000000-0004-0000-0200-000041000000}"/>
    <hyperlink ref="O63" r:id="rId67" xr:uid="{00000000-0004-0000-0200-000042000000}"/>
    <hyperlink ref="O64" r:id="rId68" xr:uid="{00000000-0004-0000-0200-000043000000}"/>
    <hyperlink ref="O67" r:id="rId69" xr:uid="{00000000-0004-0000-0200-000044000000}"/>
    <hyperlink ref="O68" r:id="rId70" xr:uid="{00000000-0004-0000-0200-000045000000}"/>
    <hyperlink ref="O69" r:id="rId71" xr:uid="{00000000-0004-0000-0200-000046000000}"/>
    <hyperlink ref="O70" r:id="rId72" xr:uid="{00000000-0004-0000-0200-000047000000}"/>
    <hyperlink ref="O71" r:id="rId73" xr:uid="{00000000-0004-0000-0200-000048000000}"/>
    <hyperlink ref="O72" r:id="rId74" xr:uid="{00000000-0004-0000-0200-000049000000}"/>
    <hyperlink ref="O73" r:id="rId75" xr:uid="{00000000-0004-0000-0200-00004A000000}"/>
    <hyperlink ref="O74" r:id="rId76" xr:uid="{00000000-0004-0000-0200-00004B000000}"/>
    <hyperlink ref="O75" r:id="rId77" xr:uid="{00000000-0004-0000-0200-00004C000000}"/>
    <hyperlink ref="O76" r:id="rId78" xr:uid="{00000000-0004-0000-0200-00004D000000}"/>
    <hyperlink ref="O77" r:id="rId79" xr:uid="{00000000-0004-0000-0200-00004E000000}"/>
    <hyperlink ref="O78" r:id="rId80" xr:uid="{00000000-0004-0000-0200-00004F000000}"/>
    <hyperlink ref="O80" r:id="rId81" xr:uid="{00000000-0004-0000-0200-000050000000}"/>
    <hyperlink ref="O81" r:id="rId82" xr:uid="{00000000-0004-0000-0200-000051000000}"/>
    <hyperlink ref="O82" r:id="rId83" xr:uid="{00000000-0004-0000-0200-000052000000}"/>
    <hyperlink ref="O83" r:id="rId84" xr:uid="{00000000-0004-0000-0200-000053000000}"/>
    <hyperlink ref="O84" r:id="rId85" xr:uid="{00000000-0004-0000-0200-000054000000}"/>
    <hyperlink ref="O85" r:id="rId86" xr:uid="{00000000-0004-0000-0200-000055000000}"/>
    <hyperlink ref="O87" r:id="rId87" xr:uid="{00000000-0004-0000-0200-000056000000}"/>
    <hyperlink ref="O91" r:id="rId88" xr:uid="{00000000-0004-0000-0200-000057000000}"/>
    <hyperlink ref="O93" r:id="rId89" xr:uid="{00000000-0004-0000-0200-000058000000}"/>
    <hyperlink ref="O94" r:id="rId90" xr:uid="{00000000-0004-0000-0200-000059000000}"/>
    <hyperlink ref="O95" r:id="rId91" xr:uid="{00000000-0004-0000-0200-00005A000000}"/>
    <hyperlink ref="O96" r:id="rId92" xr:uid="{00000000-0004-0000-0200-00005B000000}"/>
    <hyperlink ref="O97" r:id="rId93" xr:uid="{00000000-0004-0000-0200-00005C000000}"/>
    <hyperlink ref="O98" r:id="rId94" xr:uid="{00000000-0004-0000-0200-00005D000000}"/>
    <hyperlink ref="O99" r:id="rId95" xr:uid="{00000000-0004-0000-0200-00005E000000}"/>
    <hyperlink ref="O100" r:id="rId96" xr:uid="{00000000-0004-0000-0200-00005F000000}"/>
    <hyperlink ref="O101" r:id="rId97" xr:uid="{00000000-0004-0000-0200-000060000000}"/>
    <hyperlink ref="O102" r:id="rId98" xr:uid="{00000000-0004-0000-0200-000061000000}"/>
    <hyperlink ref="O103" r:id="rId99" xr:uid="{00000000-0004-0000-0200-000062000000}"/>
    <hyperlink ref="O104" r:id="rId100" xr:uid="{00000000-0004-0000-0200-000063000000}"/>
    <hyperlink ref="O105" r:id="rId101" xr:uid="{00000000-0004-0000-0200-000064000000}"/>
    <hyperlink ref="O106" r:id="rId102" xr:uid="{00000000-0004-0000-0200-000065000000}"/>
    <hyperlink ref="O107" r:id="rId103" xr:uid="{00000000-0004-0000-0200-000066000000}"/>
    <hyperlink ref="O108" r:id="rId104" xr:uid="{00000000-0004-0000-0200-000067000000}"/>
    <hyperlink ref="O109" r:id="rId105" xr:uid="{00000000-0004-0000-0200-000068000000}"/>
    <hyperlink ref="O110" r:id="rId106" xr:uid="{00000000-0004-0000-0200-000069000000}"/>
    <hyperlink ref="O111" r:id="rId107" xr:uid="{00000000-0004-0000-0200-00006A000000}"/>
    <hyperlink ref="O112" r:id="rId108" xr:uid="{00000000-0004-0000-0200-00006B000000}"/>
    <hyperlink ref="O113" r:id="rId109" xr:uid="{00000000-0004-0000-0200-00006C000000}"/>
    <hyperlink ref="O114" r:id="rId110" xr:uid="{00000000-0004-0000-0200-00006D000000}"/>
    <hyperlink ref="O116" r:id="rId111" xr:uid="{00000000-0004-0000-0200-00006E000000}"/>
    <hyperlink ref="O117" r:id="rId112" xr:uid="{00000000-0004-0000-0200-00006F000000}"/>
    <hyperlink ref="O118" r:id="rId113" xr:uid="{00000000-0004-0000-0200-000070000000}"/>
    <hyperlink ref="O119" r:id="rId114" xr:uid="{00000000-0004-0000-0200-000071000000}"/>
    <hyperlink ref="O120" r:id="rId115" xr:uid="{00000000-0004-0000-0200-000072000000}"/>
    <hyperlink ref="O121" r:id="rId116" xr:uid="{00000000-0004-0000-0200-000073000000}"/>
    <hyperlink ref="O122" r:id="rId117" xr:uid="{00000000-0004-0000-0200-000074000000}"/>
    <hyperlink ref="O125" r:id="rId118" xr:uid="{00000000-0004-0000-0200-000075000000}"/>
    <hyperlink ref="O126" r:id="rId119" xr:uid="{00000000-0004-0000-0200-000076000000}"/>
    <hyperlink ref="O128" r:id="rId120" xr:uid="{00000000-0004-0000-0200-000077000000}"/>
    <hyperlink ref="O130" r:id="rId121" xr:uid="{00000000-0004-0000-0200-000078000000}"/>
    <hyperlink ref="O131" r:id="rId122" xr:uid="{00000000-0004-0000-0200-000079000000}"/>
    <hyperlink ref="O134" r:id="rId123" xr:uid="{00000000-0004-0000-0200-00007A000000}"/>
    <hyperlink ref="O135" r:id="rId124" xr:uid="{00000000-0004-0000-0200-00007B000000}"/>
    <hyperlink ref="O137" r:id="rId125" xr:uid="{00000000-0004-0000-0200-00007C000000}"/>
    <hyperlink ref="O138" r:id="rId126" xr:uid="{00000000-0004-0000-0200-00007D000000}"/>
    <hyperlink ref="O139" r:id="rId127" xr:uid="{00000000-0004-0000-0200-00007E000000}"/>
    <hyperlink ref="O142" r:id="rId128" xr:uid="{00000000-0004-0000-0200-00007F000000}"/>
    <hyperlink ref="O143" r:id="rId129" xr:uid="{00000000-0004-0000-0200-000080000000}"/>
    <hyperlink ref="O144" r:id="rId130" xr:uid="{00000000-0004-0000-0200-000081000000}"/>
    <hyperlink ref="O147" r:id="rId131" xr:uid="{00000000-0004-0000-0200-000082000000}"/>
    <hyperlink ref="O149" r:id="rId132" xr:uid="{00000000-0004-0000-0200-000083000000}"/>
    <hyperlink ref="O154" r:id="rId133" xr:uid="{00000000-0004-0000-0200-000084000000}"/>
    <hyperlink ref="O155" r:id="rId134" xr:uid="{00000000-0004-0000-0200-000085000000}"/>
    <hyperlink ref="O157" r:id="rId135" xr:uid="{00000000-0004-0000-0200-000086000000}"/>
    <hyperlink ref="O159" r:id="rId136" xr:uid="{00000000-0004-0000-0200-000087000000}"/>
    <hyperlink ref="O158" r:id="rId137" xr:uid="{00000000-0004-0000-0200-000088000000}"/>
    <hyperlink ref="O161" r:id="rId138" xr:uid="{00000000-0004-0000-0200-000089000000}"/>
    <hyperlink ref="O162" r:id="rId139" xr:uid="{00000000-0004-0000-0200-00008A000000}"/>
    <hyperlink ref="O164" r:id="rId140" xr:uid="{00000000-0004-0000-0200-00008B000000}"/>
    <hyperlink ref="O206" r:id="rId141" xr:uid="{00000000-0004-0000-0200-00008C000000}"/>
    <hyperlink ref="O175" r:id="rId142" xr:uid="{00000000-0004-0000-0200-00008D000000}"/>
    <hyperlink ref="O178" r:id="rId143" xr:uid="{00000000-0004-0000-0200-00008E000000}"/>
    <hyperlink ref="O211" r:id="rId144" xr:uid="{00000000-0004-0000-0200-00008F000000}"/>
    <hyperlink ref="O215" r:id="rId145" xr:uid="{00000000-0004-0000-0200-000090000000}"/>
    <hyperlink ref="O217" r:id="rId146" xr:uid="{00000000-0004-0000-0200-000091000000}"/>
    <hyperlink ref="O216" r:id="rId147" xr:uid="{00000000-0004-0000-0200-000092000000}"/>
    <hyperlink ref="O226" r:id="rId148" xr:uid="{00000000-0004-0000-0200-000093000000}"/>
    <hyperlink ref="O227" r:id="rId149" xr:uid="{00000000-0004-0000-0200-000094000000}"/>
    <hyperlink ref="O231" r:id="rId150" xr:uid="{00000000-0004-0000-0200-000095000000}"/>
    <hyperlink ref="O233" r:id="rId151" xr:uid="{00000000-0004-0000-0200-000096000000}"/>
    <hyperlink ref="O208" r:id="rId152" xr:uid="{00000000-0004-0000-0200-000097000000}"/>
    <hyperlink ref="O193" r:id="rId153" xr:uid="{00000000-0004-0000-0200-000098000000}"/>
    <hyperlink ref="O196" r:id="rId154" xr:uid="{00000000-0004-0000-0200-000099000000}"/>
    <hyperlink ref="O204" r:id="rId155" xr:uid="{00000000-0004-0000-0200-00009A000000}"/>
    <hyperlink ref="O234" r:id="rId156" xr:uid="{00000000-0004-0000-0200-00009B000000}"/>
    <hyperlink ref="O235" r:id="rId157" xr:uid="{00000000-0004-0000-0200-00009C000000}"/>
    <hyperlink ref="O236" r:id="rId158" xr:uid="{00000000-0004-0000-0200-00009D000000}"/>
    <hyperlink ref="O237" r:id="rId159" xr:uid="{00000000-0004-0000-0200-00009E000000}"/>
    <hyperlink ref="O238" r:id="rId160" xr:uid="{00000000-0004-0000-0200-00009F000000}"/>
    <hyperlink ref="O239" r:id="rId161" xr:uid="{00000000-0004-0000-0200-0000A0000000}"/>
    <hyperlink ref="O240" r:id="rId162" xr:uid="{00000000-0004-0000-0200-0000A1000000}"/>
    <hyperlink ref="O241" r:id="rId163" xr:uid="{00000000-0004-0000-0200-0000A2000000}"/>
    <hyperlink ref="O242" r:id="rId164" xr:uid="{00000000-0004-0000-0200-0000A3000000}"/>
    <hyperlink ref="O243" r:id="rId165" xr:uid="{00000000-0004-0000-0200-0000A4000000}"/>
    <hyperlink ref="O244" r:id="rId166" xr:uid="{00000000-0004-0000-0200-0000A5000000}"/>
    <hyperlink ref="O245" r:id="rId167" xr:uid="{00000000-0004-0000-0200-0000A6000000}"/>
    <hyperlink ref="O246" r:id="rId168" xr:uid="{00000000-0004-0000-0200-0000A7000000}"/>
    <hyperlink ref="O247" r:id="rId169" xr:uid="{00000000-0004-0000-0200-0000A8000000}"/>
    <hyperlink ref="O248" r:id="rId170" xr:uid="{00000000-0004-0000-0200-0000A9000000}"/>
    <hyperlink ref="O249" r:id="rId171" xr:uid="{00000000-0004-0000-0200-0000AA000000}"/>
    <hyperlink ref="O250" r:id="rId172" xr:uid="{00000000-0004-0000-0200-0000AB000000}"/>
    <hyperlink ref="O251" r:id="rId173" xr:uid="{00000000-0004-0000-0200-0000AC000000}"/>
    <hyperlink ref="O252" r:id="rId174" xr:uid="{00000000-0004-0000-0200-0000AD000000}"/>
    <hyperlink ref="O253" r:id="rId175" xr:uid="{00000000-0004-0000-0200-0000AE000000}"/>
    <hyperlink ref="O254" r:id="rId176" xr:uid="{00000000-0004-0000-0200-0000AF000000}"/>
    <hyperlink ref="O255" r:id="rId177" xr:uid="{00000000-0004-0000-0200-0000B0000000}"/>
    <hyperlink ref="O256" r:id="rId178" xr:uid="{00000000-0004-0000-0200-0000B1000000}"/>
    <hyperlink ref="O257" r:id="rId179" xr:uid="{00000000-0004-0000-0200-0000B2000000}"/>
    <hyperlink ref="O258" r:id="rId180" xr:uid="{00000000-0004-0000-0200-0000B3000000}"/>
    <hyperlink ref="O259" r:id="rId181" xr:uid="{00000000-0004-0000-0200-0000B4000000}"/>
    <hyperlink ref="O260" r:id="rId182" xr:uid="{00000000-0004-0000-0200-0000B5000000}"/>
    <hyperlink ref="O262" r:id="rId183" xr:uid="{00000000-0004-0000-0200-0000B6000000}"/>
    <hyperlink ref="O261" r:id="rId184" xr:uid="{00000000-0004-0000-0200-0000B7000000}"/>
    <hyperlink ref="O263" r:id="rId185" xr:uid="{00000000-0004-0000-0200-0000B8000000}"/>
    <hyperlink ref="O264" r:id="rId186" xr:uid="{00000000-0004-0000-0200-0000B9000000}"/>
    <hyperlink ref="O265" r:id="rId187" xr:uid="{00000000-0004-0000-0200-0000BA000000}"/>
    <hyperlink ref="O266" r:id="rId188" xr:uid="{00000000-0004-0000-0200-0000BB000000}"/>
    <hyperlink ref="O267" r:id="rId189" xr:uid="{00000000-0004-0000-0200-0000BC000000}"/>
    <hyperlink ref="O268" r:id="rId190" xr:uid="{00000000-0004-0000-0200-0000BD000000}"/>
    <hyperlink ref="O269" r:id="rId191" xr:uid="{00000000-0004-0000-0200-0000BE000000}"/>
    <hyperlink ref="O270" r:id="rId192" xr:uid="{00000000-0004-0000-0200-0000BF000000}"/>
    <hyperlink ref="O271" r:id="rId193" xr:uid="{00000000-0004-0000-0200-0000C0000000}"/>
    <hyperlink ref="O272" r:id="rId194" xr:uid="{00000000-0004-0000-0200-0000C1000000}"/>
    <hyperlink ref="O273" r:id="rId195" xr:uid="{00000000-0004-0000-0200-0000C2000000}"/>
    <hyperlink ref="O274" r:id="rId196" xr:uid="{00000000-0004-0000-0200-0000C3000000}"/>
    <hyperlink ref="O275" r:id="rId197" xr:uid="{00000000-0004-0000-0200-0000C4000000}"/>
    <hyperlink ref="O276" r:id="rId198" xr:uid="{00000000-0004-0000-0200-0000C5000000}"/>
    <hyperlink ref="O277" r:id="rId199" xr:uid="{00000000-0004-0000-0200-0000C6000000}"/>
    <hyperlink ref="O278" r:id="rId200" xr:uid="{00000000-0004-0000-0200-0000C7000000}"/>
    <hyperlink ref="O279" r:id="rId201" xr:uid="{00000000-0004-0000-0200-0000C8000000}"/>
    <hyperlink ref="O281" r:id="rId202" xr:uid="{00000000-0004-0000-0200-0000C9000000}"/>
    <hyperlink ref="O280" r:id="rId203" xr:uid="{00000000-0004-0000-0200-0000CA000000}"/>
    <hyperlink ref="O282" r:id="rId204" xr:uid="{00000000-0004-0000-0200-0000CB000000}"/>
    <hyperlink ref="O284" r:id="rId205" xr:uid="{00000000-0004-0000-0200-0000CC000000}"/>
    <hyperlink ref="O283" r:id="rId206" xr:uid="{00000000-0004-0000-0200-0000CD000000}"/>
    <hyperlink ref="O285" r:id="rId207" xr:uid="{00000000-0004-0000-0200-0000CE000000}"/>
    <hyperlink ref="O286" r:id="rId208" xr:uid="{00000000-0004-0000-0200-0000CF000000}"/>
    <hyperlink ref="O287" r:id="rId209" xr:uid="{00000000-0004-0000-0200-0000D0000000}"/>
    <hyperlink ref="O288" r:id="rId210" xr:uid="{00000000-0004-0000-0200-0000D1000000}"/>
    <hyperlink ref="O289" r:id="rId211" xr:uid="{00000000-0004-0000-0200-0000D2000000}"/>
    <hyperlink ref="O290" r:id="rId212" xr:uid="{00000000-0004-0000-0200-0000D3000000}"/>
    <hyperlink ref="O291" r:id="rId213" xr:uid="{00000000-0004-0000-0200-0000D4000000}"/>
    <hyperlink ref="O292" r:id="rId214" xr:uid="{00000000-0004-0000-0200-0000D5000000}"/>
    <hyperlink ref="O293" r:id="rId215" xr:uid="{00000000-0004-0000-0200-0000D6000000}"/>
    <hyperlink ref="O294" r:id="rId216" xr:uid="{00000000-0004-0000-0200-0000D7000000}"/>
    <hyperlink ref="O295" r:id="rId217" xr:uid="{00000000-0004-0000-0200-0000D8000000}"/>
    <hyperlink ref="O296" r:id="rId218" xr:uid="{00000000-0004-0000-0200-0000D9000000}"/>
    <hyperlink ref="O297" r:id="rId219" xr:uid="{00000000-0004-0000-0200-0000DA000000}"/>
    <hyperlink ref="O298" r:id="rId220" xr:uid="{00000000-0004-0000-0200-0000DB000000}"/>
    <hyperlink ref="O299" r:id="rId221" xr:uid="{00000000-0004-0000-0200-0000DC000000}"/>
    <hyperlink ref="O300" r:id="rId222" xr:uid="{00000000-0004-0000-0200-0000DD000000}"/>
    <hyperlink ref="O301" r:id="rId223" xr:uid="{00000000-0004-0000-0200-0000DE000000}"/>
    <hyperlink ref="O302" r:id="rId224" xr:uid="{00000000-0004-0000-0200-0000DF000000}"/>
    <hyperlink ref="O303" r:id="rId225" xr:uid="{00000000-0004-0000-0200-0000E0000000}"/>
    <hyperlink ref="O304" r:id="rId226" xr:uid="{00000000-0004-0000-0200-0000E1000000}"/>
    <hyperlink ref="O305" r:id="rId227" xr:uid="{00000000-0004-0000-0200-0000E2000000}"/>
    <hyperlink ref="O306" r:id="rId228" xr:uid="{00000000-0004-0000-0200-0000E3000000}"/>
    <hyperlink ref="O307" r:id="rId229" xr:uid="{00000000-0004-0000-0200-0000E4000000}"/>
    <hyperlink ref="O308" r:id="rId230" xr:uid="{00000000-0004-0000-0200-0000E5000000}"/>
    <hyperlink ref="O309" r:id="rId231" xr:uid="{00000000-0004-0000-0200-0000E6000000}"/>
    <hyperlink ref="O310" r:id="rId232" xr:uid="{00000000-0004-0000-0200-0000E7000000}"/>
    <hyperlink ref="O311" r:id="rId233" xr:uid="{00000000-0004-0000-0200-0000E8000000}"/>
    <hyperlink ref="O312" r:id="rId234" xr:uid="{00000000-0004-0000-0200-0000E9000000}"/>
    <hyperlink ref="O314" r:id="rId235" xr:uid="{00000000-0004-0000-0200-0000EA000000}"/>
    <hyperlink ref="O313" r:id="rId236" xr:uid="{00000000-0004-0000-0200-0000EB000000}"/>
    <hyperlink ref="O315" r:id="rId237" xr:uid="{00000000-0004-0000-0200-0000EC000000}"/>
    <hyperlink ref="O316" r:id="rId238" xr:uid="{00000000-0004-0000-0200-0000ED000000}"/>
    <hyperlink ref="O317" r:id="rId239" xr:uid="{00000000-0004-0000-0200-0000EE000000}"/>
    <hyperlink ref="O318" r:id="rId240" xr:uid="{00000000-0004-0000-0200-0000EF000000}"/>
    <hyperlink ref="O319" r:id="rId241" xr:uid="{00000000-0004-0000-0200-0000F0000000}"/>
    <hyperlink ref="O320" r:id="rId242" xr:uid="{00000000-0004-0000-0200-0000F1000000}"/>
    <hyperlink ref="O321" r:id="rId243" xr:uid="{00000000-0004-0000-0200-0000F2000000}"/>
    <hyperlink ref="O322" r:id="rId244" xr:uid="{00000000-0004-0000-0200-0000F3000000}"/>
    <hyperlink ref="O323" r:id="rId245" xr:uid="{00000000-0004-0000-0200-0000F4000000}"/>
    <hyperlink ref="O324" r:id="rId246" xr:uid="{00000000-0004-0000-0200-0000F5000000}"/>
    <hyperlink ref="O325" r:id="rId247" xr:uid="{00000000-0004-0000-0200-0000F6000000}"/>
    <hyperlink ref="O326" r:id="rId248" xr:uid="{00000000-0004-0000-0200-0000F7000000}"/>
    <hyperlink ref="O328" r:id="rId249" xr:uid="{00000000-0004-0000-0200-0000F8000000}"/>
    <hyperlink ref="O327" r:id="rId250" xr:uid="{00000000-0004-0000-0200-0000F9000000}"/>
    <hyperlink ref="O329" r:id="rId251" xr:uid="{00000000-0004-0000-0200-0000FA000000}"/>
    <hyperlink ref="O330" r:id="rId252" xr:uid="{00000000-0004-0000-0200-0000FB000000}"/>
    <hyperlink ref="O331" r:id="rId253" xr:uid="{00000000-0004-0000-0200-0000FC000000}"/>
    <hyperlink ref="O332" r:id="rId254" xr:uid="{00000000-0004-0000-0200-0000FD000000}"/>
    <hyperlink ref="O333" r:id="rId255" xr:uid="{00000000-0004-0000-0200-0000FE000000}"/>
    <hyperlink ref="O529" r:id="rId256" xr:uid="{00000000-0004-0000-0200-0000FF000000}"/>
    <hyperlink ref="O493" r:id="rId257" xr:uid="{00000000-0004-0000-0200-000000010000}"/>
    <hyperlink ref="O378" r:id="rId258" xr:uid="{00000000-0004-0000-0200-000001010000}"/>
    <hyperlink ref="O338" r:id="rId259" xr:uid="{00000000-0004-0000-0200-00000201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4"/>
  <sheetViews>
    <sheetView zoomScaleNormal="100" workbookViewId="0">
      <selection activeCell="I14" sqref="I14"/>
    </sheetView>
  </sheetViews>
  <sheetFormatPr defaultColWidth="8.85546875" defaultRowHeight="15"/>
  <cols>
    <col min="9" max="9" width="10.28515625" bestFit="1" customWidth="1"/>
    <col min="10" max="10" width="11.140625" bestFit="1" customWidth="1"/>
    <col min="11" max="12" width="11.140625" customWidth="1"/>
  </cols>
  <sheetData>
    <row r="1" spans="1:13">
      <c r="A1">
        <f>COUNTA(3:3)</f>
        <v>13</v>
      </c>
      <c r="B1" t="s">
        <v>73</v>
      </c>
      <c r="C1">
        <v>4</v>
      </c>
    </row>
    <row r="2" spans="1:13">
      <c r="A2" s="5" t="s">
        <v>0</v>
      </c>
      <c r="B2" s="5" t="s">
        <v>2580</v>
      </c>
      <c r="C2" s="5" t="s">
        <v>2</v>
      </c>
      <c r="D2" s="5" t="s">
        <v>3</v>
      </c>
      <c r="E2" s="6" t="s">
        <v>1582</v>
      </c>
      <c r="F2" s="6" t="s">
        <v>83</v>
      </c>
      <c r="G2" s="6" t="s">
        <v>612</v>
      </c>
      <c r="H2" s="5" t="s">
        <v>8</v>
      </c>
      <c r="I2" s="5" t="s">
        <v>611</v>
      </c>
      <c r="J2" s="5" t="s">
        <v>610</v>
      </c>
      <c r="K2" s="5" t="s">
        <v>615</v>
      </c>
      <c r="L2" s="5" t="s">
        <v>609</v>
      </c>
      <c r="M2" s="5" t="s">
        <v>71</v>
      </c>
    </row>
    <row r="3" spans="1:13">
      <c r="A3" s="7" t="str">
        <f>QuickGuitarRiffs!A3</f>
        <v>A</v>
      </c>
      <c r="B3" s="7" t="str">
        <f>QuickGuitarRiffs!B3</f>
        <v>B</v>
      </c>
      <c r="C3" s="7" t="str">
        <f>QuickGuitarRiffs!E3</f>
        <v>E</v>
      </c>
      <c r="D3" s="7" t="str">
        <f>QuickGuitarRiffs!F3</f>
        <v>F</v>
      </c>
      <c r="E3" s="7" t="str">
        <f>QuickGuitarRiffs!G3</f>
        <v>G</v>
      </c>
      <c r="F3" s="7" t="str">
        <f>QuickGuitarRiffs!C3</f>
        <v>C</v>
      </c>
      <c r="G3" s="7" t="str">
        <f>QuickGuitarRiffs!I3</f>
        <v>I</v>
      </c>
      <c r="H3" s="7" t="str">
        <f>QuickGuitarRiffs!J3</f>
        <v>J</v>
      </c>
      <c r="I3" s="7" t="str">
        <f>QuickGuitarRiffs!L3</f>
        <v>L</v>
      </c>
      <c r="J3" s="7" t="str">
        <f>QuickGuitarRiffs!M3</f>
        <v>M</v>
      </c>
      <c r="K3" s="7" t="str">
        <f>QuickGuitarRiffs!N3</f>
        <v>N</v>
      </c>
      <c r="L3" s="7" t="str">
        <f>QuickGuitarRiffs!O3</f>
        <v>O</v>
      </c>
      <c r="M3" s="7" t="str">
        <f>QuickGuitarRiffs!P3</f>
        <v>P</v>
      </c>
    </row>
    <row r="4" spans="1:13">
      <c r="A4" s="3">
        <f ca="1">COLUMN(INDIRECT(A3&amp;1))</f>
        <v>1</v>
      </c>
      <c r="B4" s="3">
        <f ca="1">COLUMN(INDIRECT(B3&amp;1))</f>
        <v>2</v>
      </c>
      <c r="C4" s="3">
        <f ca="1">COLUMN(INDIRECT(C3&amp;1))</f>
        <v>5</v>
      </c>
      <c r="D4" s="3">
        <f t="shared" ref="D4:M4" ca="1" si="0">COLUMN(INDIRECT(D3&amp;1))</f>
        <v>6</v>
      </c>
      <c r="E4" s="3">
        <f t="shared" ca="1" si="0"/>
        <v>7</v>
      </c>
      <c r="F4" s="3">
        <f t="shared" ref="F4" ca="1" si="1">COLUMN(INDIRECT(F3&amp;1))</f>
        <v>3</v>
      </c>
      <c r="G4" s="3">
        <f t="shared" ca="1" si="0"/>
        <v>9</v>
      </c>
      <c r="H4" s="3">
        <f t="shared" ca="1" si="0"/>
        <v>10</v>
      </c>
      <c r="I4" s="3">
        <f t="shared" ca="1" si="0"/>
        <v>12</v>
      </c>
      <c r="J4" s="3">
        <f t="shared" ca="1" si="0"/>
        <v>13</v>
      </c>
      <c r="K4" s="3">
        <f t="shared" ca="1" si="0"/>
        <v>14</v>
      </c>
      <c r="L4" s="3">
        <f t="shared" ca="1" si="0"/>
        <v>15</v>
      </c>
      <c r="M4" s="3">
        <f t="shared" ca="1" si="0"/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0B99D-89D5-45D5-A32F-54AF45B9785C}">
  <sheetPr codeName="Sheet4"/>
  <dimension ref="A1:I33"/>
  <sheetViews>
    <sheetView topLeftCell="A7" workbookViewId="0">
      <selection activeCell="A33" sqref="A33"/>
    </sheetView>
  </sheetViews>
  <sheetFormatPr defaultRowHeight="15"/>
  <cols>
    <col min="1" max="1" width="149.85546875" customWidth="1"/>
    <col min="2" max="2" width="9.5703125" customWidth="1"/>
    <col min="8" max="8" width="122" customWidth="1"/>
    <col min="9" max="9" width="26.5703125" customWidth="1"/>
  </cols>
  <sheetData>
    <row r="1" spans="1:9" ht="15.75">
      <c r="A1" s="92" t="s">
        <v>2597</v>
      </c>
      <c r="C1">
        <f t="shared" ref="C1:C24" si="0">FIND("“",A1)</f>
        <v>1</v>
      </c>
      <c r="D1">
        <f t="shared" ref="D1:D24" si="1">FIND("”",A1,2)</f>
        <v>58</v>
      </c>
      <c r="F1">
        <f>FIND("–", A1)</f>
        <v>60</v>
      </c>
      <c r="H1" t="str">
        <f t="shared" ref="H1:H33" si="2">MID(A1, C1+1, D1-2)</f>
        <v>Works of art make rules; rules do not make works of art.</v>
      </c>
      <c r="I1" t="str">
        <f t="shared" ref="I1:I33" si="3">RIGHT(A1, LEN(A1)-F1-1)</f>
        <v>Claude Debussy</v>
      </c>
    </row>
    <row r="2" spans="1:9" ht="15.75">
      <c r="A2" s="92" t="s">
        <v>2582</v>
      </c>
      <c r="C2">
        <f t="shared" si="0"/>
        <v>1</v>
      </c>
      <c r="D2">
        <f t="shared" si="1"/>
        <v>54</v>
      </c>
      <c r="F2">
        <f t="shared" ref="F2:F33" si="4">FIND("–", A2)</f>
        <v>56</v>
      </c>
      <c r="H2" t="str">
        <f t="shared" si="2"/>
        <v>Mournful and yet grand is the destiny of the artist.</v>
      </c>
      <c r="I2" t="str">
        <f t="shared" si="3"/>
        <v>Franz Liszt</v>
      </c>
    </row>
    <row r="3" spans="1:9" ht="15.75">
      <c r="A3" s="92" t="s">
        <v>2583</v>
      </c>
      <c r="C3">
        <f t="shared" si="0"/>
        <v>1</v>
      </c>
      <c r="D3">
        <f t="shared" si="1"/>
        <v>74</v>
      </c>
      <c r="F3">
        <f t="shared" si="4"/>
        <v>76</v>
      </c>
      <c r="H3" t="str">
        <f t="shared" si="2"/>
        <v>There was no one near to confuse me, so I was forced to become original.</v>
      </c>
      <c r="I3" t="str">
        <f t="shared" si="3"/>
        <v>Franz Joseph Haydn</v>
      </c>
    </row>
    <row r="4" spans="1:9" ht="15.75">
      <c r="A4" s="92" t="s">
        <v>2598</v>
      </c>
      <c r="C4">
        <f t="shared" si="0"/>
        <v>1</v>
      </c>
      <c r="D4">
        <f t="shared" si="1"/>
        <v>101</v>
      </c>
      <c r="F4">
        <f t="shared" si="4"/>
        <v>103</v>
      </c>
      <c r="H4" t="str">
        <f t="shared" si="2"/>
        <v>A creative artist works on his next composition because he was not satisfied with his previous one.</v>
      </c>
      <c r="I4" t="str">
        <f t="shared" si="3"/>
        <v>Dmitri Shostakovich</v>
      </c>
    </row>
    <row r="5" spans="1:9" ht="15.75">
      <c r="A5" s="92" t="s">
        <v>2599</v>
      </c>
      <c r="C5">
        <f t="shared" si="0"/>
        <v>1</v>
      </c>
      <c r="D5">
        <f t="shared" si="1"/>
        <v>92</v>
      </c>
      <c r="F5">
        <f t="shared" si="4"/>
        <v>94</v>
      </c>
      <c r="H5" t="str">
        <f t="shared" si="2"/>
        <v>I can't understand why people are frightened of new ideas. I'm frightened of the old ones.</v>
      </c>
      <c r="I5" t="str">
        <f t="shared" si="3"/>
        <v>John Cage</v>
      </c>
    </row>
    <row r="6" spans="1:9" ht="15.75">
      <c r="A6" s="92" t="s">
        <v>2584</v>
      </c>
      <c r="C6">
        <f t="shared" si="0"/>
        <v>1</v>
      </c>
      <c r="D6">
        <f t="shared" si="1"/>
        <v>73</v>
      </c>
      <c r="F6">
        <f t="shared" si="4"/>
        <v>75</v>
      </c>
      <c r="H6" t="str">
        <f t="shared" si="2"/>
        <v>I would rather write 10,000 notes than a single letter of the alphabet.</v>
      </c>
      <c r="I6" t="str">
        <f t="shared" si="3"/>
        <v>Ludwig van Beethoven</v>
      </c>
    </row>
    <row r="7" spans="1:9" ht="15.75">
      <c r="A7" s="92" t="s">
        <v>2585</v>
      </c>
      <c r="C7">
        <f t="shared" si="0"/>
        <v>1</v>
      </c>
      <c r="D7">
        <f t="shared" si="1"/>
        <v>60</v>
      </c>
      <c r="F7">
        <f t="shared" si="4"/>
        <v>62</v>
      </c>
      <c r="H7" t="str">
        <f t="shared" si="2"/>
        <v>The music is not in the notes, but in the silence between.</v>
      </c>
      <c r="I7" t="str">
        <f t="shared" si="3"/>
        <v>Wolfgang Amadeus Mozart</v>
      </c>
    </row>
    <row r="8" spans="1:9" ht="15.75">
      <c r="A8" s="92" t="s">
        <v>2600</v>
      </c>
      <c r="C8">
        <f t="shared" si="0"/>
        <v>1</v>
      </c>
      <c r="D8">
        <f t="shared" si="1"/>
        <v>30</v>
      </c>
      <c r="F8">
        <f t="shared" si="4"/>
        <v>32</v>
      </c>
      <c r="H8" t="str">
        <f t="shared" si="2"/>
        <v>Imagination creates reality.</v>
      </c>
      <c r="I8" t="str">
        <f t="shared" si="3"/>
        <v>Richard Wagner</v>
      </c>
    </row>
    <row r="9" spans="1:9" ht="15.75">
      <c r="A9" s="92" t="s">
        <v>2586</v>
      </c>
      <c r="C9">
        <f t="shared" si="0"/>
        <v>1</v>
      </c>
      <c r="D9">
        <f t="shared" si="1"/>
        <v>63</v>
      </c>
      <c r="F9">
        <f t="shared" si="4"/>
        <v>65</v>
      </c>
      <c r="H9" t="str">
        <f t="shared" si="2"/>
        <v>Musicians want to be the loud voice for so many quiet hearts.</v>
      </c>
      <c r="I9" t="str">
        <f t="shared" si="3"/>
        <v>Billy Joel</v>
      </c>
    </row>
    <row r="10" spans="1:9" ht="15.75">
      <c r="A10" s="92" t="s">
        <v>2587</v>
      </c>
      <c r="C10">
        <f t="shared" si="0"/>
        <v>1</v>
      </c>
      <c r="D10">
        <f t="shared" si="1"/>
        <v>61</v>
      </c>
      <c r="F10">
        <f t="shared" si="4"/>
        <v>63</v>
      </c>
      <c r="H10" t="str">
        <f t="shared" si="2"/>
        <v>The wise musicians are those who play what they can master.</v>
      </c>
      <c r="I10" t="str">
        <f t="shared" si="3"/>
        <v>Duke Ellington</v>
      </c>
    </row>
    <row r="11" spans="1:9" ht="15.75">
      <c r="A11" s="92" t="s">
        <v>2601</v>
      </c>
      <c r="C11">
        <f t="shared" si="0"/>
        <v>1</v>
      </c>
      <c r="D11">
        <f t="shared" si="1"/>
        <v>139</v>
      </c>
      <c r="F11">
        <f t="shared" si="4"/>
        <v>141</v>
      </c>
      <c r="H11" t="str">
        <f t="shared" si="2"/>
        <v>Be your own artist, and always be confident in what you're doing. If you're not going to be confident, you might as well not be doing it.</v>
      </c>
      <c r="I11" t="str">
        <f t="shared" si="3"/>
        <v>Aretha Franklin</v>
      </c>
    </row>
    <row r="12" spans="1:9" ht="15.75">
      <c r="A12" s="92" t="s">
        <v>2602</v>
      </c>
      <c r="C12">
        <f t="shared" si="0"/>
        <v>1</v>
      </c>
      <c r="D12">
        <f t="shared" si="1"/>
        <v>127</v>
      </c>
      <c r="F12">
        <f t="shared" si="4"/>
        <v>129</v>
      </c>
      <c r="H12" t="str">
        <f t="shared" si="2"/>
        <v>A musician should only sound like what they do, and no two musicians sound the same. It's an individual-feel thing, you know?</v>
      </c>
      <c r="I12" t="str">
        <f t="shared" si="3"/>
        <v>Dave Grohl</v>
      </c>
    </row>
    <row r="13" spans="1:9" ht="15.75">
      <c r="A13" s="92" t="s">
        <v>2603</v>
      </c>
      <c r="C13">
        <f t="shared" si="0"/>
        <v>1</v>
      </c>
      <c r="D13">
        <f t="shared" si="1"/>
        <v>71</v>
      </c>
      <c r="F13">
        <f t="shared" si="4"/>
        <v>73</v>
      </c>
      <c r="H13" t="str">
        <f t="shared" si="2"/>
        <v>Musicians don't retire; they stop when there's no more music in them.</v>
      </c>
      <c r="I13" t="str">
        <f t="shared" si="3"/>
        <v>Louis Armstrong</v>
      </c>
    </row>
    <row r="14" spans="1:9" ht="15.75">
      <c r="A14" s="92" t="s">
        <v>2604</v>
      </c>
      <c r="C14">
        <f t="shared" si="0"/>
        <v>1</v>
      </c>
      <c r="D14">
        <f t="shared" si="1"/>
        <v>76</v>
      </c>
      <c r="F14">
        <f t="shared" si="4"/>
        <v>78</v>
      </c>
      <c r="H14" t="str">
        <f t="shared" si="2"/>
        <v>If everything was perfect, you would never learn and you would never grow.</v>
      </c>
      <c r="I14" t="str">
        <f t="shared" si="3"/>
        <v>Beyonce</v>
      </c>
    </row>
    <row r="15" spans="1:9" ht="15.75">
      <c r="A15" s="92" t="s">
        <v>2588</v>
      </c>
      <c r="C15">
        <f t="shared" si="0"/>
        <v>1</v>
      </c>
      <c r="D15">
        <f t="shared" si="1"/>
        <v>69</v>
      </c>
      <c r="F15">
        <f t="shared" si="4"/>
        <v>71</v>
      </c>
      <c r="H15" t="str">
        <f t="shared" si="2"/>
        <v>Despite everything, no one can dictate who you are to other people.</v>
      </c>
      <c r="I15" t="str">
        <f t="shared" si="3"/>
        <v>Prince</v>
      </c>
    </row>
    <row r="16" spans="1:9" ht="15.75">
      <c r="A16" s="92" t="s">
        <v>2589</v>
      </c>
      <c r="C16">
        <f t="shared" si="0"/>
        <v>1</v>
      </c>
      <c r="D16">
        <f t="shared" si="1"/>
        <v>105</v>
      </c>
      <c r="F16">
        <f t="shared" si="4"/>
        <v>107</v>
      </c>
      <c r="H16" t="str">
        <f t="shared" si="2"/>
        <v>I believe musicians have a duty, a responsibility to reach out, to share your love or pain with others.</v>
      </c>
      <c r="I16" t="str">
        <f t="shared" si="3"/>
        <v>James Taylor</v>
      </c>
    </row>
    <row r="17" spans="1:9" ht="15.75">
      <c r="A17" s="92" t="s">
        <v>2605</v>
      </c>
      <c r="C17">
        <f t="shared" si="0"/>
        <v>1</v>
      </c>
      <c r="D17">
        <f t="shared" si="1"/>
        <v>119</v>
      </c>
      <c r="F17">
        <f t="shared" si="4"/>
        <v>121</v>
      </c>
      <c r="H17" t="str">
        <f t="shared" si="2"/>
        <v>The true beauty of music is that it connects people. It carries a message, and we, the musicians, are the messengers.</v>
      </c>
      <c r="I17" t="str">
        <f t="shared" si="3"/>
        <v>Roy Ayers</v>
      </c>
    </row>
    <row r="18" spans="1:9" ht="15.75">
      <c r="A18" s="92" t="s">
        <v>2606</v>
      </c>
      <c r="C18">
        <f t="shared" si="0"/>
        <v>1</v>
      </c>
      <c r="D18">
        <f t="shared" si="1"/>
        <v>86</v>
      </c>
      <c r="F18">
        <f t="shared" si="4"/>
        <v>88</v>
      </c>
      <c r="H18" t="str">
        <f t="shared" si="2"/>
        <v>We're musicians. We make music for a living. It's that simple. Nothing else matters.</v>
      </c>
      <c r="I18" t="str">
        <f t="shared" si="3"/>
        <v>Eddie Van Halen</v>
      </c>
    </row>
    <row r="19" spans="1:9" ht="15.75">
      <c r="A19" s="92" t="s">
        <v>2590</v>
      </c>
      <c r="C19">
        <f t="shared" si="0"/>
        <v>1</v>
      </c>
      <c r="D19">
        <f t="shared" si="1"/>
        <v>82</v>
      </c>
      <c r="F19">
        <f t="shared" si="4"/>
        <v>84</v>
      </c>
      <c r="H19" t="str">
        <f t="shared" si="2"/>
        <v>The goal is to try and make the perfect song. Which of course will never happen.</v>
      </c>
      <c r="I19" t="str">
        <f t="shared" si="3"/>
        <v>Chris Martin</v>
      </c>
    </row>
    <row r="20" spans="1:9" ht="15.75">
      <c r="A20" s="92" t="s">
        <v>2607</v>
      </c>
      <c r="C20">
        <f t="shared" si="0"/>
        <v>1</v>
      </c>
      <c r="D20">
        <f t="shared" si="1"/>
        <v>57</v>
      </c>
      <c r="F20">
        <f t="shared" si="4"/>
        <v>59</v>
      </c>
      <c r="H20" t="str">
        <f t="shared" si="2"/>
        <v>You can't knock on opportunity's door and not be ready.</v>
      </c>
      <c r="I20" t="str">
        <f t="shared" si="3"/>
        <v>Bruno Mars</v>
      </c>
    </row>
    <row r="21" spans="1:9" ht="15.75">
      <c r="A21" s="92" t="s">
        <v>2608</v>
      </c>
      <c r="C21">
        <f t="shared" si="0"/>
        <v>1</v>
      </c>
      <c r="D21">
        <f t="shared" si="1"/>
        <v>103</v>
      </c>
      <c r="F21">
        <f t="shared" si="4"/>
        <v>105</v>
      </c>
      <c r="H21" t="str">
        <f t="shared" si="2"/>
        <v>I'm trying to keep a level head. You have to be careful out in the world. It's so easy to get turned.</v>
      </c>
      <c r="I21" t="str">
        <f t="shared" si="3"/>
        <v>Elvis Presley</v>
      </c>
    </row>
    <row r="22" spans="1:9" ht="15.75">
      <c r="A22" s="92" t="s">
        <v>2610</v>
      </c>
      <c r="C22">
        <f t="shared" si="0"/>
        <v>1</v>
      </c>
      <c r="D22">
        <f t="shared" si="1"/>
        <v>110</v>
      </c>
      <c r="F22">
        <f t="shared" si="4"/>
        <v>112</v>
      </c>
      <c r="H22" t="str">
        <f t="shared" si="2"/>
        <v>I decided long ago never to walk in anyone's shadow; if I fail, or if I succeed at least I did as I believe.</v>
      </c>
      <c r="I22" t="str">
        <f t="shared" si="3"/>
        <v>Whitney Houston</v>
      </c>
    </row>
    <row r="23" spans="1:9" ht="15.75">
      <c r="A23" s="92" t="s">
        <v>2611</v>
      </c>
      <c r="C23">
        <f t="shared" si="0"/>
        <v>1</v>
      </c>
      <c r="D23">
        <f t="shared" si="1"/>
        <v>87</v>
      </c>
      <c r="F23">
        <f t="shared" si="4"/>
        <v>89</v>
      </c>
      <c r="H23" t="str">
        <f t="shared" si="2"/>
        <v>One thing I've learned is that I'm not the owner of my talent; I'm the manager of it.</v>
      </c>
      <c r="I23" t="str">
        <f t="shared" si="3"/>
        <v>Madonna</v>
      </c>
    </row>
    <row r="24" spans="1:9" ht="15.75">
      <c r="A24" s="92" t="s">
        <v>2609</v>
      </c>
      <c r="C24">
        <f t="shared" si="0"/>
        <v>1</v>
      </c>
      <c r="D24">
        <f t="shared" si="1"/>
        <v>129</v>
      </c>
      <c r="F24">
        <f t="shared" si="4"/>
        <v>131</v>
      </c>
      <c r="H24" t="str">
        <f t="shared" si="2"/>
        <v>What's money? A man is a success if he gets up in the morning and goes to bed at night and in between does what he wants to do.</v>
      </c>
      <c r="I24" t="str">
        <f t="shared" si="3"/>
        <v>Bob Dylan</v>
      </c>
    </row>
    <row r="25" spans="1:9" ht="15.75">
      <c r="A25" s="92" t="s">
        <v>2591</v>
      </c>
      <c r="C25">
        <f t="shared" ref="C25:C33" si="5">FIND("“",A25)</f>
        <v>1</v>
      </c>
      <c r="D25">
        <f t="shared" ref="D25:D33" si="6">FIND("”",A25,2)</f>
        <v>41</v>
      </c>
      <c r="F25">
        <f t="shared" si="4"/>
        <v>43</v>
      </c>
      <c r="H25" t="str">
        <f t="shared" si="2"/>
        <v>Time you enjoy wasting, was not wasted.</v>
      </c>
      <c r="I25" t="str">
        <f t="shared" si="3"/>
        <v>John Lennon</v>
      </c>
    </row>
    <row r="26" spans="1:9" ht="15.75">
      <c r="A26" s="93" t="s">
        <v>2592</v>
      </c>
      <c r="C26">
        <f t="shared" si="5"/>
        <v>1</v>
      </c>
      <c r="D26">
        <f t="shared" si="6"/>
        <v>63</v>
      </c>
      <c r="F26">
        <f t="shared" si="4"/>
        <v>65</v>
      </c>
      <c r="H26" t="str">
        <f t="shared" si="2"/>
        <v>Do it again on the next verse, and people think you meant it.</v>
      </c>
      <c r="I26" t="str">
        <f t="shared" si="3"/>
        <v>Chet Atkins</v>
      </c>
    </row>
    <row r="27" spans="1:9" ht="15.75">
      <c r="A27" s="94" t="s">
        <v>2612</v>
      </c>
      <c r="C27">
        <f t="shared" si="5"/>
        <v>1</v>
      </c>
      <c r="D27">
        <f t="shared" si="6"/>
        <v>54</v>
      </c>
      <c r="F27">
        <f t="shared" si="4"/>
        <v>56</v>
      </c>
      <c r="H27" t="str">
        <f t="shared" si="2"/>
        <v>Life is what happens when you're making other plans.</v>
      </c>
      <c r="I27" t="str">
        <f t="shared" si="3"/>
        <v>John Lennon</v>
      </c>
    </row>
    <row r="28" spans="1:9" ht="15.75">
      <c r="A28" s="94" t="s">
        <v>2593</v>
      </c>
      <c r="C28">
        <f t="shared" si="5"/>
        <v>1</v>
      </c>
      <c r="D28">
        <f t="shared" si="6"/>
        <v>78</v>
      </c>
      <c r="F28">
        <f t="shared" si="4"/>
        <v>80</v>
      </c>
      <c r="H28" t="str">
        <f t="shared" si="2"/>
        <v>The beautiful thing about learning is that nobody can take it away from you.</v>
      </c>
      <c r="I28" t="str">
        <f t="shared" si="3"/>
        <v>BB King</v>
      </c>
    </row>
    <row r="29" spans="1:9" ht="15.75">
      <c r="A29" s="94" t="s">
        <v>2613</v>
      </c>
      <c r="C29">
        <f t="shared" si="5"/>
        <v>1</v>
      </c>
      <c r="D29">
        <f t="shared" si="6"/>
        <v>74</v>
      </c>
      <c r="F29">
        <f t="shared" si="4"/>
        <v>77</v>
      </c>
      <c r="H29" t="str">
        <f t="shared" si="2"/>
        <v>You can't give up something you really believe in for financial reasons.</v>
      </c>
      <c r="I29" t="str">
        <f t="shared" si="3"/>
        <v>Robert Plant</v>
      </c>
    </row>
    <row r="30" spans="1:9" ht="15.75">
      <c r="A30" s="94" t="s">
        <v>2594</v>
      </c>
      <c r="C30">
        <f t="shared" si="5"/>
        <v>1</v>
      </c>
      <c r="D30">
        <f t="shared" si="6"/>
        <v>84</v>
      </c>
      <c r="F30">
        <f t="shared" si="4"/>
        <v>86</v>
      </c>
      <c r="H30" t="str">
        <f t="shared" si="2"/>
        <v>To achieve great things, two things are needed; a plan, and not quite enough time.</v>
      </c>
      <c r="I30" t="str">
        <f t="shared" si="3"/>
        <v>Leonard Bernstein</v>
      </c>
    </row>
    <row r="31" spans="1:9" ht="15.75">
      <c r="A31" s="94" t="s">
        <v>2595</v>
      </c>
      <c r="C31">
        <f t="shared" si="5"/>
        <v>1</v>
      </c>
      <c r="D31">
        <f t="shared" si="6"/>
        <v>69</v>
      </c>
      <c r="F31">
        <f t="shared" si="4"/>
        <v>72</v>
      </c>
      <c r="H31" t="str">
        <f t="shared" si="2"/>
        <v>Despite everything, no one can dictate who you are to other people.</v>
      </c>
      <c r="I31" t="str">
        <f t="shared" si="3"/>
        <v>Prince</v>
      </c>
    </row>
    <row r="32" spans="1:9" ht="15.75">
      <c r="A32" s="94" t="s">
        <v>2596</v>
      </c>
      <c r="C32">
        <f t="shared" si="5"/>
        <v>1</v>
      </c>
      <c r="D32">
        <f t="shared" si="6"/>
        <v>62</v>
      </c>
      <c r="F32">
        <f t="shared" si="4"/>
        <v>64</v>
      </c>
      <c r="H32" t="str">
        <f t="shared" si="2"/>
        <v>Wanting to be someone else is a waste of the person you are.</v>
      </c>
      <c r="I32" t="str">
        <f t="shared" si="3"/>
        <v>Kurt Cobain</v>
      </c>
    </row>
    <row r="33" spans="1:9" ht="15.75">
      <c r="A33" s="94" t="s">
        <v>2614</v>
      </c>
      <c r="C33">
        <f t="shared" si="5"/>
        <v>1</v>
      </c>
      <c r="D33">
        <f t="shared" si="6"/>
        <v>87</v>
      </c>
      <c r="F33">
        <f t="shared" si="4"/>
        <v>89</v>
      </c>
      <c r="H33" t="str">
        <f t="shared" si="2"/>
        <v>Until you're ready to look foolish, you'll never have the possibility of being great.</v>
      </c>
      <c r="I33" t="str">
        <f t="shared" si="3"/>
        <v>Cher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Helper</vt:lpstr>
      <vt:lpstr>Spread</vt:lpstr>
      <vt:lpstr>QuickGuitarRiffs</vt:lpstr>
      <vt:lpstr>T_DATABASE</vt:lpstr>
      <vt:lpstr>Quotes</vt:lpstr>
      <vt:lpstr>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</dc:creator>
  <cp:lastModifiedBy>SolidRocker</cp:lastModifiedBy>
  <dcterms:created xsi:type="dcterms:W3CDTF">2018-07-09T16:39:25Z</dcterms:created>
  <dcterms:modified xsi:type="dcterms:W3CDTF">2020-07-19T15:50:09Z</dcterms:modified>
</cp:coreProperties>
</file>