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lid\Desktop\"/>
    </mc:Choice>
  </mc:AlternateContent>
  <bookViews>
    <workbookView xWindow="33600" yWindow="463" windowWidth="28800" windowHeight="17537"/>
  </bookViews>
  <sheets>
    <sheet name="Helper" sheetId="2" r:id="rId1"/>
    <sheet name="Spread" sheetId="9" r:id="rId2"/>
    <sheet name="WIP" sheetId="7" r:id="rId3"/>
    <sheet name="QuickGuitarRiffs" sheetId="1" r:id="rId4"/>
    <sheet name="T_DATABASE" sheetId="3" r:id="rId5"/>
  </sheets>
  <externalReferences>
    <externalReference r:id="rId6"/>
  </externalReferences>
  <definedNames>
    <definedName name="_xlnm._FilterDatabase" localSheetId="2" hidden="1">WIP!$A$2:$O$233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D6" i="9"/>
  <c r="H6" i="9"/>
  <c r="O6" i="9"/>
  <c r="R6" i="9"/>
  <c r="D7" i="9"/>
  <c r="H7" i="9"/>
  <c r="O7" i="9"/>
  <c r="R7" i="9"/>
  <c r="D8" i="9"/>
  <c r="H8" i="9"/>
  <c r="O8" i="9"/>
  <c r="R8" i="9"/>
  <c r="D9" i="9"/>
  <c r="H9" i="9"/>
  <c r="O9" i="9"/>
  <c r="R9" i="9"/>
  <c r="D10" i="9"/>
  <c r="H10" i="9"/>
  <c r="O10" i="9"/>
  <c r="R10" i="9"/>
  <c r="D11" i="9"/>
  <c r="H11" i="9"/>
  <c r="O11" i="9"/>
  <c r="R11" i="9"/>
  <c r="D12" i="9"/>
  <c r="H12" i="9"/>
  <c r="O12" i="9"/>
  <c r="R12" i="9"/>
  <c r="D13" i="9"/>
  <c r="H13" i="9"/>
  <c r="O13" i="9"/>
  <c r="R13" i="9"/>
  <c r="D14" i="9"/>
  <c r="H14" i="9"/>
  <c r="O14" i="9"/>
  <c r="R14" i="9"/>
  <c r="D15" i="9"/>
  <c r="H15" i="9"/>
  <c r="O15" i="9"/>
  <c r="R15" i="9"/>
  <c r="D16" i="9"/>
  <c r="H16" i="9"/>
  <c r="O16" i="9"/>
  <c r="R16" i="9"/>
  <c r="D17" i="9"/>
  <c r="H17" i="9"/>
  <c r="O17" i="9"/>
  <c r="R17" i="9"/>
  <c r="D18" i="9"/>
  <c r="H18" i="9"/>
  <c r="O18" i="9"/>
  <c r="R18" i="9"/>
  <c r="D19" i="9"/>
  <c r="H19" i="9"/>
  <c r="O19" i="9"/>
  <c r="R19" i="9"/>
  <c r="D20" i="9"/>
  <c r="H20" i="9"/>
  <c r="O20" i="9"/>
  <c r="R20" i="9"/>
  <c r="D21" i="9"/>
  <c r="H21" i="9"/>
  <c r="O21" i="9"/>
  <c r="R21" i="9"/>
  <c r="D22" i="9"/>
  <c r="H22" i="9"/>
  <c r="O22" i="9"/>
  <c r="R22" i="9"/>
  <c r="D23" i="9"/>
  <c r="H23" i="9"/>
  <c r="O23" i="9"/>
  <c r="R23" i="9"/>
  <c r="D24" i="9"/>
  <c r="H24" i="9"/>
  <c r="O24" i="9"/>
  <c r="R24" i="9"/>
  <c r="D25" i="9"/>
  <c r="H25" i="9"/>
  <c r="O25" i="9"/>
  <c r="R25" i="9"/>
  <c r="D26" i="9"/>
  <c r="H26" i="9"/>
  <c r="O26" i="9"/>
  <c r="R26" i="9"/>
  <c r="D27" i="9"/>
  <c r="H27" i="9"/>
  <c r="O27" i="9"/>
  <c r="R27" i="9"/>
  <c r="D28" i="9"/>
  <c r="H28" i="9"/>
  <c r="O28" i="9"/>
  <c r="R28" i="9"/>
  <c r="D5" i="9"/>
  <c r="H5" i="9"/>
  <c r="O5" i="9"/>
  <c r="R5" i="9"/>
  <c r="C6" i="9"/>
  <c r="G6" i="9"/>
  <c r="N6" i="9"/>
  <c r="Q6" i="9"/>
  <c r="C7" i="9"/>
  <c r="G7" i="9"/>
  <c r="N7" i="9"/>
  <c r="Q7" i="9"/>
  <c r="C8" i="9"/>
  <c r="G8" i="9"/>
  <c r="N8" i="9"/>
  <c r="Q8" i="9"/>
  <c r="C9" i="9"/>
  <c r="G9" i="9"/>
  <c r="N9" i="9"/>
  <c r="Q9" i="9"/>
  <c r="C10" i="9"/>
  <c r="G10" i="9"/>
  <c r="N10" i="9"/>
  <c r="Q10" i="9"/>
  <c r="C11" i="9"/>
  <c r="G11" i="9"/>
  <c r="N11" i="9"/>
  <c r="Q11" i="9"/>
  <c r="C12" i="9"/>
  <c r="G12" i="9"/>
  <c r="N12" i="9"/>
  <c r="Q12" i="9"/>
  <c r="C13" i="9"/>
  <c r="G13" i="9"/>
  <c r="N13" i="9"/>
  <c r="Q13" i="9"/>
  <c r="C14" i="9"/>
  <c r="G14" i="9"/>
  <c r="N14" i="9"/>
  <c r="Q14" i="9"/>
  <c r="C15" i="9"/>
  <c r="G15" i="9"/>
  <c r="N15" i="9"/>
  <c r="Q15" i="9"/>
  <c r="C16" i="9"/>
  <c r="G16" i="9"/>
  <c r="N16" i="9"/>
  <c r="Q16" i="9"/>
  <c r="C17" i="9"/>
  <c r="G17" i="9"/>
  <c r="N17" i="9"/>
  <c r="Q17" i="9"/>
  <c r="C18" i="9"/>
  <c r="G18" i="9"/>
  <c r="N18" i="9"/>
  <c r="Q18" i="9"/>
  <c r="C19" i="9"/>
  <c r="G19" i="9"/>
  <c r="N19" i="9"/>
  <c r="Q19" i="9"/>
  <c r="C20" i="9"/>
  <c r="G20" i="9"/>
  <c r="N20" i="9"/>
  <c r="Q20" i="9"/>
  <c r="C21" i="9"/>
  <c r="G21" i="9"/>
  <c r="N21" i="9"/>
  <c r="Q21" i="9"/>
  <c r="C22" i="9"/>
  <c r="G22" i="9"/>
  <c r="N22" i="9"/>
  <c r="Q22" i="9"/>
  <c r="C23" i="9"/>
  <c r="G23" i="9"/>
  <c r="N23" i="9"/>
  <c r="Q23" i="9"/>
  <c r="C24" i="9"/>
  <c r="G24" i="9"/>
  <c r="N24" i="9"/>
  <c r="Q24" i="9"/>
  <c r="C25" i="9"/>
  <c r="G25" i="9"/>
  <c r="N25" i="9"/>
  <c r="Q25" i="9"/>
  <c r="C26" i="9"/>
  <c r="G26" i="9"/>
  <c r="N26" i="9"/>
  <c r="Q26" i="9"/>
  <c r="C27" i="9"/>
  <c r="G27" i="9"/>
  <c r="N27" i="9"/>
  <c r="Q27" i="9"/>
  <c r="C28" i="9"/>
  <c r="G28" i="9"/>
  <c r="N28" i="9"/>
  <c r="Q28" i="9"/>
  <c r="C5" i="9"/>
  <c r="G5" i="9"/>
  <c r="N5" i="9"/>
  <c r="Q5" i="9"/>
  <c r="B6" i="9"/>
  <c r="F6" i="9"/>
  <c r="M6" i="9"/>
  <c r="P6" i="9"/>
  <c r="B7" i="9"/>
  <c r="F7" i="9"/>
  <c r="M7" i="9"/>
  <c r="P7" i="9"/>
  <c r="B8" i="9"/>
  <c r="F8" i="9"/>
  <c r="M8" i="9"/>
  <c r="P8" i="9"/>
  <c r="B9" i="9"/>
  <c r="F9" i="9"/>
  <c r="M9" i="9"/>
  <c r="P9" i="9"/>
  <c r="B10" i="9"/>
  <c r="F10" i="9"/>
  <c r="M10" i="9"/>
  <c r="P10" i="9"/>
  <c r="B11" i="9"/>
  <c r="F11" i="9"/>
  <c r="M11" i="9"/>
  <c r="P11" i="9"/>
  <c r="B12" i="9"/>
  <c r="F12" i="9"/>
  <c r="M12" i="9"/>
  <c r="P12" i="9"/>
  <c r="B13" i="9"/>
  <c r="F13" i="9"/>
  <c r="M13" i="9"/>
  <c r="P13" i="9"/>
  <c r="B14" i="9"/>
  <c r="F14" i="9"/>
  <c r="M14" i="9"/>
  <c r="P14" i="9"/>
  <c r="B15" i="9"/>
  <c r="F15" i="9"/>
  <c r="M15" i="9"/>
  <c r="P15" i="9"/>
  <c r="B16" i="9"/>
  <c r="F16" i="9"/>
  <c r="M16" i="9"/>
  <c r="P16" i="9"/>
  <c r="B17" i="9"/>
  <c r="F17" i="9"/>
  <c r="M17" i="9"/>
  <c r="P17" i="9"/>
  <c r="B18" i="9"/>
  <c r="F18" i="9"/>
  <c r="M18" i="9"/>
  <c r="P18" i="9"/>
  <c r="B19" i="9"/>
  <c r="F19" i="9"/>
  <c r="M19" i="9"/>
  <c r="P19" i="9"/>
  <c r="B20" i="9"/>
  <c r="F20" i="9"/>
  <c r="M20" i="9"/>
  <c r="P20" i="9"/>
  <c r="B21" i="9"/>
  <c r="F21" i="9"/>
  <c r="M21" i="9"/>
  <c r="P21" i="9"/>
  <c r="B22" i="9"/>
  <c r="F22" i="9"/>
  <c r="M22" i="9"/>
  <c r="P22" i="9"/>
  <c r="B23" i="9"/>
  <c r="F23" i="9"/>
  <c r="M23" i="9"/>
  <c r="P23" i="9"/>
  <c r="B24" i="9"/>
  <c r="F24" i="9"/>
  <c r="M24" i="9"/>
  <c r="P24" i="9"/>
  <c r="B25" i="9"/>
  <c r="F25" i="9"/>
  <c r="M25" i="9"/>
  <c r="P25" i="9"/>
  <c r="B26" i="9"/>
  <c r="F26" i="9"/>
  <c r="M26" i="9"/>
  <c r="P26" i="9"/>
  <c r="B27" i="9"/>
  <c r="F27" i="9"/>
  <c r="M27" i="9"/>
  <c r="P27" i="9"/>
  <c r="B28" i="9"/>
  <c r="F28" i="9"/>
  <c r="M28" i="9"/>
  <c r="P28" i="9"/>
  <c r="B5" i="9"/>
  <c r="F5" i="9"/>
  <c r="M5" i="9"/>
  <c r="P5" i="9"/>
  <c r="I6" i="9"/>
  <c r="E6" i="9"/>
  <c r="L6" i="9"/>
  <c r="I7" i="9"/>
  <c r="E7" i="9"/>
  <c r="L7" i="9"/>
  <c r="I8" i="9"/>
  <c r="E8" i="9"/>
  <c r="L8" i="9"/>
  <c r="I9" i="9"/>
  <c r="E9" i="9"/>
  <c r="L9" i="9"/>
  <c r="I10" i="9"/>
  <c r="L10" i="9"/>
  <c r="I11" i="9"/>
  <c r="E11" i="9"/>
  <c r="L11" i="9"/>
  <c r="I12" i="9"/>
  <c r="E12" i="9"/>
  <c r="L12" i="9"/>
  <c r="I13" i="9"/>
  <c r="E13" i="9"/>
  <c r="L13" i="9"/>
  <c r="I14" i="9"/>
  <c r="E14" i="9"/>
  <c r="L14" i="9"/>
  <c r="I15" i="9"/>
  <c r="E15" i="9"/>
  <c r="L15" i="9"/>
  <c r="I16" i="9"/>
  <c r="E16" i="9"/>
  <c r="L16" i="9"/>
  <c r="I17" i="9"/>
  <c r="E17" i="9"/>
  <c r="L17" i="9"/>
  <c r="I18" i="9"/>
  <c r="E18" i="9"/>
  <c r="L18" i="9"/>
  <c r="I19" i="9"/>
  <c r="E19" i="9"/>
  <c r="L19" i="9"/>
  <c r="I20" i="9"/>
  <c r="E20" i="9"/>
  <c r="L20" i="9"/>
  <c r="I21" i="9"/>
  <c r="E21" i="9"/>
  <c r="L21" i="9"/>
  <c r="I22" i="9"/>
  <c r="E22" i="9"/>
  <c r="L22" i="9"/>
  <c r="I23" i="9"/>
  <c r="E23" i="9"/>
  <c r="L23" i="9"/>
  <c r="I24" i="9"/>
  <c r="E24" i="9"/>
  <c r="L24" i="9"/>
  <c r="I25" i="9"/>
  <c r="E25" i="9"/>
  <c r="L25" i="9"/>
  <c r="I26" i="9"/>
  <c r="E26" i="9"/>
  <c r="L26" i="9"/>
  <c r="I27" i="9"/>
  <c r="E27" i="9"/>
  <c r="L27" i="9"/>
  <c r="I28" i="9"/>
  <c r="E28" i="9"/>
  <c r="L28" i="9"/>
  <c r="I5" i="9"/>
  <c r="E5" i="9"/>
  <c r="L5" i="9"/>
  <c r="J6" i="9"/>
  <c r="K6" i="9"/>
  <c r="J7" i="9"/>
  <c r="K7" i="9"/>
  <c r="J8" i="9"/>
  <c r="K8" i="9"/>
  <c r="J9" i="9"/>
  <c r="K9" i="9"/>
  <c r="E10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5" i="9"/>
  <c r="K5" i="9"/>
  <c r="J1" i="9"/>
  <c r="F3" i="7"/>
  <c r="J3" i="7"/>
  <c r="I2" i="2"/>
  <c r="K2" i="2"/>
  <c r="I3" i="2"/>
  <c r="K3" i="2"/>
  <c r="I4" i="2"/>
  <c r="K4" i="2"/>
  <c r="I5" i="2"/>
  <c r="K5" i="2"/>
  <c r="I6" i="2"/>
  <c r="K6" i="2"/>
  <c r="I7" i="2"/>
  <c r="K7" i="2"/>
  <c r="I8" i="2"/>
  <c r="K8" i="2"/>
  <c r="I9" i="2"/>
  <c r="K9" i="2"/>
  <c r="I10" i="2"/>
  <c r="K10" i="2"/>
  <c r="I11" i="2"/>
  <c r="K11" i="2"/>
  <c r="I12" i="2"/>
  <c r="K12" i="2"/>
  <c r="I13" i="2"/>
  <c r="K13" i="2"/>
  <c r="I14" i="2"/>
  <c r="K14" i="2"/>
  <c r="I15" i="2"/>
  <c r="K15" i="2"/>
  <c r="I16" i="2"/>
  <c r="K16" i="2"/>
  <c r="I17" i="2"/>
  <c r="K17" i="2"/>
  <c r="I18" i="2"/>
  <c r="K18" i="2"/>
  <c r="I19" i="2"/>
  <c r="K19" i="2"/>
  <c r="I20" i="2"/>
  <c r="K20" i="2"/>
  <c r="I21" i="2"/>
  <c r="K21" i="2"/>
  <c r="I22" i="2"/>
  <c r="K22" i="2"/>
  <c r="I23" i="2"/>
  <c r="K23" i="2"/>
  <c r="I24" i="2"/>
  <c r="K24" i="2"/>
  <c r="I25" i="2"/>
  <c r="K25" i="2"/>
  <c r="B3" i="7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7" i="2"/>
  <c r="I27" i="2"/>
  <c r="H175" i="7"/>
  <c r="H10" i="7"/>
  <c r="H4" i="7"/>
  <c r="H5" i="7"/>
  <c r="H6" i="7"/>
  <c r="H7" i="7"/>
  <c r="H8" i="7"/>
  <c r="H9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G3" i="7"/>
  <c r="H233" i="7"/>
  <c r="C4" i="7"/>
  <c r="K233" i="7"/>
  <c r="C233" i="7"/>
  <c r="K232" i="7"/>
  <c r="C232" i="7"/>
  <c r="K231" i="7"/>
  <c r="C231" i="7"/>
  <c r="K131" i="7"/>
  <c r="C131" i="7"/>
  <c r="K130" i="7"/>
  <c r="C130" i="7"/>
  <c r="K129" i="7"/>
  <c r="C129" i="7"/>
  <c r="K128" i="7"/>
  <c r="C128" i="7"/>
  <c r="K127" i="7"/>
  <c r="C127" i="7"/>
  <c r="K126" i="7"/>
  <c r="C126" i="7"/>
  <c r="K125" i="7"/>
  <c r="C125" i="7"/>
  <c r="K124" i="7"/>
  <c r="C124" i="7"/>
  <c r="K123" i="7"/>
  <c r="C123" i="7"/>
  <c r="K122" i="7"/>
  <c r="C122" i="7"/>
  <c r="K121" i="7"/>
  <c r="C121" i="7"/>
  <c r="K120" i="7"/>
  <c r="C120" i="7"/>
  <c r="K119" i="7"/>
  <c r="C119" i="7"/>
  <c r="K118" i="7"/>
  <c r="C118" i="7"/>
  <c r="K117" i="7"/>
  <c r="C117" i="7"/>
  <c r="K116" i="7"/>
  <c r="C116" i="7"/>
  <c r="K115" i="7"/>
  <c r="C115" i="7"/>
  <c r="K114" i="7"/>
  <c r="C114" i="7"/>
  <c r="K113" i="7"/>
  <c r="C113" i="7"/>
  <c r="K112" i="7"/>
  <c r="C112" i="7"/>
  <c r="K111" i="7"/>
  <c r="C111" i="7"/>
  <c r="K110" i="7"/>
  <c r="C110" i="7"/>
  <c r="K109" i="7"/>
  <c r="C109" i="7"/>
  <c r="K108" i="7"/>
  <c r="C108" i="7"/>
  <c r="K107" i="7"/>
  <c r="C107" i="7"/>
  <c r="K106" i="7"/>
  <c r="C106" i="7"/>
  <c r="K105" i="7"/>
  <c r="C105" i="7"/>
  <c r="K104" i="7"/>
  <c r="C104" i="7"/>
  <c r="K103" i="7"/>
  <c r="C103" i="7"/>
  <c r="K102" i="7"/>
  <c r="C102" i="7"/>
  <c r="K101" i="7"/>
  <c r="C101" i="7"/>
  <c r="K100" i="7"/>
  <c r="C100" i="7"/>
  <c r="K99" i="7"/>
  <c r="C99" i="7"/>
  <c r="K98" i="7"/>
  <c r="C98" i="7"/>
  <c r="K97" i="7"/>
  <c r="C97" i="7"/>
  <c r="K96" i="7"/>
  <c r="C96" i="7"/>
  <c r="K95" i="7"/>
  <c r="C95" i="7"/>
  <c r="K94" i="7"/>
  <c r="C94" i="7"/>
  <c r="K93" i="7"/>
  <c r="C93" i="7"/>
  <c r="K92" i="7"/>
  <c r="C92" i="7"/>
  <c r="K91" i="7"/>
  <c r="C91" i="7"/>
  <c r="K90" i="7"/>
  <c r="C90" i="7"/>
  <c r="K89" i="7"/>
  <c r="C89" i="7"/>
  <c r="K88" i="7"/>
  <c r="C88" i="7"/>
  <c r="K87" i="7"/>
  <c r="C87" i="7"/>
  <c r="K86" i="7"/>
  <c r="C86" i="7"/>
  <c r="K85" i="7"/>
  <c r="C85" i="7"/>
  <c r="K84" i="7"/>
  <c r="C84" i="7"/>
  <c r="K83" i="7"/>
  <c r="C83" i="7"/>
  <c r="K82" i="7"/>
  <c r="C82" i="7"/>
  <c r="K81" i="7"/>
  <c r="C81" i="7"/>
  <c r="K80" i="7"/>
  <c r="C80" i="7"/>
  <c r="K79" i="7"/>
  <c r="C79" i="7"/>
  <c r="K78" i="7"/>
  <c r="C78" i="7"/>
  <c r="K77" i="7"/>
  <c r="C77" i="7"/>
  <c r="K76" i="7"/>
  <c r="C76" i="7"/>
  <c r="K75" i="7"/>
  <c r="C75" i="7"/>
  <c r="K74" i="7"/>
  <c r="C74" i="7"/>
  <c r="K73" i="7"/>
  <c r="C73" i="7"/>
  <c r="K72" i="7"/>
  <c r="C72" i="7"/>
  <c r="K71" i="7"/>
  <c r="C71" i="7"/>
  <c r="K70" i="7"/>
  <c r="C70" i="7"/>
  <c r="K69" i="7"/>
  <c r="C69" i="7"/>
  <c r="K68" i="7"/>
  <c r="C68" i="7"/>
  <c r="K67" i="7"/>
  <c r="C67" i="7"/>
  <c r="K66" i="7"/>
  <c r="C66" i="7"/>
  <c r="K65" i="7"/>
  <c r="C65" i="7"/>
  <c r="K64" i="7"/>
  <c r="C64" i="7"/>
  <c r="K63" i="7"/>
  <c r="C63" i="7"/>
  <c r="K62" i="7"/>
  <c r="C62" i="7"/>
  <c r="K61" i="7"/>
  <c r="C61" i="7"/>
  <c r="K60" i="7"/>
  <c r="C60" i="7"/>
  <c r="K59" i="7"/>
  <c r="C59" i="7"/>
  <c r="K58" i="7"/>
  <c r="C58" i="7"/>
  <c r="K57" i="7"/>
  <c r="C57" i="7"/>
  <c r="K56" i="7"/>
  <c r="C56" i="7"/>
  <c r="K55" i="7"/>
  <c r="C55" i="7"/>
  <c r="K54" i="7"/>
  <c r="C54" i="7"/>
  <c r="K53" i="7"/>
  <c r="C53" i="7"/>
  <c r="K52" i="7"/>
  <c r="C52" i="7"/>
  <c r="K51" i="7"/>
  <c r="C51" i="7"/>
  <c r="K50" i="7"/>
  <c r="C50" i="7"/>
  <c r="K49" i="7"/>
  <c r="C49" i="7"/>
  <c r="K48" i="7"/>
  <c r="C48" i="7"/>
  <c r="K47" i="7"/>
  <c r="C47" i="7"/>
  <c r="K46" i="7"/>
  <c r="C46" i="7"/>
  <c r="K45" i="7"/>
  <c r="C45" i="7"/>
  <c r="K44" i="7"/>
  <c r="C44" i="7"/>
  <c r="K43" i="7"/>
  <c r="C43" i="7"/>
  <c r="K42" i="7"/>
  <c r="C42" i="7"/>
  <c r="K41" i="7"/>
  <c r="C41" i="7"/>
  <c r="K40" i="7"/>
  <c r="C40" i="7"/>
  <c r="K39" i="7"/>
  <c r="C39" i="7"/>
  <c r="K38" i="7"/>
  <c r="C38" i="7"/>
  <c r="K37" i="7"/>
  <c r="C37" i="7"/>
  <c r="K36" i="7"/>
  <c r="C36" i="7"/>
  <c r="K35" i="7"/>
  <c r="C35" i="7"/>
  <c r="K34" i="7"/>
  <c r="C34" i="7"/>
  <c r="K33" i="7"/>
  <c r="C33" i="7"/>
  <c r="K32" i="7"/>
  <c r="C32" i="7"/>
  <c r="K31" i="7"/>
  <c r="C31" i="7"/>
  <c r="K30" i="7"/>
  <c r="C30" i="7"/>
  <c r="K29" i="7"/>
  <c r="C29" i="7"/>
  <c r="K28" i="7"/>
  <c r="C28" i="7"/>
  <c r="K27" i="7"/>
  <c r="C27" i="7"/>
  <c r="K26" i="7"/>
  <c r="C26" i="7"/>
  <c r="K25" i="7"/>
  <c r="C25" i="7"/>
  <c r="K24" i="7"/>
  <c r="C24" i="7"/>
  <c r="K23" i="7"/>
  <c r="C23" i="7"/>
  <c r="K22" i="7"/>
  <c r="C22" i="7"/>
  <c r="K21" i="7"/>
  <c r="C21" i="7"/>
  <c r="K20" i="7"/>
  <c r="C20" i="7"/>
  <c r="K19" i="7"/>
  <c r="C19" i="7"/>
  <c r="K18" i="7"/>
  <c r="C18" i="7"/>
  <c r="K17" i="7"/>
  <c r="C17" i="7"/>
  <c r="K16" i="7"/>
  <c r="C16" i="7"/>
  <c r="K15" i="7"/>
  <c r="C15" i="7"/>
  <c r="K14" i="7"/>
  <c r="C14" i="7"/>
  <c r="K13" i="7"/>
  <c r="C13" i="7"/>
  <c r="K12" i="7"/>
  <c r="C12" i="7"/>
  <c r="K11" i="7"/>
  <c r="C11" i="7"/>
  <c r="K10" i="7"/>
  <c r="C10" i="7"/>
  <c r="K9" i="7"/>
  <c r="C9" i="7"/>
  <c r="K8" i="7"/>
  <c r="C8" i="7"/>
  <c r="K7" i="7"/>
  <c r="C7" i="7"/>
  <c r="K6" i="7"/>
  <c r="C6" i="7"/>
  <c r="K5" i="7"/>
  <c r="C5" i="7"/>
  <c r="K4" i="7"/>
  <c r="M3" i="7"/>
  <c r="M3" i="1"/>
  <c r="I3" i="3"/>
  <c r="N3" i="7"/>
  <c r="N3" i="1"/>
  <c r="J3" i="3"/>
  <c r="I4" i="3"/>
  <c r="J4" i="3"/>
  <c r="K207" i="7"/>
  <c r="K230" i="7"/>
  <c r="C230" i="7"/>
  <c r="K212" i="7"/>
  <c r="C212" i="7"/>
  <c r="K229" i="7"/>
  <c r="C229" i="7"/>
  <c r="K211" i="7"/>
  <c r="C211" i="7"/>
  <c r="K210" i="7"/>
  <c r="C210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228" i="7"/>
  <c r="K194" i="7"/>
  <c r="K195" i="7"/>
  <c r="K196" i="7"/>
  <c r="K227" i="7"/>
  <c r="K197" i="7"/>
  <c r="K198" i="7"/>
  <c r="K199" i="7"/>
  <c r="K200" i="7"/>
  <c r="K201" i="7"/>
  <c r="K202" i="7"/>
  <c r="K203" i="7"/>
  <c r="K204" i="7"/>
  <c r="K205" i="7"/>
  <c r="K226" i="7"/>
  <c r="K206" i="7"/>
  <c r="K208" i="7"/>
  <c r="K209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228" i="7"/>
  <c r="C194" i="7"/>
  <c r="C195" i="7"/>
  <c r="C196" i="7"/>
  <c r="C227" i="7"/>
  <c r="C197" i="7"/>
  <c r="C198" i="7"/>
  <c r="C199" i="7"/>
  <c r="C200" i="7"/>
  <c r="C201" i="7"/>
  <c r="C202" i="7"/>
  <c r="C203" i="7"/>
  <c r="C204" i="7"/>
  <c r="C205" i="7"/>
  <c r="C226" i="7"/>
  <c r="C206" i="7"/>
  <c r="C207" i="7"/>
  <c r="C208" i="7"/>
  <c r="C209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O3" i="7"/>
  <c r="L3" i="7"/>
  <c r="K3" i="7"/>
  <c r="K145" i="7"/>
  <c r="I3" i="7"/>
  <c r="H3" i="7"/>
  <c r="E3" i="7"/>
  <c r="D3" i="7"/>
  <c r="C3" i="7"/>
  <c r="A3" i="7"/>
  <c r="C145" i="7"/>
  <c r="O3" i="1"/>
  <c r="L3" i="1"/>
  <c r="K3" i="1"/>
  <c r="J3" i="1"/>
  <c r="I3" i="1"/>
  <c r="H3" i="1"/>
  <c r="G3" i="1"/>
  <c r="F3" i="1"/>
  <c r="E3" i="1"/>
  <c r="D3" i="1"/>
  <c r="C3" i="1"/>
  <c r="B3" i="1"/>
  <c r="A3" i="1"/>
  <c r="D3" i="3"/>
  <c r="B3" i="3"/>
  <c r="C3" i="3"/>
  <c r="F3" i="3"/>
  <c r="H3" i="3"/>
  <c r="K3" i="3"/>
  <c r="A3" i="3"/>
  <c r="D4" i="3"/>
  <c r="C4" i="3"/>
  <c r="K4" i="3"/>
  <c r="A4" i="3"/>
  <c r="B4" i="3"/>
  <c r="H4" i="3"/>
  <c r="F4" i="3"/>
  <c r="G3" i="3"/>
  <c r="E3" i="3"/>
  <c r="E4" i="3"/>
  <c r="G4" i="3"/>
  <c r="A1" i="3"/>
</calcChain>
</file>

<file path=xl/sharedStrings.xml><?xml version="1.0" encoding="utf-8"?>
<sst xmlns="http://schemas.openxmlformats.org/spreadsheetml/2006/main" count="3860" uniqueCount="1239">
  <si>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</si>
  <si>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</si>
  <si>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</si>
  <si>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</si>
  <si>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</si>
  <si>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</si>
  <si>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</si>
  <si>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</si>
  <si>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</si>
  <si>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</si>
  <si>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</si>
  <si>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</si>
  <si>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</si>
  <si>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</si>
  <si>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</si>
  <si>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</si>
  <si>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</si>
  <si>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</si>
  <si>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</si>
  <si>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</si>
  <si>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</si>
  <si>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</si>
  <si>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</si>
  <si>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</si>
  <si>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</si>
  <si>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</si>
  <si>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</si>
  <si>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</si>
  <si>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</si>
  <si>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</si>
  <si>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</si>
  <si>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</si>
  <si>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</si>
  <si>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</si>
  <si>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</si>
  <si>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</si>
  <si>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</si>
  <si>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</si>
  <si>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</si>
  <si>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</si>
  <si>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</si>
  <si>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</si>
  <si>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</si>
  <si>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</si>
  <si>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</si>
  <si>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</si>
  <si>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</si>
  <si>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</si>
  <si>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</si>
  <si>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</si>
  <si>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</si>
  <si>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</si>
  <si>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</si>
  <si>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</si>
  <si>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</si>
  <si>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</si>
  <si>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</si>
  <si>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</si>
  <si>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</si>
  <si>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</si>
  <si>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</si>
  <si>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</si>
  <si>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</si>
  <si>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</si>
  <si>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</si>
  <si>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</si>
  <si>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</si>
  <si>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</si>
  <si>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</si>
  <si>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</si>
  <si>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</si>
  <si>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</si>
  <si>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</si>
  <si>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</si>
  <si>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</si>
  <si>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</si>
  <si>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</si>
  <si>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</si>
  <si>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</si>
  <si>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</si>
  <si>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</si>
  <si>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</si>
  <si>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</si>
  <si>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</si>
  <si>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</si>
  <si>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</si>
  <si>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</si>
  <si>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</si>
  <si>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</si>
  <si>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</si>
  <si>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</si>
  <si>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</si>
  <si>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</si>
  <si>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</si>
  <si>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</si>
  <si>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</si>
  <si>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</si>
  <si>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</si>
  <si>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</si>
  <si>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</si>
  <si>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</si>
  <si>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</si>
  <si>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</si>
  <si>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</si>
  <si>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</si>
  <si>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</si>
  <si>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</si>
  <si>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</si>
  <si>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</si>
  <si>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</si>
  <si>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</si>
  <si>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</si>
  <si>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</si>
  <si>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</si>
  <si>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</si>
  <si>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</si>
  <si>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</si>
  <si>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</si>
  <si>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</si>
  <si>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</si>
  <si>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</si>
  <si>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</si>
  <si>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</si>
  <si>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</si>
  <si>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</si>
  <si>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</si>
  <si>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</si>
  <si>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</si>
  <si>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</si>
  <si>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</si>
  <si>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</si>
  <si>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</si>
  <si>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</si>
  <si>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</si>
  <si>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</si>
  <si>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</si>
  <si>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</si>
  <si>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</si>
  <si>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</si>
  <si>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</si>
  <si>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</si>
  <si>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</si>
  <si>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</si>
  <si>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</si>
  <si>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</si>
  <si>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</si>
  <si>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</si>
  <si>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</si>
  <si>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</si>
  <si>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</si>
  <si>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</si>
  <si>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</si>
  <si>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</si>
  <si>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</si>
  <si>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</si>
  <si>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</si>
  <si>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</si>
  <si>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</si>
  <si>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</si>
  <si>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</si>
  <si>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</si>
  <si>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</si>
  <si>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</si>
  <si>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</si>
  <si>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</si>
  <si>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</si>
  <si>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</si>
  <si>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</si>
  <si>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</si>
  <si>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</si>
  <si>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</si>
  <si>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</si>
  <si>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</si>
  <si>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</si>
  <si>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</si>
  <si>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</si>
  <si>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</si>
  <si>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</si>
  <si>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</si>
  <si>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</si>
  <si>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</si>
  <si>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</si>
  <si>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</si>
  <si>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</si>
  <si>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</si>
  <si>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</si>
  <si>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</si>
  <si>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</si>
  <si>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</si>
  <si>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</si>
  <si>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</si>
  <si>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</si>
  <si>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</si>
  <si>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</si>
  <si>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</si>
  <si>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</si>
  <si>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</si>
  <si>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</si>
  <si>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</si>
  <si>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</si>
  <si>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</si>
  <si>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</si>
  <si>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</si>
  <si>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</si>
  <si>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</si>
  <si>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</si>
  <si>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</si>
  <si>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</si>
  <si>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</si>
  <si>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</si>
  <si>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</si>
  <si>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</si>
  <si>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</si>
  <si>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</si>
  <si>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</si>
  <si>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</si>
  <si>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</si>
  <si>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</si>
  <si>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</si>
  <si>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</si>
  <si>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</si>
  <si>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</si>
  <si>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</si>
  <si>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</si>
  <si>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</si>
  <si>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</si>
  <si>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</si>
  <si>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</si>
  <si>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</si>
  <si>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</si>
  <si>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</si>
  <si>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</si>
  <si>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</si>
  <si>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</si>
  <si>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</si>
  <si>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</si>
  <si>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</si>
  <si>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</si>
  <si>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</si>
  <si>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</si>
  <si>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</si>
  <si>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</si>
  <si>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</si>
  <si>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</si>
  <si>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</si>
  <si>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</si>
  <si>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</si>
  <si>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</si>
  <si>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</si>
  <si>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</si>
  <si>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</si>
  <si>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</si>
  <si>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</si>
  <si>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</si>
  <si>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</si>
  <si>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</si>
  <si>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</si>
  <si>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</si>
  <si>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</si>
  <si>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</si>
  <si>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</si>
  <si>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</si>
  <si>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</si>
  <si>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</si>
  <si>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</si>
  <si>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</si>
  <si>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</si>
  <si>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</si>
  <si>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</si>
  <si>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</si>
  <si>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</si>
  <si>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</si>
  <si>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</si>
  <si>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</si>
  <si>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</si>
  <si>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</si>
  <si>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</si>
  <si>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</si>
  <si>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</si>
  <si>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</si>
  <si>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</si>
  <si>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</si>
  <si>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</si>
  <si>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</si>
  <si>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</si>
  <si>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</si>
  <si>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</si>
  <si>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</si>
  <si>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</si>
  <si>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</si>
  <si>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</si>
  <si>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</si>
  <si>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</si>
  <si>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</si>
  <si>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</si>
  <si>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</si>
  <si>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</si>
  <si>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</si>
  <si>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</si>
  <si>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</si>
  <si>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</si>
  <si>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</si>
  <si>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</si>
  <si>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</si>
  <si>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</si>
  <si>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</si>
  <si>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</si>
  <si>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</si>
  <si>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</si>
  <si>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</si>
  <si>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</si>
  <si>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</si>
  <si>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</si>
  <si>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</si>
  <si>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</si>
  <si>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</si>
  <si>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</si>
  <si>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</si>
  <si>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</si>
  <si>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</si>
  <si>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</si>
  <si>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</si>
  <si>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</si>
  <si>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</si>
  <si>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</si>
  <si>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</si>
  <si>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</si>
  <si>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</si>
  <si>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</si>
  <si>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</si>
  <si>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</si>
  <si>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</si>
  <si>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Rage of The Machine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</si>
  <si>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</si>
  <si>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</si>
  <si>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</si>
  <si>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</si>
  <si>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</si>
  <si>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</si>
  <si>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</si>
  <si>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</si>
  <si>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</si>
  <si>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</si>
  <si>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</si>
  <si>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</si>
  <si>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</si>
  <si>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</si>
  <si>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</si>
  <si>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</si>
  <si>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</si>
  <si>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</si>
  <si>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</si>
  <si>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</si>
  <si>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</si>
  <si>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</si>
  <si>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</si>
  <si>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</si>
  <si>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</si>
  <si>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</si>
  <si>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</si>
  <si>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</si>
  <si>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</si>
  <si>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</si>
  <si>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</si>
  <si>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</si>
  <si>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</si>
  <si>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</si>
  <si>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</si>
  <si>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</si>
  <si>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</si>
  <si>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</si>
  <si>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</si>
  <si>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</si>
  <si>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</si>
  <si>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</si>
  <si>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</si>
  <si>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</si>
  <si>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</si>
  <si>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</si>
  <si>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</si>
  <si>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</si>
  <si>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</si>
  <si>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</si>
  <si>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</si>
  <si>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3x3N4JYC0hk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</si>
  <si>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</si>
  <si>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</si>
  <si>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</si>
  <si>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</si>
  <si>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</si>
  <si>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</si>
  <si>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</si>
  <si>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</si>
  <si>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</si>
  <si>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</si>
  <si>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</si>
  <si>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</si>
  <si>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</si>
  <si>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</si>
  <si>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</si>
  <si>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</si>
  <si>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</si>
  <si>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</si>
  <si>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</si>
  <si>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</si>
  <si>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</si>
  <si>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R1TLj9-jdLs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</si>
  <si>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</si>
  <si>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</si>
  <si>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</si>
  <si>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</si>
  <si>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</si>
  <si>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</si>
  <si>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</si>
  <si>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</si>
  <si>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</si>
  <si>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</si>
  <si>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</si>
  <si>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</si>
  <si>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</si>
  <si>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</si>
  <si>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</si>
  <si>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</si>
  <si>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</si>
  <si>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</si>
  <si>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</si>
  <si>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xL5spALs-eA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</si>
  <si>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</si>
  <si>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</si>
  <si>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</si>
  <si>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</si>
  <si>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</si>
  <si>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</si>
  <si>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</si>
  <si>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EUFGJvYlPFk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</si>
  <si>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</si>
  <si>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</si>
  <si>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</si>
  <si>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</si>
  <si>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</si>
  <si>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</si>
  <si>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</si>
  <si>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</si>
  <si>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OT2bxfGC4UA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</si>
  <si>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</si>
  <si>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</si>
  <si>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</si>
  <si>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</si>
  <si>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</si>
  <si>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</si>
  <si>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</si>
  <si>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0sB3Fjw3Uvc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</si>
  <si>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</si>
  <si>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</si>
  <si>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</si>
  <si>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</si>
  <si>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</si>
  <si>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</si>
  <si>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</si>
  <si>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</si>
  <si>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</si>
  <si>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ssXAkg0bV6o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</si>
  <si>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</si>
  <si>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</si>
  <si>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</si>
  <si>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</si>
  <si>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</si>
  <si>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</si>
  <si>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</si>
  <si>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</si>
  <si>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</si>
  <si>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</si>
  <si>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</si>
  <si>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</si>
  <si>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</si>
  <si>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</si>
  <si>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</si>
  <si>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</si>
  <si>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</si>
  <si>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</si>
  <si>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</si>
  <si>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</si>
  <si>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</si>
  <si>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</si>
  <si>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</si>
  <si>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</si>
  <si>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</si>
  <si>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</si>
  <si>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</si>
  <si>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</si>
  <si>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</si>
  <si>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</si>
  <si>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</si>
  <si>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D9ioyEvdggk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</si>
  <si>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</si>
  <si>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</si>
  <si>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</si>
  <si>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</si>
  <si>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</si>
  <si>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</si>
  <si>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</si>
  <si>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</si>
  <si>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</si>
  <si>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-y3h9p_c5-M</t>
  </si>
  <si>
    <t>QadSVWXF_ks</t>
  </si>
  <si>
    <t>ZFo8-JqzSCM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</si>
  <si>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</si>
  <si>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</si>
  <si>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</si>
  <si>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</si>
  <si>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</si>
  <si>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</si>
  <si>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</si>
  <si>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</si>
  <si>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</si>
  <si>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</si>
  <si>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</si>
  <si>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</si>
  <si>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</si>
  <si>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</si>
  <si>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</si>
  <si>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</si>
  <si>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</si>
  <si>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</si>
  <si>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</si>
  <si>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c6yYxyxx4aE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</si>
  <si>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</si>
  <si>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</si>
  <si>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</si>
  <si>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</si>
  <si>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</si>
  <si>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</si>
  <si>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</si>
  <si>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</si>
  <si>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</si>
  <si>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</si>
  <si>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</si>
  <si>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</si>
  <si>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</si>
  <si>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</si>
  <si>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</si>
  <si>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</si>
  <si>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</si>
  <si>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mRJ9_yHiNmg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</si>
  <si>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</si>
  <si>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</si>
  <si>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</si>
  <si>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</si>
  <si>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</si>
  <si>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</si>
  <si>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</si>
  <si>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</si>
  <si>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</si>
  <si>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</si>
  <si>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</si>
  <si>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</si>
  <si>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</si>
  <si>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</si>
  <si>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</si>
  <si>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</si>
  <si>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</si>
  <si>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</si>
  <si>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</si>
  <si>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</si>
  <si>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</si>
  <si>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</si>
  <si>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</si>
  <si>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rh2SVX7nBe0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</si>
  <si>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</si>
  <si>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</si>
  <si>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</si>
  <si>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</si>
  <si>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</si>
  <si>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</si>
  <si>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</si>
  <si>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</si>
  <si>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riwxbh_n_WM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</si>
  <si>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</si>
  <si>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</si>
  <si>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</si>
  <si>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</si>
  <si>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</si>
  <si>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</si>
  <si>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</si>
  <si>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</si>
  <si>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</si>
  <si>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pGIIMQJaNmk</t>
  </si>
  <si>
    <t>tmvlczO7gSA</t>
  </si>
  <si>
    <t>HQmmM_qwG4k</t>
  </si>
  <si>
    <t>oHDaKtx6bGY</t>
  </si>
  <si>
    <t>fHiGbolFFGw</t>
  </si>
  <si>
    <t>QtXby3twMmI</t>
  </si>
  <si>
    <t>FM7MFYoylVs</t>
  </si>
  <si>
    <t>d020hcWA_Wg</t>
  </si>
  <si>
    <t>NPaAlAL8Z50</t>
  </si>
  <si>
    <t>kK4hj_GUSnE</t>
  </si>
  <si>
    <t>kZNMvztBUwM</t>
  </si>
  <si>
    <t>6Wn7qYBedAQ</t>
  </si>
  <si>
    <t>kzkXGIRaxcI</t>
  </si>
  <si>
    <t>fuKDBPw8wQA</t>
  </si>
  <si>
    <t>5Tq-UsaRchI</t>
  </si>
  <si>
    <t>DLS-cnOlRpg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</si>
  <si>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</si>
  <si>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</si>
  <si>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</si>
  <si>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</si>
  <si>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</si>
  <si>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</si>
  <si>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</si>
  <si>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</si>
  <si>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</si>
  <si>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</si>
  <si>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</si>
  <si>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</si>
  <si>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</si>
  <si>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</si>
  <si>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</si>
  <si>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</si>
  <si>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</si>
  <si>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</si>
  <si>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</si>
  <si>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</si>
  <si>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</si>
  <si>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</si>
  <si>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</si>
  <si>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</si>
  <si>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</si>
  <si>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</si>
  <si>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</si>
  <si>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</si>
  <si>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</si>
  <si>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</si>
  <si>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</si>
  <si>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</si>
  <si>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</si>
  <si>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</si>
  <si>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e|---------------------------|--------------------------|\n
B|---------------------------|--------------------------|\n
G|---------------------------|--------------------------|\n
D|-----7---5-----------------|-----7---5----------------|\n
A|-5h7---7-----7p5-----------|-5h7---7----7p5-----------|\n
E|-----------------7-5/3---0-|----------------7-5/3b----|\n\n
e|-----------------------------------------------------|\n
B|-----------------------------------------------------|\n
G|-----------------------------------------------------|\n
D|-----7---5--------------------7---5------------------|\n
A|-5h7---7---7p5------------5h7---7---7p5--------------|\n
E|----------------7-5/3-0------------------7-5/3-5-6-7-|\n\n
e|----------------|---------------------|\n
B|----------------|---------------------|\n
G|----------------|---------------------|\n
D|---5p2-0h2-2~~~-|---5p2-0h2-2p0-------|\n
A|----------------|--------------2------|\n
E|----------------|-----------------3p0-|\n\n</t>
  </si>
  <si>
    <t>DADGAD</t>
  </si>
  <si>
    <t>(DADGAD)</t>
  </si>
  <si>
    <t>Eb</t>
  </si>
  <si>
    <t>Open D</t>
  </si>
  <si>
    <t>Open D (DADF#AD)</t>
  </si>
  <si>
    <t>e|-----------------------|-------------------|\n
B|-----------------------|-------------------|\n
G|-------------7h10p7----|-7-----------------|\n
D|--------7h10--------10-|-------------------|\n
A|-----------------------|-------------------|\n
E|-----------------------|-------------------|\n\n
e|---------------------10h13p10----|-10------13b15==(13)-(13)-13---12-|-(12)------10-(10)-------10h13p10----|\n
B|---------------10h13----------13-|----------------------------------|------13-----------10h13----------13-|\n
G|-(7)-----------------------------|----------------------------------|-------------------------------------|\n
D|---------------------------------|----------------------------------|-------------------------------------|\n
A|---------------------------------|----------------------------------|-------------------------------------|\n
E|---------------------------------|----------------------------------|-------------------------------------|\n\n</t>
  </si>
  <si>
    <t>e|------------------------------|------------------------|\n
B|-(3)---1---1-------1-------3--|-3---3---3---3---3---3--|\n
G|-(0)---0---0---0---0---0---2--|-0---0---2---0---2---0--|\n
D|-(0)---2---2---0---2---0---0--|-0---0---0---0---0---0--|\n
A|-(x)---3---3---x---3---x------|-x---x-------x-------x--|\n
E|-(3)-----------3-------3------|-3---3-------3-------3--|\n\n</t>
  </si>
  <si>
    <t>Abm</t>
  </si>
  <si>
    <t>Gm</t>
  </si>
  <si>
    <t>e|-----------------|-----------------|-----------------|-----------------|\n
B|-----------------|-----------------|-----------------|-----------------|\n
G|-9-----2-2-----6-|-6---4-4---------|-9-----2-2-----6-|-6-4-4-2-2-4-4---|\n
D|-9-----2-2-----6-|-6---4-4---------|-9-----2-2-----6-|-6-4-4-2-2-4-4---|\n
A|-7-----0-0-----4-|-4---2-2---------|-7-----0-0-----4-|-4-2-2-0-0-2-2---|\n
E|-----------------|-----------------|-----------------|-----------------|\n\n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</si>
  <si>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</si>
  <si>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</si>
  <si>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</si>
  <si>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</si>
  <si>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</si>
  <si>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</si>
  <si>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</si>
  <si>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</si>
  <si>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</si>
  <si>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</si>
  <si>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</si>
  <si>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</si>
  <si>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</si>
  <si>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</si>
  <si>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</si>
  <si>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</si>
  <si>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</si>
  <si>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</si>
  <si>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</si>
  <si>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</si>
  <si>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</si>
  <si>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</si>
  <si>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</si>
  <si>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</si>
  <si>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</si>
  <si>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</si>
  <si>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</si>
  <si>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</si>
  <si>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</si>
  <si>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</si>
  <si>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</si>
  <si>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</si>
  <si>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</si>
  <si>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</si>
  <si>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</si>
  <si>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</si>
  <si>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</si>
  <si>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</si>
  <si>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</si>
  <si>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</si>
  <si>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</si>
  <si>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</si>
  <si>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</si>
  <si>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</si>
  <si>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</si>
  <si>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</si>
  <si>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</si>
  <si>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</si>
  <si>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</si>
  <si>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</si>
  <si>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</si>
  <si>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</si>
  <si>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</si>
  <si>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</si>
  <si>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</si>
  <si>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</si>
  <si>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</si>
  <si>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</si>
  <si>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</si>
  <si>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</si>
  <si>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</si>
  <si>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</si>
  <si>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</si>
  <si>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</si>
  <si>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</si>
  <si>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</si>
  <si>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</si>
  <si>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</si>
  <si>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</si>
  <si>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</si>
  <si>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</si>
  <si>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</si>
  <si>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</si>
  <si>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</si>
  <si>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</si>
  <si>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</si>
  <si>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</si>
  <si>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</si>
  <si>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</si>
  <si>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</si>
  <si>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</si>
  <si>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</si>
  <si>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</si>
  <si>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</si>
  <si>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</si>
  <si>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</si>
  <si>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</si>
  <si>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</si>
  <si>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</si>
  <si>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</si>
  <si>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</si>
  <si>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</si>
  <si>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</si>
  <si>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</si>
  <si>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</si>
  <si>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</si>
  <si>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</si>
  <si>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</si>
  <si>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</si>
  <si>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e|----------------------------------|\n
B|-2--2-3-2---2-3-3-3-3-3-3-3-3-2---|\n
G|-2--2-2-2---2-2-2-2-2-2-2-2-2-2---|\n
D|-2--2-4-2---2-5-5-5-5-4-4-4-4-2---|\n
A|-0--0-0-0---0-0-0-0-0-0-0-0-0-0---|\n
E|----------------------------------|\n\n</t>
  </si>
  <si>
    <t>e|---------------|-------------------|---------------|--------------------|\n
B|--------9----9-|---9---------------|---------------|--------------------|\n
G|-9----9-9----9-|---9---9-----------|-9--x-9-9------|---9----------------|\n
D|-9----9-9----9-|---9---9-11p9-12p9-|-9--x-9-9----9-|---9---9-11p9-12p9--|\n
A|-7----7-7----7-|---7---7--7----7---|-7----7-7----7-|---7---7--7----7----|\n
E|-0-------------|---------------0---|-0------0------|--------------------|\n\n
e|---------------|-------------------|---------------|-----0------------|\n
B|-9------9------|-------------------|-9------9------|-----0------------|\n
G|-9----9-9--x-9-|---9---------------|-9----9-9------|------------------|\n
D|-9----9-9--x-9-|---9---9-11p9-12p9-|-9----9-9----9-|---9---9-11p9-12--|\n
A|-7----7-7----7-|---7---7--7----7---|-7----7-7----7-|---7---7--7----7--|\n
E|-0--0---0------|-----0----0--------|-0------0--0---|-0----------------|\n\n</t>
  </si>
  <si>
    <t>e|-----------------------------|\n
B|-----------------------------|\n
G|-----------------------------|\n
D|-------------2-0---4----0-2--|\n
A|----------2------2----2------|\n
E|--0--3-4---------------------|\n\n</t>
  </si>
  <si>
    <t>e|---------------------------------------------------------------------------|\n
B|---------------------------------------------------------------------------|\n
G|---------------------------------------------------------------------------|\n
D|---------------------------------------------------------------------------|\n
A|---------------------------------------------------------------------------|\n
E|-8--8--8--8--8--8--8--8--8--8--8--8--8--8--8--8--8--8--8--8--8--8--8--8--8-|\n\n
e|---------------------------------------------------------------------------|\n
B|---------------------------------------------------------------------------|\n
G|---------------------------------------------------------------------------|\n
D|--10-----10--8---10-----10--8---10-----10--5---6---------------------------|\n
A|--10-----10--8---10-----10--8---10-----10--5---6---------------------------|\n
E|--8------8---6---8------8---6---8------8---3---4---------------------------|\n\n</t>
  </si>
  <si>
    <t>e|-----------------------------------------------------------------------------------------------|\n
B|----------10b-8-10-------10b-8--------10b-8-10---------10b-8-10---10b-8----10b-8-10-12-13-17-15|\n
G|-------------------------------9----------------------------------------9----------------------|\n
D|-----------------------------------------------------------------------------------------------|\n
A|-----------------------------------------------------------------------------------------------|\n
E|-----------------------------------------------------------------------------------------------|\n\n</t>
  </si>
  <si>
    <t>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e|------------------------------------------------------------------------------|\n
B|------------------------------------------------------------------------------|\n
G|------------------------------------------------------------------------------|\n
D|------------------------12h14-----12----------------------------12h14-----12--|\n
A|-12h14-12h14-12h14-12h14-----12h14--14---12h14-12h14-12h14-12h14-----12h14--14|\n
E|-12----12----12--------------------------12----12----12-----------------------|\n\n
e|-----------------------------------------------------------------------------|\n
B|-----------------------------------------------------------------------------|\n
G|-----------------------------------------------------------------------------|\n
D|-----------------------------------------------------------------------------|\n
A|-14-14-14-14-14-14-14-14-14-14-14-14-144-14-14-14-12-12-12-12-12-12-12-12-12-|\n
E|-12-12-12-12-12-12-12-12-12-12-12-12-122-12-12-12-10-10-10-10-10-10-10-10-10-|\n\n
e|-------------------|\n
B|--------------12---|\n
G|--------------12---|\n
D|-12-----------12---|\n
A|-10--12--14--------|\n
E|-----10--12--------|\n\n</t>
  </si>
  <si>
    <t>e|------------------------------------|\n
B|------------------------------------|\n
G|------------------------------------|\n
D|--4---2-4-2---------4---2-4-2-------|\n
A|----4-------4-2-4-----4-------4-2-4-|\n
E|------------------------------------|\n\n</t>
  </si>
  <si>
    <t>e|--------------------------------------------------------------------------|\n
B|----------------4---------------------------------------------------------|\n
G|---------5-------------5--------------------------------------------------|\n
D|------------------------------------6---------------- 5-------------------|\n
A|--3--3-----3-------3-----3-------(6)--------------(5)---------------------|\n
E|----------------------------4--4------(4)---3--3----------(3)-------------|\n\n</t>
  </si>
  <si>
    <t>e |-------------------------------------------|\n
C#|-------------------------------------------|\n
A |-------------------------------------------|\n
E |-------------------------------------------|\n
A |---7----7----10----7-----------------------| (x8)\n
E |------------------------10---8----7--------|\n\n</t>
  </si>
  <si>
    <t>e|------------|----------|------|---------------|\n
B|-9-9-7-9--7-|----------|------|---------------|\n
G|-9-9-7-9--7-|----------|------|---------------|\n
D|-9-9-7-9--7-|--------0-|-0p2--|-0-----0-------|\n
A|-7-7-5-7--5-|-0h2p0--0-|------|---0h2---0-----|n
E|------------|----------|------|-----------3-0-|\n\n</t>
  </si>
  <si>
    <t>e|-------------------------|----3--------------------||\n
B|-------------------------|----3--------------------||\n
G|-------------------------|-------------------------||\n
D|---7---------3--------5--|-------------------------||\n
A|---7---------3--------5--|------------3--2--0------||\n
E|---5------0--1--0--1--3--|---------3-----------0---||\n\n</t>
  </si>
  <si>
    <t>e|-----------------------------|---------------------------------------|\n
B|-----------------------------|-------12-12b13r12----12-13------------|\n
G|-------12----12h14-----------|-13-14-------------14-------14-(14)----|\n
D|-12h14----14-----------------|---------------------------------------|\n
A|-----------------------------|---------------------------------------|\n
E|-----------------------------|---------------------------------------|\n\n</t>
  </si>
  <si>
    <t>e|-------------------------------------------|\n
B|-------------------------------------------|\n
G|-------------------------------------------|\n
D|-------------------------------------------|\n
A|-------------2-----4-6-4----6-7-0---6-7----|\n
E|--0------2-4----------------------------0--|\n\n</t>
  </si>
  <si>
    <t>D#|-------|-------|-------|-------|\n
A#|-------|-------|-------|-------|\n
F#|-8~-9~-|-8~-9~-|-8~-9~-|-8~-9~-|\n
C#|-8~-9~-|-8~-9~-|-8~-9~-|-8~-9~-|\n
G#|-6~-7~-|-6~-7~-|-6~-7~-|-6~-7~-|\n
D#|-------|-------|-------|-------|\n\n</t>
  </si>
  <si>
    <t>e|-----0-0-----------------------------------------------|\n
b|-----8-8-x---7-7-----5-5-x---3-3-3---------------------|\n
g|-----0-0-x---7-7-----4-4-x---0-0-0---------------------|\n
d|-----9-9-x---5-5---5-5-5-x---5-5-5---------------------|\n
a|---7-7-7---7-7-7-3---3-3-----0-0-0---------------------|\n
e|-0-------------------------5-5-5-5---------------------|\n\n</t>
  </si>
  <si>
    <t>e|----------------------|-----------------------------|\n
B|----------------------|-----------------------------|\n
G|----------------------|-----------------------------|\n
D|--------2--------2----|---------2--------2---2------|\n
A|--0-1-2----0-1-2------|---0-1-2----0-1-2------------|\n
E|-------------------0--|--------------------3--------|\n\n
e|----------------------|-----------------------------|\n
B|----------------------|-----------------------------|\n
G|----------------------|----------------------2------|\n
D|--------2--------2----|---------2--------2---2------|\n
A|--0-1-2----0-1-2------|---0-1-2----0-1-2-----0------|\n
E|-------------------0--|-----------------------------|\n\n</t>
  </si>
  <si>
    <t>d#|---------------------------------|---------------------------------|\n
A#|---------------------------------|---------------------------------|\n
F#|---------------------------------|---------------------------------|\n
C#|--------------------------X--X---|---------------------------------|\n
G#|--------------------------X--X---|--5----X-5-----------5-----------|\n
D#|--------------------------X--X---|--0----X-0-----------0--------0--|\n\n
d#|---------------------------------|---------------------------------|\n
A#|---------------------------------|---------------------------------|\n
F#|---------------------------------|----------7----------7h9---------|\n
C#|---------------------------------|--9------------------------------|\n
G#|--5----X-5--------------------5--|---------------------------------|\n
D#|--0----X-0-----------0----5h7----|---------------------------------|\n\n
d#|---------------------------------|---------------------------------|\n
A#|---------------------------------|---------------------------------|\n
F#|---------------------------------|---------------------------------|\n
C#|--7-------7h9-----------5--------|--5h7-------5b-------------------|\n
G#|---------------------------------|-------------------------7-------|\n
D#|---------------------------------|---------------------------------|\n\n</t>
  </si>
  <si>
    <t>(clean guitar)\n
E|-------------------------------------------|\n
B|-------------------------------------------|\n
G|---10-10---88-8-8--13-13-15-17---17-17-17--|\n
D|---10-10---88-8-8--13-13-15-17---17-17-17--|\n
A|---8--8----66-6-6--11-11-13-15---15-15-15--|\n
D|-------------------------------------------|\n\n
(with heavy distortion)\n
E|-------------------------------------|\n
B|-------------------------------------|\n
G|-------------------------------------|\n
D|-3-3-3-3-1-1-1-1-6-6-8-10--10-10-10--|\n
A|-3-3-3-3-1-1-1-1-6-6-8-10--10-10-10--|\n
D|-3-3-3-3-1-1-1-1-6-6-8-10--10-10-10--|\n\n</t>
  </si>
  <si>
    <t>D|-----------------------------------------|\n
A|-----------------------------------------|\n
F|-----------------------------------------|\n
C|-----------------------------------------|\n
G|------------0---0---------2-------2------|\n
D|--0-0-1-2-----2---2-2-1-0---0-0-----0-1--|\n\n</t>
  </si>
  <si>
    <t>e|-------|-----------------------|-----------------------------------|\n
B|-------|-----------------------|-----------------------------------|\n
G|-------|-----------------------|-----------------------------------| (x2)\n
D|-------|-----------0--1-2------|---------------0--1-2--------------|\n
A|-------|---0--3~---------------|---0-0-0-0-3~----------------------|\n
E|--3b---|------------------3b---|-----------------------3b----------|\n\n
e|--------------------|----------------------------------------------|\n
B|--------------------|----------------------------------------------|\n
G|--------------------|----------------------------------------------|\n
D|--------2--3-4------|-------------2--3-4---------------------------|\n
A|--2--5--------------|--2-2-2-2-5-----------------------------------|\n
E|----------------5b--|---------------------5b-----------------------|\n\n
e|-------|-----------------------|-----------------------------------|\n
B|-------|-----------------------|-----------------------------------|\n
G|-------|-----------------------|-----------------------------------|\n
D|-------|-----------0--1-2------|---------------0--1-2--------------|\n
A|-------|---0--3~---------------|---0-0-0-0-3~----------------------|\n
E|--3b---|------------------3b---|-----------------------3b----------|\n\n</t>
  </si>
  <si>
    <t>e|------------------------------------------------------------------|\n
B|------------------------------------------------------------------|\n
G|-------------3--------------------5---3---------------------------|\n
D|-----5-3-5---3---3--5----5--3--5--5---3---------------------------|\n
A|-----5-3-5-------3--5----5--3--5----------------------------------|\n
E|--3---------------------------------------------------------------|\n\n
e|-------------------------------------------------------------------|\n
B|-------------------------------------------------------------------|\n
G|-------------3-----------------------------------------------------|\n
D|-----5-3-5---3---3--5----5-3-1-------------------------------------|\n
A|-----5-3-5-------3--5----5-3-1-------------------------------------|\n
E|--3----------------------------------------------------------------|\n\n</t>
  </si>
  <si>
    <t>e|----0------------|-------------------|\n
B|----5---3---2-0.-|0-----0-2p0--------|\n
G|-------(2)--2-1.-|1-----------1------|\n
D|--------------2.-|2-------------2-0--|\n
A|-----------------|hold---------------|\n
E|-----------------|-------------------|\n\n</t>
  </si>
  <si>
    <t>e|-----------------|-----------------|-----------------|-----------------|\n
B|-----------------|-----------------|-----------------|-----------------|\n
G|-----------------|-----------------|-----------------|-----------------|\n
D|-----------------|-----------------|-----------------|-----------------|\n
G|---7---7---7---7-|---7---7---7---7-|---7---7---7---7-|---7---7---7---7-|\n
D|-0---0---0---0---|-0---0---0---0---|-0---0---0---0---|-0---0---0---0---|\n\n
e|-----------------|-----------------|-----------------|-----------------|\n
B|-----------------|-----------------|-----------------|-----------------|\n
G|-----------------|-----------------|-----------------|-----------------|\n
D|-----------------|-----------------|---5---5---5---5-|---3---3---3---3-|\n
G|---7---7---7---7-|---7---7---7---7-|-----------------|-----------------|\n
D|-0---0---0---0---|-0---0---0---0---|-5---5---5---5---|-3---3---3---3---|\n\n
e|-----------------|-----------------|-----------------|-----------------|\n
B|-----------------|-----------------|-----------------|-----------------|\n
G|-----------------|-----------------|-----------------|---------15--15--|\n
D|---7---7---7---7-|---7---7---7---7-|---5---5---5---5-|---3---3---------|\n
G|-----------------|-----------------|-----------------|--------17B--17B-|\n
D|-7---7---7---7---|-7---7---7---7---|-5---5---5---5---|-3---3-----------|\n\n</t>
  </si>
  <si>
    <t>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Gb|--------14-12----------14--|--------14-12----------14--|\n
Db|--14-----------------------|--14-----------------------|\n
Ab|---------------------------|---------------------------|\n
Eb|---------------------------|---------------------------| \n\n
eb|--------------15----14-----|--------------15----14-----|\n
Bb|-----15--------------------|-----15--------------------|\n
Gb|--12----14-12----14----14--|--12----14-12----14----14--|\n
Db|---------------------------|---------------------------|\n
Ab|---------------------------|---------------------------|\n
Eb|---------------------------|---------------------------|\n\n
eb|--------------15----14-----|--------------15----14-----|\n
Bb|-----15--------------------|-----15--------------------|\n
Gb|--------14-12----14----14--|--------14-12----14----14--|\n
Db|--12-----------------------|--12-----------------------|\n
Ab|---------------------------|---------------------------|\n
Eb|---------------------------|---------------------------|\n\n</t>
  </si>
  <si>
    <t>e|------------------------------------------|---------------------|\n
B|----3----------3--------------------------|---------------------|\n
G|------2-0--------0-------0----------------|---------------------|\n
D|0-0----------------0------------0h2p0-----|---------------------|\n
A|------------3-3-------------0h2--------3--|---------------------|\n
E|---------------------3-3------------------|---------------------|\n\n
e|----------------------------------------------------------------|\n
B|----3---------3-------------------------------------------------|\n
G|------2-0-------0-------0-----0-2p0-0-4p0-0-5b------------------|\n
D|0-0---------------0---------------------------------------------|\n
A|----------3-3---------------------------------------------------|\n
E|--------------------3-3-----------------------------------------|\n\n</t>
  </si>
  <si>
    <t>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d|----------------------------------------9--------9---8---------8------|\n
a|-6---------9--------7-------------------7------------6----------------|\n
E|----------------------------------------------------------------------|\n\n
e|---7--------7---------7------10\9-7--------7------------6-------------|\n
b|-----9--------9---------9-----------9---9----9-------8-----8----------|\n
g|-------8--------8---------8-------------8------8-----6-------6--------|\n
d|----------------------------------------9--------9---8----------------|\n
a|-6---------9--------7-------------------7------------6----------------|\n
E|----------------------------------------------------------------------|\n\n</t>
  </si>
  <si>
    <t>e|----------0-1-----3----------------|\n
B|------1-------1-----3--------------|\n
G|--------2-------2------------------|\n
D|----2------------------------------|\n
A|--0---------------------3-----2-3--|\n
E|----------------------3------------|\n\n</t>
  </si>
  <si>
    <t>eb|-----------------|-----------------|-----------------|-----------------|\n
Bb|-----------------|-----------------|-----------------|-----------------|\n
Gb|---------6-------|---------6-------|---------2-------|---------2-------|\n
Db|-----9-----9---9-|-----9-----9---9-|-----6-----6---6-|-----6-----6---6-|\n
Ab|---7---7-----7---|---7---7-----7---|---4---4-----4---|---4---4-----4---|\n
Eb|-5---------------|-5---------------|-2---------------|-2---------------|\n\n
eb|-----------------|------------------|-----------------|-----------------|\n
Bb|-----------------|------------------|-----------------|-----------------|\n
Gb|-----9---7-------|-----11---9-------|---------6-------|---------6-------|\n
Db|---7---7---7---7-|---9----9---9---9-|-----9-----9---9-|-----9-----9---9-|\n
Ab|-5-----------5---|-7------------7---|---7---7-----7---|---7---7-----7---|\n
Eb|-----------------|------------------|-5---------------|-5---------------|\n\n</t>
  </si>
  <si>
    <t>e|---2--2---------------0------0---0---4--4--5--7----5--5--5--0-----2---2---2---0--0---2--0--|\n
B|---------3--0----0---------------------------------------------3---------------------------|\n
G|-------------------------------------------------------------------------------------------|\n
D|-------------------------------------------------------------------------------------------| (x2)\n
A|-------------------------------------------------------------------------------------------|\n
E|-------------------------------------------------------------------------------------------|\n\n</t>
  </si>
  <si>
    <t>e|---------------------------------------------------------|\n
B|---------------------------------------------------------|\n
G|---9---7------5-----7-------9---7------5-------7---------|\n
D|-----7----7-----5-----7-------7----7------5--------5-5---|\n
A|-0----------0-----0-----0-0----------0------0------3-2-0-|\n
E|---------------------------------------------------------|\n\n</t>
  </si>
  <si>
    <t>e|--------------0------------------------0-----------|\n
B|----------1-------1----------------1-------1-------|\n
G|--------2-------------0----------0-------------0---|\n
D|------2------------------------2-------------------|\n
A|--0------------------------3-----------------------|\n
E|---------------------------------------------------|\n\n
e|----------2---2--------------------1---1-----------|\n
B|--------3---------3--------------1---------1-------|\n
G|------2---------------0--------2---------------0---|\n
D|--0------------------------3-----------------------|\n
A|---------------------------------------------------|\n
E|---------------------------------------------------|\n\n</t>
  </si>
  <si>
    <t>e|---------------------------|--------------------------|\n
B|---------------------------|--------------------------|\n
G|--------7b8--7-------------|---------------------5----|\n
D|--------------------7b8--7-|-(7)-----------5--------7-|\n
A|-0---0-----------0---------|------0--8--7-----7-------|\n
E|---------------------------|--------------------------| \n\n</t>
  </si>
  <si>
    <t>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
e|------------------------------------|------------------------------------|\n
B|------------------------------------|------------------------------------|\n
G|------------------------------------|------------------------------------|\n
D|---------------------9-----8-----7--|---------------------9-----8-----7--|\n
A|---------------------7-----7-----7--|---------------------7-----7-----7--|\n
E|--0--0---0--0--0--0-----0-----0-----|--0--0---0--0--0--0-----0-----0-----|\n\n</t>
  </si>
  <si>
    <t>e|------------------------------------|\n
B|------------------------------------|\n
G|------2-0--------0--------0-------0-|\n
D|----2----------0--------0-------0---|\n
A|--0----------2--------3-------2-----|\n
E|-----------3--------1-------3-------|\n\n</t>
  </si>
  <si>
    <t>e|------------------------|------------------------|\n
B|------------------------|------------------------|\n
G|-------0----------------|-------0----------------|\n
D|----4-----4-----4-----4-|----4-----4-----4-----4-|\n
A|-2-----------2-----5----|-0-----------0-----5----|\n
E|------------------------|------------------------|\n\n
e|------------------------|------------------------|\n
B|------------------------|------------------------|\n
G|-------0----------------|-------2----------------|\n
D|----4-----4-----4-----4-|----2-----2-----2-----2-|\n
A|-2-----------2-----5----|-4-----------4-----0----|\n
E|------------------------|------------------------|\n\n</t>
  </si>
  <si>
    <t>e|------------------|------------------|-------------------------------|\n
B|------------------|------------------|-------------------------------|\n
G|------------------|------------------|-------------------------------|\n
D|--------3-2--2----|-3-2--2-----------|-3-2--2------------------------|\n
A|--------3-2--2----|-3-2--2-----------|-3-2--2------------------------|\n
e|-1-3-1--1-0--0----|-1-0--0-----1-3-1-|-1-0--0------------------------|\n\n</t>
  </si>
  <si>
    <t>e|-----------------------|-----------------------------|\n
B|-----------------------|--------2h3p2----5-----5--2--|\n
G|-----------------------|-----2--------2--4-----4--2--|\n
D|-----------------------|-----------------------------|\n
A|-----------------------|--0--------------------------|\n
E|-------------------0h2-|-----------------4--4-----2--|\n\n
e|-------------------------|-------------------------|\n
B|-------2-----2-----2-----|--3-----3-----3-----3--2-|\n
G|-------2-----2-----2-----|--2-----2-----2-----1--2-|\n
D|-------------------------|-------------------------|\n
A|-------------------------|-----------------------0-|\n
E|----2-----2--0--0-----0--|--2--2-----2--0--0--0----|\n\n</t>
  </si>
  <si>
    <t>e|-9-7-9----10-9-10-9-7--10-9-10---------------------------|\n
B|-------7-----------------------7--12-10-12-10-9-12-10----|\n
G|---------------------------------------------------------|(x4)\n
D|---------------------------------------------------------|\n
A|---------------------------------------------------------|\n
E|---------------------------------------------------------|\n\n
e|----------------9-------------10-9--9-10--9-7-9----|\n
B|-9-10-12--10-12---12-10-9--------------------------|\n
G|--------------------------11-----------------------|\n
D|---------------------------------------------------|\n
A|---------------------------------------------------|\n
E|---------------------------------------------------|\n\n</t>
  </si>
  <si>
    <t>e|----------------2--0-0-0-0-0-0-----------------2-0-0-0-0-0-0-----------|\n
B|--------------3----1-1-1-1-1-1---------------3---1-1-1-1-1-1-----------|\n
G|--------0---2------0-0-0-0-0-0---------0---2-----2-2-2-2-2-2-----------|\n
D|------0---0--------2-2-2-2-2-2-------0---0-------2-2-2-2-2-2-----------|\n
A|----2--------------3-3-3-3-3-3-----2-------------0-0-0-0-0-0-----------|\n
E|--3------------------------------3-------------------------------------|\n\n</t>
  </si>
  <si>
    <t>e|-----------------|-----------------|-----------------|-----------------|\n
B|-1---------1-----|-0---------0-----|-3---------0-----|-1---------1-----|\n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B|-0---------0-----|-3---------3-----|-1---------1-----|-0---------0-----|\n
G|-------2-------2-|-------2-------2-|-------2-------2-|-------2-------2-|\n
D|-----2-------2---|-----2-------2---|-----2-------2---|-----2-------2---|\n
A|-0-------0-------|-0-------0-------|-0-------0-------|-0-------0-------|\n
E|-----------------|-----------------|-----------------|-----------------|\n\n
e|-----------------|-----------------|-----------------|-----------------|\n
B|-3---------3-----|-1---------1-----|-0---------0-----|-3---------3-----|\n
G|-------0-------0-|-------0-------0-|-------0-------0-|-------0-------0-|\n
D|-----2-------2---|-----2-------2---|-----2-------2---|-----2-------2---|\n
A|-3-------3-------|-3-------3-------|-3-------3-------|-3-------3-------|\n
E|-----------------|-----------------|-----------------|-----------------|\n\n
e|-----------------|-----------------|-----------------|-----------------|\n
B|-1---------1-----|-0---------0-----|-3---------3-----|-1---------------|\n
G|-------2-------2-|-------2-------2-|-------2-------2-|-------2---------|\n
D|-----2-------2---|-----2-------2---|-----2-------2---|-----2-----------|\n
A|-0-------0-------|-0-------0-------|-0-------0-------|-0-------0---2---|\n
E|-----------------|-----------------|-----------------|-----------------|\n\n</t>
  </si>
  <si>
    <t>e|-4-----4---|-3-----3---|-4-----4---|-3-----3---|\n
B|-6-----6---|-4-----4---|-3-----3---|-2--1--2--1|\n
G|----5-----5|----5-----5|----5-----5|-----------|\n
D|-----------|-----------|-----------|-----------|\n
A|-----------|-----------|-----------|-----------|\n
E|-----------|-----------|-----------|-----------|\n\n
e|-4-----4---|-6-----6---|--8-----8---|--8--------|\n
B|-6-----6---|-8-----8---|--9-----9---|--9--------|\n
G|----5-----5|----5-----5|------------|--10-------|\n
D|-----------|-----------|----10----10|--10-------|\n
A|-----------|-----------|------------|-----------|\n
E|-----------|-----------|------------|-----------|\n\n</t>
  </si>
  <si>
    <t>e|-----------------------------------------------------|\n
B|-----------------------------------------------------|\n
G|-----------------------------------------------------|\n
D|----------9-10-9----9---------9-10-9---------6-------|\n
A|-----------------12---12--11---------8-7-8-----------|\n
E|-12\--0----------------------------------------------|\n\n
e|-----------------------------------------------------|\n
B|-----------------------------------------------------|\n
G|-----------------------------------------------------|\n
D|-------9-10-9----9---------9-10-9---------6--7-------|\n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E|---0-----------------------------------------7-------|\n\n</t>
  </si>
  <si>
    <t>e|----5------5------5-5------------|\n
B|----5------5------5-5------------|\n
G|---------------------------------|\n
D|-------4-4-----------------------|\n
A|--------------------------2-3-4--|\n
E|2-2-----------2-2-----5----------|\n\n</t>
  </si>
  <si>
    <t>e|--3-----2--3--2--3--2--------------------------------------------------|\n
B|--3-----3--3--3--3--3--3--------3-----3--------3-----3--------3-----3--|\n
G|--0-----2-----------2--2--------0--0--0--------0--0--0--------0-----0--|\n
D|--0-----0-----------0--0-----2-----2--2-----0-----2--2-----0-----0-----|\n
A|--x--------------------------3--------------2--------------0-----0-----|\n
E|--3--------------------------------------------------------------------|\n\n</t>
  </si>
  <si>
    <t>e|----------|----------------------------|--------------------|\n
B|----------|----------------------------|--------------------|\n
G|----------|---14---12---11---7---5h7-5h|-7-5---7---2----(2)-|\n
D|----------|-0----0----0----0---0-------|-----0---0----------|\n
A|----------|----------------------------|--------------------|\n
E|----------|----------------------------|--------------------|\n\n
e|--------------------------------|-------------------------|\n
B|--------------------------------|--------------15----(15)-|\n
G|---14---12---16---14---12h14-12h|-14-12---14--------------|\n
D|-0----0----0----0----0----------|-------0----0------------|\n
A|--------------------------------|-------------------------|\n
E|--------------------------------|-------------------------|\n\n</t>
  </si>
  <si>
    <t>e|--------------------------------------|\n
B|--------0--1--------------------------|\n
G|--------2-------------------0-2-------|\n
D|-----2------- 2-0-2HP------------3--0-|\n
A|--0--------------------3---3----------|\n
E|-------------------------1------------|(x4)\n\n</t>
  </si>
  <si>
    <t>D|----------------------------------------------------------------------------|\n
A|----------------------------------------------------------------------------|\n
G|--2---2---2------2---2---2-------3---3---3------3---3---3-------------------|\n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
D|----------------------------------------------------------------------------|\n
A|----------------------------------------------------------------------------|\n
G|--7---7---7------2---2---2-------3---3---3------3---3---3-------------------|\n
D|--0---0---0------0---0---0-------0---0---0------0---0---0-------------------|\n
A|--5---5---5------5---5---5-------5---5---5------5---5---5-------------------|\n
D|-----------------------------0------------------------------0---------------|\n\n
D|---------------------------------------------------------------------------|\n
A|---------------------------------------------------------------------------|\n
G|--4---4---4------4---4---4-------5---5---5------5---5---5------------------|\n
D|--0---0---0------0---0---0-------0---0---0------0---0---0------------------|\n
A|--5---5---5------5---5---5-------5---5---5------5---5---5------------------|\n
D|-----------------------------0------------------------------0--------------|\n\n</t>
  </si>
  <si>
    <t>e|--------------------7--10--12--|------9----------9----------|\n
B|--7-----7-----7----------------|--11-----11-------------11--|\n
G|--7--7-----------7-----7---9---|--11---------11-----11------|\n
D|--9--------9-------------------|--8-------------------------|\n
A|--9----------------------------|----------------------------|\n
E|--7----------------------------|----------------------------|\n\n
e|--5-----5---7---5-------5-7-------|------7---7-------7-------|\n
B|------5---------------5-------5-7-|--7---------7---7---------|\n
G|----------------------------------|--7-----7-----7-----------|\n
D|--7---------------7---------------|--------------------------|\n
A|--------------------------7-------|--------------------------|\n
e|----------------------------------|--------------------------|\n\n
e|-----7-----7--------7-------------10--|\n
B|--8-----------8--------8--10h12-------|\n
G|--7-----7--------7--------------------|\n
D|--9-----------------------------------|\n
A|--------------------------------------|\n
E|--------------------------------------|\n\n
e|------10----------10----------10----------10------|\n
B|--10------------------------------10----------11--|\n
G|----------11--11------11--11----------------------|\n
D|--------------------------------------12----------|\n
A|--------------------------------------------------|\n
E|--------------------------------------------------|\n\n
e|-----7-----7--------7--7---------|------9------9----------9--|\n
B|--------------8--8--------8------|----------------11---------|\n
G|--9-----9--------------------9---|--11-----11---------11-----|\n
D|---------------------------------|---------------------------|\n
A|-----------------------------10--|--9------------------------|\n
E|---------------------------------|---------------------------|\n\n</t>
  </si>
  <si>
    <t>e|----------------------|----------------------|----------------------|----------------------|\n
B|----------------------|----------------------|----------------------|----------------------|\n
G|----------------3-3-0-|----------------6-6-6-|----------------3-3-0-|----------------6-6-6-|\n
D|-3--3-3-x-x-x-x-3-3-0-|-6--6-6-x-x-x-x-6-6-6-|-3--3-3-x-x-x-x-3-3-0-|-6--6-6-x-x-x-x-6-6-6-|\n
A|-3--3-3-x-x-x-x-1-1-0-|-6--6-6-x-x-x-x-4-4-4-|-3--3-3-x-x-x-x-1-1-0-|-6--6-6-x-x-x-x-4-4-4-|\n
E|-1--1-1-x-x-x-x-------|-4--4-4-x-x-x-x-------|-1--1-1-x-x-x-x-------|-4--4-4-x-x-x-x-------|\n\n</t>
  </si>
  <si>
    <t>e|------------------------------------------------------------------|\n
B|------------------------------------------------------------------|\n
G|------------------------------------------------------------------| (x3)\n
D|------------------------------------------------------------------|\n
A|-----------4-------5-------4-------2--------------2---------------|\n
E|-----2-2-------2-------2-------2-------5---4---5-----5---4---0----| \n\n
e|------------------------------------------------------------|\n
B|------------------------------------------------------------|\n
G|------------------------------------------------------------|\n
D|-----------------------------------7-------9----------------|\n
A|-----------4-------5-------4-------5-------7------(12\)-----|\n
E|-----2-2-------2-------2-------2------------------(12\)-----|\n\n</t>
  </si>
  <si>
    <t>e|------------------------------------|--------------------------------|\n
B|--0h4p0h7p0h4p0h7p0h4p0h7p0h4p0h7p0h|4p0h7p0h4p0h7p0h4p0h7p0h4p0h7p0h|\n
G|------------------------------------|--------------------------------|\n
D|------------------------------------|--------------------------------|\n
A|------------------------------------|--------------------------------|\n
E|------------------------------------|--------------------------------|\n\n
e|----------------------------------|--------------------------------|\n
B|--5p0h8p0h5p0h8p0h5p0h8p0h5p0h8p0h|5p0h8p0h5p0h8p0h5p0h8p0h5p0h8p0h|\n
G|----------------------------------|--------------------------------|\n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</t>
  </si>
  <si>
    <t>e|-------------------------------------------3----|\n
B|-------------------------------------------3----|\n
G|-2-b4-b2-p0-------------2-b4-b2-p0--------------|\n
D|------------2---0-2----------------2---0-2------|\n
A|------------------------------------------------|\n
E|--------------0-------0--------------0----------|\n\n</t>
  </si>
  <si>
    <t>e|------------------------------------|\n
B|------------------------------------|\n
G|-2-2--2--2--2--2---------5-----5b---|\n
D|-2-2--2--2--2--2----5----2-----2----|\n
A|------------------0---0-----0-------|\n
E|------------------------------------|\n\n</t>
  </si>
  <si>
    <t>e|-------------------|---------------------|\n
B|o----15-----17-----|-13-----13---15---15-|\n
G|-----16-----17-----|-14-----14---16---16-|\n
D|-----17-----17-----|-15-----15---17---17-|\n
A|o------------------|---------------------|\n
E|-------------------|---------------------|\n\n
e|----------------------|----------------------|\n
B|-(15)--17-----13---10-|-(10)--8---8--(8)----o|\n
G|-(16)--17-----14---10-|-(10)--9---7--(7)-----|\n
D|-(17)--17-----15---10-|-(10)-10--10-(10)-----|\n
A|----------------------|---------------------o|\n
E|----------------------|----------------------|\n\n</t>
  </si>
  <si>
    <t>e|-----------------|---------------|----------------|------------------|\n
B|-----------------|---------------|----------------|------------------|\n
G|--0---3---5----0-|---3---6-5-----|-0---3---5----3-|---0----(0)-------|\n
D|--0---3---5----0-|---3---6-5-----|-0---3---5----3-|---0----(0)-------|\n
A|-----------------|---------------|----------------|------------------|\n
E|-----------------|---------------|----------------|------------------|\n\n</t>
  </si>
  <si>
    <t>e|----------------------------|\n
B|----------------------------|\n
G|-9-9-9--------------5--7-7--|\n
D|-9-9-9---5-5---7-7--5--7-7--|\n
A|-7-7-7---5-5---7-7--3--5-5--|\n
E|---------3-3---5-5----------|\n\n</t>
  </si>
  <si>
    <t>e|----------------------------------------------|\n
B|------------3-3-3----3-3-3----3-3-3----3------|\n
G|---2-2-2----2-2-0----2-2-0----2-2-0----2--2-2-|\n
D|---2-2-2----0-0-0----0-0-0----0-0-0----0--2-2-|\n
A|---0-0-0----------------------------------0-0-|\n
E|--------------2-3------2-3------2-3-----------|\n\n</t>
  </si>
  <si>
    <t>e|------|---------------------------------------------|-------|\n
B|--2---|---------------------------------------------|-------|\n
G|--4br-|-2---4---5-5---2-4-5---2---4---5-5---5-4---2-|-------|\n
D|------|-2---4---5-5---2-4-5---2---4---5-5---5-4---2-|-------|\n
A|------|---0---0-----------------0---0-----------0---|-------|\n
E|------|---------------------------------------------|-0-3-4-|\n\n</t>
  </si>
  <si>
    <t>[Intro]
e|----------8--------|-11------11----11-----11-----11-----11------|\n
B|---------b7--------|--------------------------------------------|\n
G|-------------------|---12p11--12p11--12p11--12p11--12p11--12p11-|\n
D|-7---7-7-----------|--------------------------------------------|\n
A|-0---0-0-----------|--------------------------------------------|\n
E|-------------------|--------------------------------------------|\n\n
e|----------8--------|-17-17-17-17------17---17---17--17--|\n
B|---------b7--------|------------------------------------|\n
G|-------------------|-14-14-14-14------14---14---14--14--|\n
D|-7---7-7-----------|------------------------------------|\n
A|-0---0-0-----------|------------------------------------|\n
E|-------------------|------------------------------------|\n\n
[Verse]
e|--------------------|--------------------|--------------------|--------------------|\n
B|--------------------|--------------------|--------------------|--------------------|\n
G|----7---6---5-------|--------7---8---9---|----7---6---5-------|-----------8--7-----|\n
D|-7-------------5--5-|-7------------------|-7-------------5--5-|-7------7--------5--|\n
A|--------------------|--------------------|--------------------|--------------------|\n
E|--------------------|--------------------|--------------------|--------------------|\n\n</t>
  </si>
  <si>
    <t>e|-----------------|-----------------|---------0-------|-----------------|\n
B|---------9-------|-----------------|---------5-------|-----------------|\n
G|o--------9-------|-----------------|---------7-------|-----------------|\n
D|o--------9-------|-----------------|---------7-------|-----------------|\n
A|---------7-------|-----------------|-----------------|-----------------|\n
E|-0-0---0---------|-----------------|-0-0---0---------|-----------------|\n\n
e|---------3-------|-----------------|---------0-------|-----------------|\n
B|---------3-------|-----------------|---------3-------|-----------------|\n
D|---------2-------|-----------------|---------5-------|----------------o|\n
G|---------2-------|-----------------|---------5-------|----------------o|\n
A|---------0-------|-----------------|-----------------|-----------------|\n
E|-0-0---0---------|-----------------|-0-0---0---------|-----------------|\n\n
e|-----------------|-----------------|\n
B|-3-----3-----3---|---3-----3---3---|\n
G|-0-----0-----2---|---0-----0---2---|\n
D|-x-----x-----x---|---x-----x---2---|\n
A|-3-----2-----0---|---3-----2---0---|\n
E|-----------------|-----------------|\n\n</t>
  </si>
  <si>
    <t>cJpB_AEZf6U</t>
  </si>
  <si>
    <t>e|---------------------|------------------|---------------|\n
B|---------------------|------------------|---------------|\n
G|---------------------|------------------|---------------|\n
D|-------5-------------|----5-------------|----5----------|\n
A|----7-----------7----|-7-----------7----|-7-----------7-|\n
E|-0--------6--5-----0-|-------6--5-----0-|-------6--5----|\n\n</t>
  </si>
  <si>
    <t>pKwQlm-wldA</t>
  </si>
  <si>
    <t>e|--------3--------1-----------------------|-------------|\n
B|---------------------------5----------3--|-------------|\n
G|--2/4-------1/2--------------------------|-------------|\n
D|----------------------3/5-------3/5------|---3---0-----|\n
A|-----------------------------------------|-------------|\n
E|-----------------------------------------|-------------|\n\n</t>
  </si>
  <si>
    <t>e|---------------|------------------|-----------------|------------------|
B|-------------6-|-(6)--------------|-----------------|------------------|\n
G|-7--7--7-5-7-5-|-(5)--7-5-5-3---0-|----0--(0)-3---0-|-----------5--3-0-|\n
D|-5--5--5-5-5---|--5---5-5-5-3-x-0-|-x--0--(0)-3-0-0-|-3--(3)/5--3--3-0-|\n
A|---------------|------------------|-----------------|-1--(1)/3---------|\n
E|---------------|------------------|-----------------|------------------|\n\n
e|--------------------|---------------------|------------------------|----------------|\n
B|--------------------|-----8-----------0---|--------------------0---|----------------|\n
G|-------7--(7)-5-7-7-|-(7)---5-7-5-3-0---0-|-----------0--(0)-3-0---|----------------|\n
D|-(5)---5---5--5-5-5-|--5----5-5-5-3-0---0-|-----(4)---0---0------0-|-3--(3)/5--5~---|\n
A|--------------------|---------------------|---x--------------------|-3--(3)/5--5~---|\n
E|--------------------|---------------------|-x----------------------|----------------|\n\n</t>
  </si>
  <si>
    <t>e|---------------------------------------------------------------------------|\n
B|---------------------------------------------------------------------------|\n
G|------4--4-4---4-4-4--4/6-6-6--6b-6-6/4--4-4--4-4-4-(4)--4-4-4--4----------|\n
D|------x--x-x---x-x-x--x-x-x-x--x--x-x-x--x-x--x-x-x-(x)--x-x-x--x--0-------|\n
A|------2--2-2---2-2-2--2/4-4-4--4b-4-4/2--2-2--2-2-2-(2)--2-2-2--2--0-------|\n
E|-15/-----------------------------------------------------------------------|\n\n</t>
  </si>
  <si>
    <t>e|--------------------------------|-----------------------------|\n
B|---10---10-10-5-5/6-6-6-6-6-6/5-|---10---10-10-5-5/6--8p6h8p6-|\n
G|--------------------------------|-----------------------------|\n
D|--------------------------------|-----------------------------|\n
A|-8----8-------3-3/4---------4/3-|-8----8-------3-3/4----------|\n
E|--------------------------------|-----------------------------|\n\n</t>
  </si>
  <si>
    <t>e|-------------------------|----------------------------|-------------------------|------------------------|\n
B|-------------------------|----------------------------|----------8b~------------|------------------------|\n
G|-------------------------|----------------------------|-------7-----------------|------------------------|\n
D|-------8-----------8-----|---------8------------8-----|---/9--------7~-------(7)|--5---------------------|\n
A|-------------------------|----------------------------|-------------------------|-----5-----5/7~---------|\n
E|-6-----------6-----------|--6------------6------------|-------------------------|--------0---------------|\n\n
e|-------------------------|---------------------------|-------------------------|-------------------------|\n
B|--------------8b~--------|---------------------------|-------------------------|-------------------------|\n
G|----------7--------------|---------------------------|-------------------------|-------------------------|\n
D|----/9------------7------|-(7)\/5--------------------|--------5---7---7b---5~--|-------5-----------------|\n
A|-------------------------|----------5-------5/7~-----|--5/7--------------------|-----------0-----3~----0-|\n
E|-------------------------|--------------0------------|-------------------------|--------------0----------|\n\n
e|-------------------------|----------------------------|-------------------------|------------------------|\n
B|-------------------------|----------------------------|-------------------------|------------------------|\n
G|-------------------------|------------------7---7--9~-|-------0-----------------|------------------------|\n
D|--------5--7b----5h7-(7)~|-----5-------/9-------------|-------------------------|------------------------|\n
A|---5/7-------------------|---------5------------------|-------------------------|------------------------|\n
E|-------------------------|----------------------------|-------------15\---------|------------------------|\n\n</t>
  </si>
  <si>
    <t>e|----------------------|----------------------------|\n
B|---------5------------|----------------------------|\n
G|-1--2/4-----6----4----|-4----4---------------------|\n
D|-2--4/6-----7----7----|-4----4h6p4h6---------------|\n
A|----------------------|----------------------------|\n
E|----------------------|----------------------------|\n\n
e|-----------------4----|-2h4p2p0----0--0-----------|\n
B|---------5-------5----|---------0--0--0-----------|\n
G|-1--2/4-----6---------|---------------------------|\n
D|-2--4/6-----7---------|---------------------------|\n
A|----------------------|---------------------------|\n
E|----------------------|---------------------0-----|\n\n</t>
  </si>
  <si>
    <t>e|----------------------|--------------------------|---------------------------|\n
B|----------------------|--------------------------|-----------7h8p7-----------|\n
G|--w/ad lib. feedback--|--------6--------6--7-----|--6--7--9---------9--7--6--|\n
D|----------------------|--8--9-----8--9--------9--|---------------------------|\n
A|----------------------|--------------------------|---------------------------|\n
E|----------------------|--------------------------|---------------------------|\n\n
e|--------------------------|-----------------------------|--------------------------|\n
B|--------------------------|--------7--7h8p7------7------|--7-----------------7--9--|\n
G|-----6--7-----6--7--9--6--|--7--9------------10-----10--|-----7-----------7--------|\n
D|--9--------9--------------|-----------------------------|--------7-----7-----------|\n
A|--------------------------|-----------------------------|-----------9--------------|\n
E|--------------------------|-----------------------------|--------------------------|\n\n
e|---------------------------|--------------------------|---------------------------|\n
B|--9br--7------7------------|--------------------------|-----------7h8p7-----------|\n
G|----------10-----7--6--7---|--------6--------6--7-----|--6--7--9---------9--7--6--|\n
D|---------------------------|--8--9-----8--9--------9--|---------------------------|\n
A|---------------------------|--------------------------|---------------------------|\n
E|---------------------------|--------------------------|---------------------------|\n\n</t>
  </si>
  <si>
    <t>eb|-------------------------------|----------------------------------|\n
Bb|-------------------------------|----------------------------------|\n
Gb|-------------------------------|----------------------------------|\n
Db|-------------------------------|----------------------------------|\n
Ab|-7--7--5----x--7---7--5--4-----|-7--7----5----x--7---7---5--4-----|\n
Eb|-5--5--3----x--5---5--3--2--0--|-5--5----3----x--5---5---3--2--0--|\n\n
eb|----------------------------------|---------------------------------|\n
Bb|----------------------------------|---------------------------------|\n
Gb|----------------------------------|--7p5---7p5----------------------|\n
Db|----------------------------------|------7-----7-5------------------|\n
Ab|-7--7----5----x--7---7---5--4-----|----------------7-6-5/3-5-3------|\n
Eb|-5--5----3----x--5---5---3--2--0--|----------------------------5-3--|\n\n</t>
  </si>
  <si>
    <t>e|---------------------------------|--------------------------------------|\n
B|---------------------------------|--------------------------------------|\n
G|---------------------------------|--------------------------------------|\n
D|---------7-------7--/9---9-------|-12/11-12/11-12-/-7---7--/9---9-------|\n
A|-9-------5-------5--/7---7-------|-10/9--10/9--10-/-5---5--/7---7-------|\n
E|-7-------------------------------|--------------------------------------|\n\n</t>
  </si>
  <si>
    <t>[Main Riff/Intro]\n
eb|-----|-----------------|-----------------|-----------------|-------------|\n
Bb|-----|-----------------|-----------------|-----------------|-------------|\n
Gb|-----|-----------------|-----------------|-----------------|-------------|\n
Db|-----|--------5-2----4-|---2-0---0-------|--------5-2----4-|---2-0-------|\n
Ab|-----|------2----------|-----------------|------2----------|-------------|\n
Eb|---0-|(0)-3------------|---------------0-|(0)-3------------|-------------|\n\n
[Verse Riff]\n
eb|------------------|-------------|------------------|-------------|\n
Bb|------------------|-------------|------------------|-------------|\n
Gb|--x-9-9---9---x-7-|-7---7-------|--x-9-9---9---x-7-|-7---7-------|\n
Db|--x-9-9---9---x-7-|-7---7-------|--x-9-9---9---x-7-|-7---7-------|\n
Ab|--x-7-7---7---x-5-|-5---5-------|--x-7-7---7---x-5-|-5---5-------|\n
Eb|------------------|-------------|------------------|-------------|\n\n
eb|-----------------|-------------|-----------------|-------------|\n
Bb|-----------------|-------------|-----------------|-------------|\n
Gb|-x-5-5---5---x-7-|-7---7-------|-x-9-9---9---x-7-|-7---7-------|\n
Db|-x-5-5---5---x-7-|-7---7-------|-x-9-9---9---x-7-|-7---7-------|\n
Ab|-x-3-3---3---x-5-|-5---5-------|-x-7-7---7---x-5-|-5---5-------|\n
Eb|-----------------|-------------|-----------------|-------------|\n\n</t>
  </si>
  <si>
    <t>e|-------------------0---------0-----------0------0----0---0-----|\n
B|-----------------------3/5------0------------3-----0---0-------|\n
G|---------------------------------------------------------------|\n
D|-------------0-------------------------------------------------|\n
A|---------0-----------------------------------------------------|\n
E|-0-0-2/3----------------------------0--------------------------|\n\n</t>
  </si>
  <si>
    <t>e|-----------------------------------------------------------------------|\n
B|----------3---------------3----------------3----------------3----------|\n
G|------2-------2-------3-------3--------0-------0--------2-------2------|\n
D|--0-------------------------------------------------0------------------| (4x)\n
A|-------------------1---------------3-----------------------------------|\n
E|-----------------------------------------------------------------------|\n\n
e|------------10--10-----------------------10--10-------------------------|\n
B|---------10--------10-----------------10--------10----------------10----|\n
G|------10--------------10-----------10--------------10-----9-10-12-------|\n
D|---12--------------------12-----12---------------------12---------------|\n
A|------------------------------------------------------------------------|\n
E|------------------------------------------------------------------------|\n\n
e|-----------13--13/12--------------------12--10-------------------------|\n
B|--------13-----------13--------------13--------10----------------------|\n
G|-----14-----------------14--------14--------------10-------------------|\n
D|--15---------------------------14--------------------12----------------|\n
A|-----------------------------------------------------------------------|\n
E|-----------------------------------------------------------------------|\n\n</t>
  </si>
  <si>
    <t>e|---------------------------|---------------------------|\n
B|-3----------3--------------|-2-------------------------|\n
G|-------2-------2-----------|------------3--------------|\n
D|----4-----4----------------|-------4-------4---4-2-----|\n
A|-5-----------------4-2-----|----4-----4------------5-2-|\n
E|-----------------------5-4-|-2-------------------------|\n\n
e|-----------------------------|---------------------------|\n
B|-3-----------3h5p3-----------|---------------------------|\n
G|---------2---------2---------|------------3--------------|\n
D|-----4-----4-----------4/6-6-|-------4-------4---4-2-----|\n
A|-4/5---5---------------5/7-7-|----4-----4------------5-2-|\n
E|-----------------------------|-2-------------------------|\n\n
e|-----------------------------|---------------------------|\n
B|-3------------3--------------|-2-------------------------|\n
G|---------2-------2-----------|------------3--------------|\n
D|-----4------4----------------|-------4-------4---4-2-----|\n
A|-4/5---5-------------4-2-----|----4-----4------------5-2-|\n
E|-------------------------5-4-|-2-------------------------|\n\n
e|------------------------------|----------------------------|\n
B|-3------------3h5p3-----------|----------------------------|\n
G|---------2----------2---------|------------3-------3-------|\n
D|-----4------4-----------4/6-6-|-------4-------4------4-----|\n
A|-4/5---5----------------5/7-7-|----4-----4------4------4/7-|\n
E|------------------------------|-2--------------------------|\n\n</t>
  </si>
  <si>
    <t>e|---------13-------------------12------------------10-------|\n
B|-----------------------------------------------------------|\n
G|----14-------14---------12-------12--------10---------10---|\n
D|--0-------------------0-----------------0------------------|\n
A|-----------------------------------------------------------|\n
E|-----------------------------------------------------------|\n\n
e|---------8----------------5-----------------------3------------3/1---|\n
B|---------------------------------------------------------------------|\n
G|----9------9--------5--------5------------4----------4---------4/2---|\n
D|-0-------------0--------------------0--------------------------------|\n
A|---------------------------------------------------------------------|\n
E|---------------------------------------------------------------------|\n\n</t>
  </si>
  <si>
    <t>e|---------|---------------------------|--------------------------|\n
B|---------|---------------------------|--------------------------|\n
G|-------0-|-2-------------------2-2-2-|-2----------------------0-|\n
D|-----0---|-2----0h7h9---7vvvv--2-2-2-|-2----0h7h9--7-9b10r9-7-0-|\n
A|-10/-----|-0-/7----------------0-0-0-|-0-/7---------------------|\n
E|---------|---------------------------|--------------------------|\n\n
e|---------------------------|--------------------------|\n
B|---------------------------|--------------------------|\n
G|-2-------------------0-0-0-|-2----------------------0-|\n
D|-2----0h7h9---7vvvv--0-0-0-|-2----0h7h9--7-9b10r9-7-0-|\n
A|-0-/7----------------0-0-0-|-0-/7---------------------|\n
E|---------------------------|--------------------------|\n\n</t>
  </si>
  <si>
    <t>e|-------------------------------------------------|\n
B|-------------------------------------------------|\n
G|------------------------2-2-----4-4--------------|\n
D|--2-2-----2-2-----------2-2-----4-4--------------|\n
A|--2-2-----2-2-----------0-0-----2-2--------------|\n
E|--0-0-----0-0-0H3B-------------------0H3B--------|\n\n</t>
  </si>
  <si>
    <t>e|------------------|---------------|\n
B|------------------|---------------|\n
G|------------------|---------------|\n
D|------------------|------5--7-----|\n
A|7---7---7------7--|--7-7---7------|\n
E|------------------|---------------| \n\n</t>
  </si>
  <si>
    <t>e|-----------------------|-------------|\n
B|-----------------------|-------------|\n
G|-----------------------|-------------|\n
D|-11\------6--7-7--9\---|--2----------|\n
A|--9\------4--5-5--7\---|----4-3-2----|\n
E|-----------------------|-------------|\n\n</t>
  </si>
  <si>
    <t>e|-------------|------|-3-----2--------------|\n
B|-------------|------|-3-----3-----1--------|\n
G|(2)--2-----2-|------|-0-----2-----0-----0--| \n
D|-2--(2)---(2)|-(5x)-|-0-----0-----2-----0--|\n
A|-0-----3p0(0)|------|-------------3-----2--|\n
E|-------------|------|----------------------|\n\n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</si>
  <si>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</si>
  <si>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</si>
  <si>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</si>
  <si>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</si>
  <si>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</si>
  <si>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</si>
  <si>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</si>
  <si>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</si>
  <si>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</si>
  <si>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</si>
  <si>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</si>
  <si>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</si>
  <si>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</si>
  <si>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</si>
  <si>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</si>
  <si>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e|------------------------------------|\n
B|------------------------------------|\n
G|-------8-------4-------6------------|\n
D|----6-------2-------4----------6-7--|\n
A|-4-------0-------2----------4-------|\n
E|-------------------------2----------|\n\n</t>
  </si>
  <si>
    <t>https://tabs.ultimate-guitar.com/tab/led_zeppelin/stairway_to_heaven_tabs_9488</t>
  </si>
  <si>
    <t>https://tabs.ultimate-guitar.com/tab/ritchie_valens/la_bamba_tabs_442995</t>
  </si>
  <si>
    <t>e|-------|-------------|-------------------|\n
B|-------|-------------|-------------------|\n
G|-------|-------0---2-|-0-------3-3-2-0---|\n
D|-------|-----2---3---|-------0-----------|\n
A|---0-2-|---3---------|-----2-------------|\n
E|-3-----|-------------|---3---------------|\n\n</t>
  </si>
  <si>
    <t>https://tabs.ultimate-guitar.com/tab/kansas/carry_on_wayward_son_tabs_441987</t>
  </si>
  <si>
    <t>e|----------------------------------------------|\n
B|----------------------------------------------|\n
G|----------------------------------------------|\n
D|-----------------------5----------------------|x2\n
A|---------3-------5-5-/7---7p5-3--5---5--------|\n
E|---5-3-5----5-3-5-----------------3---2-------|\n\n
e|-----------------------------------------------------|\n
B|--------12-12--------------------14-12---------------|\n
G|--------12-12--------------------14-12---------------|\n\n
D|--------12-12--------5-----------14-12--------5------|x2\n
A|---2-2-------------5---5h7--2-2-------------5---5h7--|\n
E|---0-0---------5h7----------0-0---------5h7----------|\n\n
[Solo]
e|--------------------------------------------------------------------|\n
B|--------------------------------------------------------------------|\n
G|-5~-7b(half)--5--------------2-5p2p0-5p2p0-5p2p0-5p2p0--------------|\n
D|-5~------------7p5--------------------------------------------------|\n
A|-------------------7p6p5/3-5v---------------------------------------|\n
E|--------------------------------------------------------------------|\n\n
e|--------------------------17------17------20p17---17----------------|\n
B|-----------------------17---20p17---20p17------20---20p17-----------|\n
G|-5p2p0-5p2p0-5-/17v-19b-----------------------------------19-17-17--|\n
D|--------------------------------------------------------------------|\n
A|--------------------------------------------------------------------|\n
E|--------------------------------------------------------------------|\n\n
e|-------------------------------|--22b-22b-|-22b-22b--|5---5-7-5-7-8--|\n
B|-----10p8--10p8--8-------------|----------|----------|5-5-5-8-5-8-10-|\n
G|--/9-----9-----9---9-7-5h7-5v--|----------|----------|--5------------|\n
D|-------------------------------|----------|----------|---------------|\n
A|-------------------------------|----------|----------|---------------|\n
E|-------------------------------|----------|----------|---------------|\n\n</t>
  </si>
  <si>
    <t>https://tabs.ultimate-guitar.com/tab/metallica/master_of_puppets_tabs_47673</t>
  </si>
  <si>
    <t>https://tabs.ultimate-guitar.com/tab/pantera/cemetery_gates_tabs_156251</t>
  </si>
  <si>
    <t>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D|--2--2-2-2-2---------------9------|--2--2-2-2-2-------------------------------|(x3)\n
A|--0--0-0-0-0--7-6-7--8-7-8---7-8--|--0--0-0-0-0--7-6-7--8-6-7---6-------------|\n
E|----------------------------------|---------------------------8---7~~---------|\n\n
e|----------------------------------|-------------------------------------------|\n
B|----------------------------------|-------------------------------------------|\n
G|----------------------------------|-------------------------------------------|\n
D|--2--2-2-2-2---------------9------|--2--2-2-2-2-----------------2--3----------|\n
A|--0--0-0-0-0--7-6-7--8-7-8---7-8--|--0--0-0-0-0--7-6-7--8-6-7---0--1----------|\n
E|----------------------------------|-------------------------------------------|\n\n
e|-------------------------------------------|\n
B|-------------------------------------------|\n
G|-------------------------------------------|\n
D|---------2-2-2--4-4-4--5-------------------|\n
A|--4-4-4--0-0-0--2-2-2--3--2--3-------------|\n
E|--2-2-2-------------------0--1-------------|\n\n</t>
  </si>
  <si>
    <t>https://tabs.ultimate-guitar.com/tab/metallica/nothing_else_matters_tabs_8519</t>
  </si>
  <si>
    <t>https://tabs.ultimate-guitar.com/tab/jethro_tull/aqualung_tabs_193316</t>
  </si>
  <si>
    <t>e|------------------------|\n
B|------------------------|\n
G|------------------------|\n
D|------------------------|\n
A|--5--------3--4~----3---|\n
E|-----3--6---------------|\n\n
e|----------------------------------------------------------------------------------------------------|\n
B|----------------------------------------------------------------------------------------------------|\n
G|----------------------------------------------------------------------------------------------------|\n
D|--------------------------6-----6--6--\---------8--8----8-------10----10-10-------------------------|\n
A|--5--------3--4~----3-----4-----4--4--\---------6--6----6-------8-----8--8-----6--8--6--8--9--------|\n
E|-----3--6--------------------------------------------------------------------------------------9~---|\n\n
e|----------------------------------------|\n
B|----------------------------------------|\n
G|----------------------------------------|\n
D|----------------------------------------|\n
A|--6--6--6--6-----9-----9--7-(7)----5~---|\n
E|--------------9-(9)----------7----------|\n\n</t>
  </si>
  <si>
    <t>https://www.youtube.com/watch?v=p32b5nNq1zw</t>
  </si>
  <si>
    <t>e|-----------------------------------|---------------------------------------|\n
B|-----------------------------------|-----------------5-5---------5---------|\n
G|-7-------7-7-9-9-10-10-9-9-7-7-9-9-|-5-------5-5-7-7-----7-7-5-5---5-------| x2\n
D|-----7-7---------------------------|-----5-5-------------------------------|\n
A|-----------------------------------|---------------------------------------|\n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G|-----------------------------------|-----------------4-4---------4---------|\n
D|-7-7-----7-7-9-9-10-10-9-9-7-7-9-9-|-5-5-----5-5-7-7-----7-7-5-5---5-------|\n
A|-----7-7---------------------------|-----5-5-------------------------------|\n
E|-----------------------------------|---------------------------------------|\n\n
e|-----------------------------------|---------------------------------------|\n
B|-----------------------------------|---------------------------------------|\n
G|-----------------------------------|-----------------2-2---------2---------|\n
D|-7-7-----7-7-9-9-10-10-9-9-7-7-9-9-|-3-3-----3-3-5-5-----5-5-3-3---3-------|\n
A|-----7-7---------------------------|-----3-3-------------------------------|\n
E|-----------------------------------|---------------------------------------|\n\n</t>
  </si>
  <si>
    <t>https://tabs.ultimate-guitar.com/tab/rush/yyz_tabs_55096</t>
  </si>
  <si>
    <t>e|---------------------------------|---------------------------------|\n
B|---------------------------------|---------------------------------|\n
G|o2-2---2-------------------------|-2-2---2-------------------------|\n
D|o----4---4-3-2-------------------|-----4---4-2---------------------|\n
A|-----------------4---------------|-------------4---2-----4---------|\n
E|---------------------------------|-----------------------------2---|\n\n
e|---------------------------------|---------------------------------|\n
B|---------------------------------|---------------------------------|\n
G|-2-2---2-------------------------|-2-2---2-------------------------|\n
D|-----4---4-3-2-------------------|-----4---4-2---------------------|\n
A|-----------------4---------------|-------------4-3-2-----4---------|\n
E|---------------------------------|-----------------------------2---|\n\n
e|---------------------------------|---------------------------------|\n
B|---------------------------------|---------------------------------|\n
G|-5-5---5-------------------------|-5-5---5-------------------------|\n
D|-----7---7-6-5-------------------|-----7---7-5---------------------|\n
A|-----------------7---------------|-------------7-6-5-----7---------|\n
E|---------------------------------|-----------------------------5---|\n\n
e|---------------------------------|---------------------------------|\n
B|---------------------------------|---------------------------------|\n
G|-5-5---5-------------------------|-5-5---5------------------------o|\n
D|-----7---7-6-5-------------------|-----7---7-5-----5-5---5---5----o|\n
A|-----------------7---------------|-------------7-------7-------7\--|\n
E|---------------------------------|---------------------------------|\n\n</t>
  </si>
  <si>
    <t>https://tabs.ultimate-guitar.com/tab/santana/samba_pa_ti_tabs_2121</t>
  </si>
  <si>
    <t>e|-----------------||-------------|---------------|----------------|\n
B|---------------8-||-------------|-6/7---7h8p7---|----------------|\n
G|---------7-8h9---||-5h7-----4h7-|---------------|----------------|\n
D|--7-9-10---------||--------5----|-------------9-|----------------|\n
A|-----------------||-------------|---------------|----------------|\n
E|-----------------||-------------|---------------|----------------|\n\n
e|------------------|-------------|---------------|----------------|\n
B|----------------8-|-------------|-6/7-7--7h8p7--|----------------|\n
G|----------7-8h9---|-5h7-----4h7-|---------------|----------------|\n
D|---7-9-10---------|--------5----|-------------9-|----------------|\n
A|------------------|-------------|---------------|----------------|\n
E|------------------|-------------|---------------|----------------|\n\n
e|--5h7-5h7p5---------5----|-----7------|--5h7p5h7p5---------------|\n
B|------------8-(8)p5-8b10-|-----10b12--|------------8----(8)p5----|\n
G|-------------------------|------------|--------------------------|\n
D|-------------------------|------------|--------------------------|\n
A|-------------------------|------------|--------------------------|\n
E|-------------------------|------------|--------------------------|\n\n
e|-----------------|----------------------|---------|-----------------|\n
B|-8b10r8p5-5h7p5--|---------5---------5--|---------|------4/5h7------|\n
G|---------------7-|-(7)------7-5\4/5h7---|---------|-4--7-------4--7-|\n
D|-----------------|--------------------7-|-(7)-----|-----------------|\n
A|-----------------|----------------------|---------|-----------------|\n
E|-----------------|----------------------|---------|-----------------|\n\n
e|-5h7-5h7p5-5---------5----|-(5)----|-----------------|--------------|\n
B|-------------8-8p5-8-8b10-|-(8b10)-|---------------8-|--------------|\n
G|--------------------------|--------|---------7-8h9---|-5h7------4-7-|\n
D|--------------------------|--------|--7-9-10---------|--------------|\n
A|--------------------------|--------|-----------------|--------------|\n
E|--------------------------|--------|-----------------|--------------|\n\n</t>
  </si>
  <si>
    <t>https://tabs.ultimate-guitar.com/tab/dick_dale/misirlou_tabs_93843</t>
  </si>
  <si>
    <t>e|------------------------------------------------|\n
B|------------------------------------------------|\n
G|------------------------------------------------|\n
D|------------------------------------------------|\n
A|------------------------------------------------|\n
E|-12\1-0-0-0-0-0-0-0-0-0-0-0-0-0-0-0-0-0-0-0-0-0-|\n\n
e|-----------------------------------------------------|\n
B|-----------------------------------------------------|\n
G|-----------------------------------------------------|\n
D|-----------------------------------------------------|\n
A|-----------------------------------------------------|\n
E|-1-1-1-4-4-4-5-5-5-7-7-7-7-7-7/11-8-7-7-7-7-7-7-7\1--|\n\n
e|--------------------------------------------------------|\n
B|--------------------------------------------------------|\n
G|--------------------------------------------------------|\n
D|--------------------------------------------------------|\n
A|--------------------------------------------------------|\n
E|-0-0-0-0-0-0-0-0-0-0-1-1-1-4-4-4-5-5-5-7-7-7-7-7-7/11-8-|\n\n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D|-------------------------------------------------------------------|n
A|-------------------------------------------------------------------|n
E|-7-7-7-7-7-7-7-7-7-7-7-7-8-7-8-7\5-7-5-7-5-4-1-4-4-4-4-4-4-4-4-4-4-|\n\n
e|------------------------------------------------|\n
B|------------------------------------------------|\n
G|------------------------------------------------|\n
D|------------------------------------------------|\n
A|------------------------------------------------|\n
E|-7-5-7-5-4-5-4-5-4-1-0-0-0~~~~~~~~~~~~~~~~~~~~~-|\n\n</t>
  </si>
  <si>
    <t>https://tabs.ultimate-guitar.com/tab/neil_zaza/im_alright_tabs_351613</t>
  </si>
  <si>
    <t>e|-------------------|-------------------|----------------------11--12--|\n
B|-------------------|-------------------|--------9---------12----------|\n
G|-------------------|-------------------|--------------11--------------|\n
D|-------------------|-------------------|-----9-----9------------------|\n
A|-------------------|-------------------|--7---------------------------|\n
E|-------------------|-------------------|------------------------------|\n\n
e|--------------19--17--16h-17p-16---------|----------------------------------|\n
B|----------17---------------------19--17--|----------12----------14--16--17--|\n
G|-----------------------------------------|----------------------------------|\n
D|------18---------------------------------|------14----------14--------------|\n
A|--16-------------------------------------|--11----------12------------------|\n
E|-----------------------------------------|----------------------------------|\n\n
e|---------------------------------|--------------------------16--17--|\n
B|----------17--16b----------------|----------21----------19----------|\n
G|---------------------16----------|----------------------------------|\n
D|------18-----------------16------|------21----------21--------------|\n
A|--16-------------------------14--|--19----------18------------------|\n
E|---------------------------------|----------------------------------|\n\n
e|----------------------------------|----------------------------------|\n
B|----------17--16------------------|----------12----------14--16--17--|\n
G|------------------16--------------|----------------------------------|\n
D|------18--------------16--14--13--|------14----------14--------------|\n
A|--16------------------------------|--11----------12------------------|\n
E|----------------------------------|----------------------------------|\n\n
e|-----------------------------19~----|----------------------11--12--|\n
B|----------17-------------19---------|--------9---------12----------|\n
G|------------------------------------|--------------11--------------|\n
D|------18-------------21-------------|-----9-----9------------------|\n
A|--16----------16S-18----------------|--7---------------------------|\n
E|------------------------------------|------------------------------|\n\n</t>
  </si>
  <si>
    <t>https://tabs.ultimate-guitar.com/tab/chuck_berry/johnny_b_goode_chords_319116</t>
  </si>
  <si>
    <t>e|----------5/6-6-6-5/6-6-6-6-6-6------------------------------------|\n
B|-------6--5/6-6-6-5/6-6-6-6-6-6-9-8-6-6----------------------------|\n
G|---6h7--------------------------------6h7--------------------------|\n
D|-8----------------------------------------8-6--8-8-8-8-8-8-8-8-----|\n
A|-----------------------------------------------8-8-8-8-8-8-8-8-----|\n
E|-------------------------------------------------------------------|\n\n
e|--------------------------------6----------------------------------|\n
B|-6-----6----------------6-------6-------6-------6-------6----------|\n
G|-6-7-8-6h7----8b9--8b10---8b10----8b10----8b10-----8b10------------|\n
D|------------8------------------------------------------------------|\n
A|-------------------------------------------------------------------|\n
E|-------------------------------------------------------------------|\n\n
e|-------------------------------------------6---9-8-6------------------------|\n
B|------6-------6------6------6------6---------6-------9-8-6-6---8---6--------|\n
G|-8b10---8b10----8b10---8b10---8b10---8b10------------------6h7-8---6h7-7----|\n
D|-----------------------------------------------------------------8-----8----|\n
A|----------------------------------------------------------------------------|\n
E|----------------------------------------------------------------------------|\n\n
e|------------------------------------|\n
B|---6---8-6--------------------------|\n
G|---6h7-8-6h7-7/---------------------|\n
D|-8-----------8/---10-10-10-10-10----|\n
A|------------------8--8--8--8--8-----|\n
E|------------------------------------|\n\n</t>
  </si>
  <si>
    <t>https://tabs.ultimate-guitar.com/tab/coheed_and_cambria/welcome_home_tabs_197788</t>
  </si>
  <si>
    <t>e|---------------------------------------------------------------------||\n
B|---------------------------------------------------------------------||\n
G|--------------7----------------------------------7-------------------||\n
D|---------9-10--10-9-7--7-10-9-7-------------9-10---10-9--------------||\n
A|-------7------------------------10-9------7-------------9--12-10-9---||\n
E|---0-0--------------------------------0-0---------------10-14-12-10--||\n\n
e|-------------------------------------------------------------------||\n
B|-------------------------------------------------------------------||\n
G|--------------7----------------------------------7-----------------||\n
D|---------9-10--10-9-7--7-10-9-7-------------9-10---10-9------------||\n
A|-------7------------------------10-9------7-------------9--12-10/--||\n
E|---0-0--------------------------------0-0---------------10-14-12/--||\n\n
e|--------------------------------------------------------------||\n
B|--------------------------------------------------------------||\n
G|--------7*-------------------------------7*-------------------||\n
D|---9-10-----10-9-7--7-10-9-7--------9-10----10-9--------------||\n
A|-----------------------------10-9----------------9--12-10-----||\n
E|-------------------------------------------------10-14-12-10*-||\n\n</t>
  </si>
  <si>
    <t>https://tabs.ultimate-guitar.com/tab/john_petrucci/glasgow_kiss_tabs_58422</t>
  </si>
  <si>
    <t>https://tabs.ultimate-guitar.com/tab/iron_maiden/the_trooper_tabs_71439</t>
  </si>
  <si>
    <t>e|---------------------------------------------------------|\n
B|---------------------------------------------------------|\n
G|---------------------------------------------------------|\n
D|------------------------------------------------5--------| (x4) \n
A|--(7)--7--7-5-----5--5--5-3-----3--3--3-1-----5---5--7---|\n
E|--------------7-------------5-------------3--------------|\n\n
e|------------------7----------------------------------------|\n
B|--8--7h8p7h8p7h8-----8--7h8p7h8p7h8--8-----------8---------|\n
G|----------------------------------------9--9~--7---7--9~---|\n
D|-----------------------------------------------------------|\n
A|-----------------------------------------------------------|\n
E|-----------------------------------------------------------|\n\n</t>
  </si>
  <si>
    <t>https://www.songsterr.com/a/wsa/doors-light-my-fire-tab-g-s5400</t>
  </si>
  <si>
    <t>e|---------------------------------------------13--10----------------|\n
B|-12--------12--15-13-12--------10--------10---------13-11-10-11-10-|\n
G|-----12h14--------------14-12------10h12---------------------------|\n
D|-------------------------------------------------------------------|\n
A|-------------------------------------------------------------------|\n
E|-------------------------------------------------------------------|\n
e|----------------------------------------|\n
B|-10--------10--13-p11p10-------------10-|\n
G|-----10h12---------------12p10----10----|\n
D|-------------------------------12-------|\n
A|----------------------------------------|\n
E|----------------------------------------|\n\n</t>
  </si>
  <si>
    <t>G#m</t>
  </si>
  <si>
    <t>https://tabs.ultimate-guitar.com/tab/red_hot_chili_peppers/snow_hey_oh_tabs_360889</t>
  </si>
  <si>
    <t>e|----------------------------------|------------------------------------|\n
B|----------------------------------|------------------------------------|\n
G|----4---4h6h4---4-----4---4h6h4---|------------------------6---6h8h6---|x4\n
D|--6---6-------6-----6---6-------6-|----4---4h6h4---4-----8---8-------8-|\n
A|6-----------------7---------------|--6---6-------6---6/9---------------|\n
E|----------------------------------|7-----------------------------------|\n\n</t>
  </si>
  <si>
    <t>https://tabs.ultimate-guitar.com/tab/jerryc/canon_rock_tabs_319905</t>
  </si>
  <si>
    <t>e|--21-17-------17-12----------------------|--17~----14--15--17~----14--15--|\n
B|--------17----------14-------------------|--------------------------------|\n
G|-----------18----------14----------------|--------------------------------|\n
D|--------------------------14-------------|--------------------------------|\n
A|-----------------------------12~---------|--------------------------------|\n
E|-----------------------------------------|--------------------------------|\n\n
e|--17----------------------14--15--|--14~------------14~------------|\n
B|--------------14--15--17----------|---------15--17-----------------|\n
G|------14--16----------------------|--------------------------------|\n
D|----------------------------------|------------------------16--17--|\n
A|----------------------------------|--------------------------------|\n
E|----------------------------------|--------------------------------|\n\n
e|----------------------------------|--------------------------------|\n
B|----------------------15--14--15--|--------------------------------|\n
G|--14--16--14------14--------------|---------16--14-----------------|\n
D|--------------17------------------|--17~------------17~----16--14--|\n
A|----------------------------------|--------------------------------|\n
E|----------------------------------|--------------------------------|\n\n
e|----------------------------------|--------------------------------|\n
B|----------------------------------|------------------------14--15--|\n
G|--------------------------14--16--|---------16--14--16~------------|\n
D|--16--14------14--16--17----------|--17~---------------------------|\n
A|----------17----------------------|--------------------------------|\n
E|----------------------------------|--------------------------------|\n\n
e|----------------------14--15--17--|--14~------------14~------------|\n
B|----------14--15--17--------------|---------15--17---------17--15--|\n
G|--14--16--------------------------|--------------------------------|\n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e|---------------------------------|--------------------------------|\n\n
B|--17--14--15--17--17b----15--14--|--15~--------14--15~------------|\n
G|---------------------------------|---------16---------------------|\n
D|---------------------------------|------------------------16--17--|\n
A|---------------------------------|--------------------------------|\n
E|---------------------------------|--------------------------------|\n\n
e|----------------------------------|--------------------------------|\n
B|----------------------15--14--15--|---------15--14-----------------|\n
G|--14--16--14------14--------------|--16~------------16~----14------|\n
D|--------------17------------------|----------------------------17--|\n
A|----------------------------------|--------------------------------|\n
E|----------------------------------|--------------------------------|\n\n
e|----------------------------------|--------------------------------|\n
B|--------------------------14--15--|---------15--14--15~----14------|\n
G|--14--------------14--16----------|--16~-----------------------16--|\n
D|------17--16--17------------------|--------------------------------|\n
A|----------------------------------|--------------------------------|\n
E|----------------------------------|--------------------------------|\n\n
e|----------------------------------|-------------------------|\n
B|--14--15--17--15--14--15------14--|--15~--------8--7--------|\n
G|--------------------------16------|-------------------------|\n
D|----------------------------------|-------------------------|\n
A|----------------------------------|-------------------5--5--|\n
E|----------------------------------|-------------------------|\n\n
e|-------------------------|-------------------------|-------------------------|\n
B|-------------5--7--------|-------------2-----3-----|-------------------------|\n
G|-------------------------|--4----------------------|-------------------------|\n
D|--7----------------------|--4----------------------|--4----------2-----4-----|\n
A|--7----------------0--0--|--2----2--2-----2-----2--|--4----------2-----4-----|\n
E|--5----5--5--------------|-------------------------|--2----2--2--0--0--2--2--|\n\n
e|-------------------------|-------------------------|---------------------------|\n
B|-------------------------|-------------8--7--5-----|---------------------------|\n
G|----------------4/----6--|--7-------------------7--|-------------4/--6h--7--6--|\n
D|--5-------------5/----7--|--7----------------------|--5------------------------|\n
A|--5----------------------|--5----5--5--------------|--5------------------------|\n
E|--3----3--3--3-----------|-------------------------|--3----3--3----------------|\n\n
e|--------------------------------------------------|----------------------|\n
B|--------------------------------------14--15--17--|--17b~----------------|\n
G|--------------14--16--18--14--16--18--------------|----------------------|\n
D|--14--16--17--------------------------------------|----------------------|\n
A|--------------------------------------------------|----------------------|\n
E|--------------------------------------------------|----------------------|\n\n</t>
  </si>
  <si>
    <t>https://tabs.ultimate-guitar.com/tab/avenged_sevenfold/unholy_confessions_tabs_132915</t>
  </si>
  <si>
    <t>https://tabs.ultimate-guitar.com/tab/avenged_sevenfold/afterlife_tabs_599991</t>
  </si>
  <si>
    <t>E|-----------------------------------------------------17b-----17b-18b-----|\n
B|--8-10//17----10p8h10-8-10//18b----10-8-10//20b---18-----20--------------|\n
G|-------------------------------------------------------------------------|\n
D|-------------------------------------------------------------------------|\n
A|-------------------------------------------------------------------------|\n
D|-------------------------------------------------------------------------|\n\n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E|----15-17-15-13------15-17-15-13------15-17-15-13---|\n
B|----------------15---------------15-----------------|\n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E|----20-22-20-18------20-22-20-18------20-22-20-18---|\n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
E|----20-22-20-18------20-22-20-18------21b22---------|\n
B|----------------20---------------20-----------------|\n
G|----------------------------------------------------|\n
D|----------------------------------------------------|\n
A|----------------------------------------------------|\n
D|----------------------------------------------------|\n\n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</si>
  <si>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</si>
  <si>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</si>
  <si>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</si>
  <si>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</si>
  <si>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e|--------------------------------------------------|\n
B|--------------------------------------------------|\n
G|--------------------------------------------------|\n
D|-----4-----------4--------------------2-2-2--4-2--| x4\n
A|-------6-2---------6-2---4-4-4--6-4---------------|\n
E|-4-4---------4-4----------------------------------|\n\n</t>
  </si>
  <si>
    <t>https://tabs.ultimate-guitar.com/tab/jimi_hendrix/who_knows_tabs_11765</t>
  </si>
  <si>
    <t>D#|----------------------------------------------------------------|\n
A#|----------------------------------------------------------------|\n
F#|---------------------------------10-----------------------------|\n
C#|-12-12-12-10-12-10----------------------------------------------|\n
G#|-------------------12-11-10-(10)--------------------------------|\n
D#|----------------------------------------------------------------|\n\n</t>
  </si>
  <si>
    <t>https://tabs.ultimate-guitar.com/tab/foo_fighters/all_my_life_tabs_35848</t>
  </si>
  <si>
    <t>e|------------------|----------------|\n
B|------------------|----------------|\n
G|------------------|----------------|\n
D|------------------|----------------|\n
A|-555-55--55-557-7-|55-55--55-558-8-|\n
E|-333033-033-335-5-|33033-033-336-6-|\n\n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</si>
  <si>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</si>
  <si>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</si>
  <si>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</si>
  <si>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e|------------------------------------------|\n
B|------------------------------------------|\n
G|------------------------------------------|\n
D|-----------0---0--------------------------|\n
A|--0--2--4-----------------0---0--0--0--0--|\n
E|-------------------3--3-------------------|\n\n</t>
  </si>
  <si>
    <t>#F75269</t>
  </si>
  <si>
    <t>#FF4F53</t>
  </si>
  <si>
    <t>#C476D4</t>
  </si>
  <si>
    <t>Like A Stone</t>
  </si>
  <si>
    <t>https://www.songsterr.com/a/wsa/the-beatles-what-youre-doing-tab-s2585t4</t>
  </si>
  <si>
    <t>e|-------------------------------|-------------------------------|\n
B|-------------------------------|-------------------------------|\n
G|----------------4---2----------|-------------------------------|\n
D|0----------4------------4---2--|--------2---0---2---4-------0--|\n
A|-------------------------------|-------------------------------|\n
E|-------------------------------|-------------------------------|\n\n</t>
  </si>
  <si>
    <t>e|-------------------------------|-------------------------------|\n
B|-------------------------------|-------------------------------|\n
G|-------------------------------|-------------------------------|\n
D|----------------5--------------|-----------------------3-------|\n
A|-------3---5-------------3-----|------3------3s5---------------|\n
E|---3-----------------3---------|---3------3--------------------|\n\n</t>
  </si>
  <si>
    <t>https://www.songsterr.com/a/wsa/the-beatles-paperback-writer-tab-s2551t3</t>
  </si>
  <si>
    <t>e|----------------------------------------|\n
b|-13b14-14-14-14r13-11-13b14-11----------|\n
g|----------------------------------------|\n
d|----------------------------------------|\n
a|----------------------------------------|\n
E|----------------------------------------|\n\n
e|----------------------------------------|\n
b|-13b14-14-14-14r13-11-13b14-12----------|\n
g|----------------------------------------|\n
d|----------------------------------------|\n
a|----------------------------------------|\n
E|----------------------------------------|\n\n</t>
  </si>
  <si>
    <t>https://tabs.ultimate-guitar.com/tab/the_beatles/dizzy_miss_lizzy_tabs_740234</t>
  </si>
  <si>
    <t>e|-----------------------------|\n
B|-----------------------------|\n
G|-----------------------------|\n
D|----------------------10~----|\n
A|----------10-h12------12~----|\n
E|-10--10----------------------|\n\n</t>
  </si>
  <si>
    <t>https://tabs.ultimate-guitar.com/tab/the_beatles/come_together_tabs_30081</t>
  </si>
  <si>
    <t>https://tabs.ultimate-guitar.com/tab/van_halen/unchained_tabs_259276</t>
  </si>
  <si>
    <t>Db</t>
  </si>
  <si>
    <t>e|------------------------------------|--------------------------|\n
B|------------------------------------|--------------------------|\n
G|------------------------------------|--------------------------|\n
D|------------------------------------|--------------------------|\n
A|----------2h3--2~~~-----------------|-------2~~~--1~~~--0------|\n
E|----0--0-------------0--2h3--2~~~---|----0-----------------3---|\n\n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</si>
  <si>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</si>
  <si>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</si>
  <si>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</si>
  <si>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</si>
  <si>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e|----------------------------|-------------------|\n
B|----------------------------|-------------------|\n
G|----------------------------|--------------9-9--|\n
D|--------------0--0------0---|--------------9-9--|\n
A|-----------2---------2-----2|--------------7-7--|\n
E|-0--0--4--------------------|--3--0-----0-------|\n\n</t>
  </si>
  <si>
    <t>e|------------------------------5------5--5----x----5--5----5--5------|\n
B|------------------------------5h6----6--6----x----6--6----6--6------|\n
G|------------------------------5-7----7--7----x----7--7----7--7------| x2\n
D|--0--2--3--2----0--2--3--2----5-7----7--7----x----7--7----7--7------|\n
A|------------------------------5------5--5----x----5--5----5--5------|\n
E|------------------------------5------5--5----x----5--5----5--5------|\n\n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</si>
  <si>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</si>
  <si>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</si>
  <si>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</si>
  <si>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</si>
  <si>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</si>
  <si>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e|-----------------------------------------------------|\n
B|---9-----6-----13-----8------------------------------|\n
G|--10-----6-----13-----8------------------------------|\n
D|--10-x2--6—x2--13-x2--8-x2---------------------------|\n
A|--8------4-----11-----6------------------------------|\n
E|-----------------------------------------------------|\n\n</t>
  </si>
  <si>
    <t>https://tabs.ultimate-guitar.com/tab/green_day/holiday_tabs_135992</t>
  </si>
  <si>
    <t>e|----------------------------------------------------------|\n
B|----------------------------------------------------------|\n
G|----------------------------------------------------------|\n
D|----------------------------------------------------------|\n
A|-99-77-66-555/-99-77-66-555/------------------------------|\n
E|-77-55-44-333/-77-55-44-333/------------------------------|\n\n</t>
  </si>
  <si>
    <t>https://tabs.ultimate-guitar.com/tab/green_day/hitchin_a_ride_tabs_56394</t>
  </si>
  <si>
    <t>e|--------------------------0--------------------|\n
B|--------------------------0--------------------|n
G|---------6-6--------6-----0--------------------|\n
D|---6-6---6-6---4-4--6--6-----------------------|\n
A|---6-6---4-4---4-4--4--6-----------------------|\n
E|---4-4-0----0--2-2-----4-----------------------|\n\n
e|-----------------------------------------------|\n
B|-----------------------------------------------|\n
G|---------6-6--------6--------------------------|\n
D|---6-6---6-6---4-4--6--6--4--------------------|\n
A|---6-6---4-4---4-4--4--6--4--------------------|\n
E|---4-4-0----0--2-2-----4--2--------------------|\n\n</t>
  </si>
  <si>
    <t>https://tabs.ultimate-guitar.com/tab/green_day/american_idiot_tabs_130391</t>
  </si>
  <si>
    <t>GqHSrJ2mLo0?t=2m26s</t>
  </si>
  <si>
    <t>https://tabs.ultimate-guitar.com/tab/dream_theater/home_tabs_65826</t>
  </si>
  <si>
    <t>e|--------------------------|----------------------------|-------------------------|\n
B|--------------------------|----------------------------|-------------------------|\n
G|*-------------------------|------------------h-----h---|-------------------------|\n
D|*--0--0----0-0--0-0-----0-|--0--0----0-0--0-7-8-0-5-6--|--0--0----0-0--0-0-----0-|\n
A|---0--0----0-0--0-0-----0-|--0--0----0-0--0-7-8-0-5-6--|--0--0----0-0--0-0-----0-|\n
E|---0--0----0-0--0-0-----0-|--0--0----0-0--0-7-8-0-5-6--|--0--0----0-0--0-0-----0-|\n\n
e|------------------------------||--------------------------|-----------------------------|\n
B|------------------------------||--------------------------|-----------------------------|\n
G|----------------------p------*||*-------------------------|----------------------p------|\n
D|--0--0----0-0--0-----1-0-----*||*--0--0----0-0--0-0-----0-|--0--0----0-0--0-----3-0-----|\n
A|--0--0----0-0--0--h-------p---||---0--0----0-0--0-0-----0-|--0--0----0-0--0--h-------p--|\n
E|--0--0----0-0--0-0-1-----1-0--||---0--0----0-0--0-0-----0-|--0--0----0-0--0-0-3-----6-5-|\n\n</t>
  </si>
  <si>
    <t>e|----------------------------------------------------------|\n
B|-9999-99-99-9109109-9999-99-99-9109109-9999-99-99-9109109-|\n
G|-9999-99-99-9-99-99-9999-99-99-9-99-99-9999-99-99-9-99-99-|\n
D|-9999-99-99-9-99-99-9999-99-99-9-99-99-9999-99-99-9-99-99-|\n
A|-7777-77-77-7-77-77-7777-77-77-7-77-77-7777-77-77-7-77-77-|\n
E|----------------------------------------------------------|\n\n
e|--------------------------------------------------------|\n
B|-9999xx-------------------------------------------------|\n
G|-9999xx9..7..-------------------------------------------|\n
D|-9999xx9..7..-------------------------------------------|\n
A|-7777xx7..5..5/4/2...-----------------------------------|\n
E|--------------------------------------------------------|\n\n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</si>
  <si>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</si>
  <si>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</si>
  <si>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</si>
  <si>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e|----------------------------------------------------------------------------------|\n
B|----------------------------------------------------------------------------------|\n
G|----------------------------------------------------------------------------------|\n
D|----------7---5------------------7---5-----------------7---5----------------------|\n
A|--0-5h7-0---0------------0-5h7-0---0-----------0-5h7-0---0------------------------|\n
E|----------------------------------------------------------------------------------|\n\n</t>
  </si>
  <si>
    <t>https://tabs.ultimate-guitar.com/tab/pearl_jam/jeremy_tabs_144638</t>
  </si>
  <si>
    <t>e|--10--12--10------8--|--10--12--10------8--|\n
b|--------------10-----|--------------10-----|\n
g|---------------------|---------------------|\n
D|---------------------|---------------------|\n
A|---------------------|---------------------| \n
E|---------------------|---------------------|\n\n</t>
  </si>
  <si>
    <t>https://tabs.ultimate-guitar.com/tab/r_e_m_/losing_my_religion_tabs_338351</t>
  </si>
  <si>
    <t>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E|--------------------------------|--------------------------------|\n
B|--------------------------------|--------------------------------|\n
G|--------------------------------|--------------------------------|\n
D|-----5---5p3--------------------|-----5---5p3--------------------|\n
A|-------------5-1-----3---1-3---1|-------------5-1-----3---1-3---1|\n
D|-5------------------------------|-5------------------------------|\n\n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
E|--------------------------------|-------------------------------------|\n
B|--------------------------------|-------------------------------------|\n
G|--------------------------------|-----------------5b(7)-----5-2-------|\n
D|-----7---7p5---7---7-----5---7-0|-5-5-5-5-5-3-------------------5-3---|\n
A|-------------7---------7--------|-------------5-----------------------|\n
D|-7------------------------------|-------------------------------------|\n\n
E|----------------------------------|----------------------------------|\n
B|----------------------------------|----------------------------------|\n
G|----------------------------------|----------------------------------|\n
D|----------------------------------|----------------------------------|\n
A|-----5---5p3----------------------|-----5---5p3----------------------|\n
D|-0-----------5-3-----5-3-----5---3|-0-----------5-3-----5-3-----5---3|\n\n</t>
  </si>
  <si>
    <t>https://tabs.ultimate-guitar.com/tab/led_zeppelin/moby_dick_tabs_54524</t>
  </si>
  <si>
    <t>https://tabs.ultimate-guitar.com/tab/rise_against/savior_tabs_746060</t>
  </si>
  <si>
    <t>eb|------------------|\n
Bb|------------------|\n
Gb|--------5-5-------|\n
Db|--2-2-2-5-5-5-5-7-|\n
Ab|--2-2-2-3-3-5-5-7-|\n
Eb|--0-0-0-----3-3-5-|\n\n</t>
  </si>
  <si>
    <t>https://tabs.ultimate-guitar.com/tab/rise_against/re-education_through_labor_tabs_747558</t>
  </si>
  <si>
    <t>E|------------------------------------------------------------------------------------|\n
B|------------------------------------------------------------------------------------|\n
G|------------------------------------------------------------------------------------|\n
D|------------------------------------------------------------------------------------|\n
A|------------------------------------------------------------------------------------|\n
D|-0---15-15-15-15-15-15-0-15-0---0---15-15-15-15-15-15-0-15-15-15-15--0-15-15-15-15--|\n\n</t>
  </si>
  <si>
    <t>https://tabs.ultimate-guitar.com/tab/royal_blood/out_of_the_black_tabs_1664526</t>
  </si>
  <si>
    <t>e|------------------|----------------|\n
B|------------------|----3----3--3---|\n
G|----2-----2-----2-|----2----2--2---|\n
D|----2-----2-----2-|----------------|\n
A|-0--------0-----0-|--0---0---------|\n
E|------------------|----------------|\n\n</t>
  </si>
  <si>
    <t>e|---------------------------------------------------------|\n
B|---------------------------------------------------------|\n
G|---------------------------------------------------------|\n
D|------12--12---10---12-----------------------------------|\n
A|------------------------12--11--10------b8---------------|\n
E|------------------------------------10------10-----------|\n\n</t>
  </si>
  <si>
    <t>https://tabs.ultimate-guitar.com/tab/cream/sunshine_of_your_love_tabs_30878</t>
  </si>
  <si>
    <t>https://www.songsterr.com/a/wsa/zz-top-my-heads-in-mississippi-tab-s58828t0</t>
  </si>
  <si>
    <t>e|-12-----12-13-12-------------12-----12-17-12-------------12--12-----|\n
B|------------------13------13------------------13------13 --15-------|\n
G|-----------------------14--------------------------14---------------|\n
D|--------------------------------------------------------------------|\n
A|--------------------------------------------------------------------|\n
E|--------------------------------------------------------------------|\n\n
e|--12-13-12-------------12--12-12--12-12-12 -12-12-12-------|\n
B|------------13------13-----13-13--13-13-13 -13-13-13-15----|\n
G|-----------------14-------------------------------------14-|\n
D|-----------------------------------------------------------|\n
A|-----------------------------------------------------------|\n
E|-----------------------------------------------------------|\n\n</t>
  </si>
  <si>
    <t>https://tabs.ultimate-guitar.com/tab/santana/maria_maria_tabs_2137</t>
  </si>
  <si>
    <t>e|------------------|----------------------|----|\n
B|------------------|----------------------|----|\n
G|-2-2-2-0--2h3p2-0-|-2-2-2-0--2h3p2-0-----|-2~-|\n
D|------------------|----------------------|----|\n
A|------------------|----------------------|----|\n
E|------------------|----------------------|----|\n\n</t>
  </si>
  <si>
    <t>https://tabs.ultimate-guitar.com/tab/nirvana/the_man_who_sold_the_world_tabs_841950</t>
  </si>
  <si>
    <t>https://tabs.ultimate-guitar.com/tab/queens_of_the_stone_age/no_one_knows_tabs_37580</t>
  </si>
  <si>
    <t>e|------------------------------------------------------------------|\n
B|------------------------------------------------------------------|\n
G|--10-10-10-10----------10--10-8-------10-10-8---------10-10-8-----|\n
D|--10-10-10-10----------10-------10----10------10------10------10--|\n
A|--10-10-10-10----------10-------------10--------------10----------|\n
E|--8--8--8--8----15\----8---------------8----------15\--8----------|\n\n
e|---------------------------------------------------------12----|\n
B|---------------------------------------------------------12----|\n
G|---10--10-8---------10-10-10b12r10------10-10-8-----10---------|\n
D|---10-------10------10------------------10------10--10---------|\n
A|---10---------------10------------------10----------10---------|\n
E|---8-----------15\--8--------------15\--8-----------8----------|\n\n</t>
  </si>
  <si>
    <t>e|-----------------------------------------------------|\n
B|-----------------------------------------------------|\n
G|-----------------------------------------------------|\n
D|-7\5--2---2--2-2-2--2-2-7\\5--2---2--2-2-2--2-2-2-2--| x3\n
A|-7\5--2---2--2-2-2--2-2-7\\5--2---2--2-2-2--2-2-2-2--|\n
E|-5\3--0---0--0-0-0--0-0-5\\3--0---0--0-0-0--0-0-0-0--|\n\n
e|-----------------------------|\n
B|-----------------------------|\n
G|-----------------------------|\n
D|-5\7--7---7--7-7-7--7-7-7-7--|\n
A|-5\7--7---7--7-7-7--7-7-7-7--|\n
E|-3\5--5---5--5-5-5--5-5-5-5--|\n\n</t>
  </si>
  <si>
    <t>https://tabs.ultimate-guitar.com/tab/rammstein/du_hast_tabs_199202</t>
  </si>
  <si>
    <t>e|--------------------------------------------------------------------|\n
B|-----3p0------0-------1---------------3p0-----0--------1--------4---|\n
G|---0--------0---0---0---0-2b3-0-----0-------0---0----2---2----5---5-|\n
D|----------3-------1-----------------------3--------1--------4-------|\n
A|--------------------------------------------------------------------|\n
E|-3-------------------------------3----------------------------------|\n\n
e|-------------------------------------------------------------------|\n
B|-----3p0------0-------1--3b5--1-------3p0------0-------1-----------|\n
G|---0--------0---0---0---------------0--------0---0---0---0-2b3-0---|\n
D|----------3-------1------------------------3-------1---------------|\n
A|-------------------------------------------------------------------|\n
E|-3--------------------------------3--------------------------------|\n\n</t>
  </si>
  <si>
    <t>https://tabs.ultimate-guitar.com/tab/radiohead/my_iron_lung_tabs_1214341</t>
  </si>
  <si>
    <t>Eb|---------------------------------------|\n
Bb|---------------------------------------|\n
Gb|---------------------------------------|\n
Db|---------------------------------------|\n
Ab|-------5-------7-------1----0----------|\n
Db|--0---------7--------------------0--3--|\n\n
Eb|----------------------------------|\n
Bb|----------------------------------|\n
Gb|----------9-9---------------------|\n
Db|--0---0-----9------8---7---0-10---|\n
Ab|--0---0---7-7------8---7---0-10---|\n
Db|--0---0------------8---7---0-10---|\n\n</t>
  </si>
  <si>
    <t>https://tabs.ultimate-guitar.com/tab/linkin_park/one_step_closer_tabs_863523</t>
  </si>
  <si>
    <t>Half Step Down + Drop D</t>
  </si>
  <si>
    <t>D#|------------------------------------------------|\n
A#|------------------------------------------------|\n
F#|-7-7-7-14-14\12-12-12-12-12-14-14\10-10---------|\n
C#|-x-x-x--x--x--x--x--x--x--x--x--x-x--x----------|\n
G#|-5-5-5-12-12\10-10-10-10-10-12-12\8--8----------|\n
C#|------------------------------------------------|\n\n</t>
  </si>
  <si>
    <t>https://tabs.ultimate-guitar.com/tab/linkin_park/faint_tabs_55914</t>
  </si>
  <si>
    <t>Eb|-10--12--13--12--10--12--13--12----|\n
Bb|---10--10--10--10--10--10--10--10--|\n
Gb|-----------------------------------|\n
Db|-----------------------------------|\n
Ab|-----------------------------------|\n
Db|-----------------------------------|\n\n</t>
  </si>
  <si>
    <t>https://tabs.ultimate-guitar.com/tab/linkin_park/papercut_tabs_9250</t>
  </si>
  <si>
    <t>e|------------------------------------------------|\n
B|------------------------------------------------|\n
G|------------------------------------------------|\n
D|------------------------------------------------|\n
A|--7----5--2--5--0---------7----5--2-------------|\n
E|-------------------3--0--------------3--0-------|\n\n</t>
  </si>
  <si>
    <t>https://www.songsterr.com/a/wsa/audioslave-cochise-tab-s2026t4</t>
  </si>
  <si>
    <t>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
D#|----12--12--12--12--12--12--12--12-----------------------------|\n
B |-----0---0---0---0---0---0---0---0------0--0--0--0--0--0--0--0-|\n
G |-13b15--15--15--15--15--15--15--15--15r13-13-13-13-13-13-13-13-|\n
B |---------------------------------------------------------------|\n
A |---------------------------------------------------------------|\n
E |---------------------------------------------------------------|\n\n
D#|---3--3--3--3--3--3--3--3------3--3--3--3--3--3--3--3----------|\n
B |---0--0--0--0--0--0--0--0------0--0--0--0--0--0--0--0----------|\n
G |-4b6--6--6--6--6--6--6--6----6r4--4--4--4--4--4--4--4----------|\n
B |---------------------------------------------------------------|\n
A |---------------------------------------------------------------|\n
E |---------------------------------------------------------------|\n\n
D#|----8---8---8---8---8---8---8---8------8--8--8--8--8--8--8--8--|\n
B |----0---0---0---0---0---0---0---0------0--0--0--0--0--0--0--0--|\n
G |-9b11--11--11--11--11--11--11--11---11r9--9--9--9--9--9--9--9--|\n
B |---------------------------------------------------------------|\n
A |---------------------------------------------------------------|\n
E |---------------------------------------------------------------|\n\n</t>
  </si>
  <si>
    <t>https://tabs.ultimate-guitar.com/tab/coldplay/yellow_tabs_55915</t>
  </si>
  <si>
    <t>(EABGBD#)</t>
  </si>
  <si>
    <t>e|---12---12--------9----9--|\n
B|---------------12---12----|\n
G|------9----9--------------|\n
D|--------------------------|x3\n
A|--------------------------|\n
E|--------------------------|\n\n
e|---12---12------8/9------9----9-----|\n
B|----------------------12---12-------|\n
G|------9-----------------------------|\n
D|------------------------------------|\n
A|------------------------------------|\n
E|------------------------------------|\n\n</t>
  </si>
  <si>
    <t>https://tabs.ultimate-guitar.com/tab/coldplay/in_my_place_tabs_1103201</t>
  </si>
  <si>
    <t>e|----------------------------------------------------------------------------|\n
B|--4-4-4-4-4-4-4-4-4-4-4-4/11-11-11-11\4-4-4-4-4-4-4-4-4-4-4-4/11-11-11-11\--|\n
G|----------------------------------------------------------------------------|\n
D|----------------------------------------------------------------------------|\n
A|----------------------------------------------------------------------------|\n
E|----------------------------------------------------------------------------|\n\n
e|---------------------------------------------------------------------------|\n
B|--4-4-4-4-4-4-4-4-4-4-4-4/11-11-11-11/4-4-4\3-3-3-3-3-3-3-3-3-3-3-3-3-3-3--|\n
G|---------------------------------------------------------------------------|\n
D|---------------------------------------------------------------------------|\n
A|---------------------------------------------------------------------------|\n
E|---------------------------------------------------------------------------|\n\n</t>
  </si>
  <si>
    <t>https://tabs.ultimate-guitar.com/tab/coldplay/fix_you_tabs_202593</t>
  </si>
  <si>
    <t>e|-7-7-X7--7-------8-8-X8--8-------8-8-X8--8-------7-7-X7--7-------|\n
B|-6-6-X6--6-------8-8-X8--8-------9-9-X9--9-------6-6-X6--6-------|\n
G|-7-7-X7--7-------8-8-X8--8-------8-8-X8--8-------7-7-X7--7-------|\n
D|-----------------------------------------------------------------|\n
A|-----------------------------------------------------------------|\n
E|-----------------------------------------------------------------|\n\n</t>
  </si>
  <si>
    <t>https://tabs.ultimate-guitar.com/tab/maroon_5/this_love_tabs_114399</t>
  </si>
  <si>
    <t>e|x--x-x--x-x-----------------x--x-x--x-x------------------------|\n
B|8--x-x--x-x-10-10--8--10--8-7--x-x--x-x-7-7-9--10-10-9---------|\n
G|9--x-x--x-x--9--9--9---9--9-8--x-x--x-x-8-8-8---8--8-8---------|\n
D|10-x-x--x-x-10-10-10--10-10-9--x-x--x-x-9-9-9---9--9-9---------|\n
A|x--x-x--x-x-----------------x--x-x--x-x------------------------|\n
E|x--x-x--x-x-----------------x--x-x--x-x------------------------|\n\n
e|x--x-x--x-x--------------------x---x--|\n
B|x--x-x--x-x-10-10--8--10--8--7-x-7-x-7|\n
G|x--x-x--x-x--9--9--9---9--9--8-x-8-x-8|\n
D|x--x-x--x-x-10-10-10--10-10--9-x-9-x-9|\n
A|x--x-x--x-x--------------------x---x--|\n
E|x--x-x--x-x--------------------x---x--|\n\n</t>
  </si>
  <si>
    <t>https://tabs.ultimate-guitar.com/tab/maroon_5/misery_tabs_971376</t>
  </si>
  <si>
    <t>e|-------------9----------|------9p7-------7-9--|-7p5------5------|\n
B|-------------9----------|----------7-----7-7--|-5--------5---5--|\n
G|---------9---9h11p9-----|------------8---8-8--|-6--------6h7p6--|\n
D|----9----9----------11\-|----9-------9---9----|-7-----7--7------|\n
A|----9h11----------------|---------------------|-----------------|\n
E|-0----------------------|-/7------------------|-----5-----------| \n\n
e|---5h7p5--------|------12/14--12--------|--------------9----------|\n
B|---------7p5----|------12/14--12-14-----|--------------9----9-----|\n
G|---------5---6--|-------------------11\-|----------9---9h11-9-----|\n
D|-7--------------|-----------------------|-----9----9----------11--|\n
A|----------------|-----------------------|-----9h11----------------|\n
E|----------------|-0---------------------|--0----------------------| \n\n
e|--------9-9-7----9p7-9--|-7p5---------5--------5--|------12/19------|\n
B|----------7-7--7-7---7--|-5----------------5h7p5--|------12/19------|\n
G|----8-8---8-8--8-8---8--|-6-------6h7----7-6h7p6--|-----------------|\n
D|------------9--9-9------|-7-------7---------------|-------------14\-|\n
A|------------------------|-------------------------|-------------14\-|\n
E|-7----------------------|------5------------------|-0-----------16\-|\n\n</t>
  </si>
  <si>
    <t>https://tabs.ultimate-guitar.com/tab/pearl_jam/yellow_ledbetter_tabs_47807</t>
  </si>
  <si>
    <t>e|------|----------------|-------------------|-------------------|---------|\n
B|------|---------------5|-------------------|-------------------|---------|\n
G|------|-----5-------7--|-5h7p5-----5-------|-------------------|---------|\n
D|---5-6|-7-------7------|-------7-7-----7---|-5-7-7---------2---|2--------|\n
A|-7----|---7------------|-------------------|-------5-7---5-0---|0--------|\n
E|------|----------------|-------------------|-----------8-------|---------|\n\n</t>
  </si>
  <si>
    <t>https://tabs.ultimate-guitar.com/tab/led_zeppelin/black_dog_tabs_51744</t>
  </si>
  <si>
    <t>G|------------------------------------------------------------------|\n
D|--------------------11---9----------------------------------------|\n
A|------------------9--------11----9---9--------12-12-12-12-11-11---|\n
E|-9---9-------9-12-------------12--------------------------------12|\n\n</t>
  </si>
  <si>
    <t>https://tabs.ultimate-guitar.com/tab/royal_blood/loose_change_bass_1665929</t>
  </si>
  <si>
    <t>https://tabs.ultimate-guitar.com/tab/muse/psycho_tabs_1719700</t>
  </si>
  <si>
    <t>e|-------------------------------------------------------------------|\n
B|-------------------------------------------------------------------|\n
G|--------------------------------------------------9-9-9-9-11-------|\n
D|------------------------------9-9-9-9-11-11-11-11------------------|\n
A|----------9-9-9-9-12-12-12-12--------------------------------------|\n
E|-------------------------------------------------------------------|\n\n
e|-------------------------------------------------------------------|\n
B|-------------------------------------------------------------------|\n
G|-11-11-11-14-14-14-14-16-16-16-16-16b-16b-16b-16b-16b-16b-16b-16b--|\n
D|-------------------------------------------------------------------|\n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G|16-14----------14---16-14-----------14---16b(18)=r16====-16--16-16-|\n
D|------16-14-16------------16-14-16---------------------------------|\n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G|-16-14--------------14---------------------------------------------|\n
D|---------16---14-16----16--16--16-16-16-14-----------14------------|\n
A|--------------------------------------------16-14-16----16---------|\n
E|-------------------------------------------------------------------|\n\n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A|-16--16-16-14--12----14-12-------------12--14-12---------12--------|\n
E|----------------------------14-12-14-----------14-|\n\n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A|14b15-15-15-15r14\-------------------------------------------------|\n
E|-------------------------------------------------------------------|\n\n</t>
  </si>
  <si>
    <t>https://tabs.ultimate-guitar.com/tab/arctic_monkeys/i_bet_you_look_good_on_the_dancefloor_tabs_329943</t>
  </si>
  <si>
    <t>e|-------------------------------|\n
B|-------------------------------|\n
G|-------------------------------|\n
D|-------------------------------| x4\n
A|-------/4-2-4-5-5-5-4-2-14-----|\n
E|-2-2-2-------------------------|\n\n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</si>
  <si>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</si>
  <si>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</si>
  <si>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</si>
  <si>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</si>
  <si>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</si>
  <si>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</si>
  <si>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e|--9--9--7-7--10--9---7--7/9-----12-12---------9-----------|\n
B|-10-10--9-9--10--10--9--9/10-10-------------9----12-------|\n
G|--------------------------------------11--9---------------|\n
D|----------------------------------------------------------|\n
A|----------------------------------------------------------|\n
E|----------------------------------------------------------|\n\n
e|--------------9--------------------------------------------------|\n
B|--------10---------10--12--------10-------10/12-12-12-12---------|\n
G|--11-11----11---11--------11--11----11-11-11/13-13-13-13---------| \n
D|-----------------------------------------------------------------| \n
A|-----------------------------------------------------------------| \n
E|-----------------------------------------------------------------|\n\n
e|-7/9---9--9-7-7-10-9--7-7/9-----12--12--12------------|\n
B|-9/10-10-10-9-9-10-10-9-9/10-10-----------------------|\n
G|-------------------------------------11---------------|\n
D|------------------------------------------------------|\n
A|------------------------------------------------------|\n
E|------------------------------------------------------|\n\n</t>
  </si>
  <si>
    <t>https://tabs.ultimate-guitar.com/tab/the_smiths/this_charming_man_tabs_24268</t>
  </si>
  <si>
    <t>e|----------------|-----------------|----------------|-----------------|----------------| \n
B|----------------|-----------------|----12----------|---------16b16p14|----14--14b14p14| \n
G|----------------|-----------------|----12----------|---------16b16p14|----14--14b14p14| \n
D|----------------|-----------------|-14-12----------|-----------------|-16-14----------| \n
A|----------------|-----------------|----------------|-----------------|----------------| \n
E|----------------|-----------------|----------------|-----------------|----------------| \n\n
e|----------------|----------------|----------------|-----------------|-----------------| \n
B|---14---14b14p12|---12---14b14p12|---12---16b16p14|----14---16b16p14|----14---14b14p12| \n
G|---14---14b14p12|---12---14b14p12|---12---16b16p14|----14---16b16p14|----14---14b14p12| \n
D|16-14-----------|14-12-----------|14-12-----------|-16-14-----------|-16-14-----------| \n
A|----------------|----------------|----------------|-----------------|-----------------| \n
E|----------------|----------------|----------------|-----------------|-----------------| \n\n
e|----------------|---------------|-----------------|-----------------|-----------------| \n
B|--12b--12b--12b-|---12b--12\----|-----------------|-----------------|--------------10B| \n
G|--12b--12b--12b-|---12b--12\----|----------------|-----------------|-----------------|\n
D|14---14---14----|-14---14-------|-----------------|-----------------|-----------------|\n
A|----------------|---------------|-----------------|-----------------|-----------------| \n
E|----------------|---------------|-----------------|-----------------|-----------------| \n\n</t>
  </si>
  <si>
    <t>https://tabs.ultimate-guitar.com/tab/guns_n_roses/you_could_be_mine_tabs_327372</t>
  </si>
  <si>
    <t>D#|---3--3-----3-(3)-----3-------|---------3-----3-(3)-----3-------|\n
A#|---0----0---------0-----0---0-|-1---------1---------1-----1---1-|\n
F#|---0------0---------0-----0---|-0-----------0---------0-----0---|\n
C#|---0--------------------------|-0h2---2-------------------------|\n
G#|---2--------------------------|-----3---------------------------|\n
D#|---3--------------------------|---------------------------------|\n\n
D#|-------3---------------3-------|----3-----3-(3)--------------------|\n
A#|-1---1---1---1-1-----1---1---0-|-0----0---------0-----0---0-------o|\n
F#|-0h2-------2---0-----------0---|-0------0---------0h2---0-------0--|\n
C#|-0h3-----------0h2-------------|-0--------------------------0h2----|\n
G#|-------------------3-----------|-2--------------------------------o|\n
D#|-------------------------------|-3---------------------------------|\n\n</t>
  </si>
  <si>
    <t>https://tabs.ultimate-guitar.com/tab/guns_n_roses/paradise_city_tabs_102464</t>
  </si>
  <si>
    <t>D#|---|------------------------------------------------------------|\n
A#|---|---x-8-8-7p0—7/5---3/5-5-3-3/1---1/3-3-1-1--0-1-0-----------|\n
F#|-2-|--------------------------------------------------2-0-2-----|\n
C#|-2-|------------------------------------------------------------|\n
G#|-0-|------------------------------------------------------------|\n
D#|---|------------------------------------------------------------|\n\n
D#|-----------------------------------------------------------|\n
A#|-x-8-8-7p0—7/5---3/5-5-3-3/1---1/3-3-1-1--0-1-0------------|\n
F#|------------------------------------------------2-0------2-|\n
C#|---------------------------------------------------------2-|\n
G#|---------------------------------------------------------0-|\n
D#|-----------------------------------------------------0-3---|\n\n</t>
  </si>
  <si>
    <t>https://tabs.ultimate-guitar.com/tab/guns_n_roses/nightrain_tabs_160277</t>
  </si>
  <si>
    <t>https://tabs.ultimate-guitar.com/tab/jimi_hendrix/all_along_the_watchtower_tabs_273100</t>
  </si>
  <si>
    <t>e|------------------------------------|---------------------------|\n
B|------------------------------------|---------------------------|\n
G|------------------------------------|---------------------------|\n
D|12/14\12---------12-----------------|--12/14\12--------14-14p12-|\n
A|----------12/14-----10--10-10/12~~~\|-----------12/14-----------|\n
E|------------------------------------|---------------------------|\n\n</t>
  </si>
  <si>
    <t>https://tabs.ultimate-guitar.com/tab/jimi_hendrix/voodoo_child_slight_return_tabs_326654</t>
  </si>
  <si>
    <t>e|----------------7-------------|---------0------0------0-----|\n
B|------------10-----10---------|--------10-----10-----10-----|\n
G|---------9-------------9------|---------9------9------9-----|\n
D|-----10-------------------10--|--------10-----10-----10-----|\n
A|--0---------------------------|--0----------------0------9--|\n
E|------------------------------|-----7------8----------------|\n\n
e|-------------------------------|----------------0-------------|\n
B|---------------10--------------|------------10-----10---------|\n
G|------------9------------------|---------9-------------9------|\n
D|--(10)--10---------------------|-----10-------------------10--| x3\n
A|---------------------9b--9--8--|------------------------------|\n
E|-------------------------------|------------------------------|\n\n</t>
  </si>
  <si>
    <t>https://tabs.ultimate-guitar.com/tab/foo_fighters/the_pretender_tabs_558883</t>
  </si>
  <si>
    <t>e|-------------------------------------------------------------|\n
B|-------------------------------------------------------------|\n
G|------7--9---------7--9------------7--9---------7--9---------|\n
D|--------------------------------0--------0-0-0--------0-0-0--|\n
A|-7-7--------7-7-7--------7-7-7-------------------------------|\n
E|-------------------------------------------------------------|\n\n
e|-------------------------------------------------------------|\n
B|-------------------------------------------------------------|\n
G|----7--9---------7--9------------7--9--------7--9------------|\n
D|-------------------------------------------------------------| x4\n
A|-------------------------------------------------------------|\n
E|-7--------7-7-7--------7-7-7--8-------8-8-8--------8-8-8-----|\n\n</t>
  </si>
  <si>
    <t>https://tabs.ultimate-guitar.com/tab/red_hot_chili_peppers/cant_stop_tabs_33385</t>
  </si>
  <si>
    <t>https://tabs.ultimate-guitar.com/tab/rush/bastille_day_tabs_81557</t>
  </si>
  <si>
    <t>e|--------------------------------|------------------------------|\n
B|--------------------------------|------------------------------|\n
G|-----------5-5--7--7----7\------|------------5-5--7--7---------|\n
D|---2--2-5--5-5--7--7-7--7\------|---2-2-2-5--5-5--7--7-7-------|\n
A|---2--2-5--3-3--5--5-7--5\------|---2-2-2-5--3-3--5--5-7--5\---|\n
E|---0--0-3--3-3--5--5-5--5\------|---0-0-0-3--3-3--5--5-5-------|\n\n</t>
  </si>
  <si>
    <t>eb|-------------------------------------------------------------------|\n
Bb|-------------------------------------------------------------------|\n
Gb|--9--9--7/9----7-/9--9---7-/9--7--9--7/9--9--7/9----7/9------7--8--|\n
Db|--9--9--7/9----7-/9--9---7-/9--5--9--7/9--9--7/9----7/9---9--7--8--|\n
Ab|--7--7--5/7----5-/7--7---5-/7-----7--5/7--7--5/7----5/7---9--5--6--|\n
Eb|----------------------------------------------------------7--------|\n\n</t>
  </si>
  <si>
    <t>https://tabs.ultimate-guitar.com/tab/black_sabbath/lord_of_this_world_tabs_191066</t>
  </si>
  <si>
    <t>A National Acrobat</t>
  </si>
  <si>
    <t>e|----------------------------------------------------|\n
B|----------------------------------------------------|\n
G|----------------------------------------------------|\n
D|-------------------2-1~-------------6-4--------2-1~-|(x4)\n
A|-2-4-4-4~--2-4-2-4-------2-4-4-4-4------2--0-2------| \n
E|----------------------------------------------------|\n\n</t>
  </si>
  <si>
    <t>https://tabs.ultimate-guitar.com/tab/black_sabbath/a_national_acrobat_tabs_108520</t>
  </si>
  <si>
    <t>https://tabs.ultimate-guitar.com/tab/black_sabbath/heaven_and_hell_tabs_33212</t>
  </si>
  <si>
    <t>eb|--------------------------------|--------------------------------|\n
Bb|--------------------------------|----------------3-3----3--------|\n
Gb|--------------------------------|----------------2-2--x-2--------|\n
Db|9---------------11------12------|5---------------0-0--x-0--------|\n
Ab|b7---------------9-------10------|3-------------------------------|\n
Eb|--------------------------------|--------------------------------|\n\n
eb|--------------------------------|--------------------------------|\n
Bb|--------------------------------|--------------------------------|\n
Gb|--------------------------------|--------------------------------|\n
Db|9---------------11------12------|14--1211-9----------------------|\n
Ab|7---------------9-------10------|12--10-9-7----------------------|\n
Eb|--------------------------------|--------------------------------|\n\n</t>
  </si>
  <si>
    <t>e|---------||-----------------|-----------------|------------------|\n
B|---------||--------3-(3)----|-(3)----(3)------|---------3-(3)----|\n
G|---------||----2s4----------|------------2-2--|-----2s4----------|\n
D|---------||-----------------|------------2-2--|---2--------------|\n
A|---------||-----------------|------------0-0--|-2-2--------------|\n
E|-x-x-12\-||-0---------------|-----------------|-0----------------|\n\n</t>
  </si>
  <si>
    <t>https://tabs.ultimate-guitar.com/tab/pink_floyd/young_lust_tabs_162254</t>
  </si>
  <si>
    <t>e|-----------9--10-|--12--10--9------|-----------------|-----------------|\n
B|--------10-------|-------------10--|-(10)------------|--5--------------|\n
G|------9----------|-----------------|-----9---7p6---7-|-----------------|\n
D|-----------------|-----------------|-----------------|-----------------|\n
A|-----------------|-----------------|-----------------|-----------------|\n
E|-----------------|-----------------|-----------------|-----------------|\n\n
e|-----------9--10-|--9h10p9---------|-----------------|-----------------|\n
B|-(5)----10-------|----------10-----|---------------5-|-----------------|\n
G|------9----------|-------------9-7-|--(7)--6---7-----|-----------------|\n
D|-----------------|-----------------|-----------------|--7--------------|\n
A|-----------------|-----------------|-----------------|-----------------|\n
E|-----------------|-----------------|-----------------|-----------------|\n\n</t>
  </si>
  <si>
    <t>https://tabs.ultimate-guitar.com/tab/the_allman_brothers_band/jessica_tabs_59573</t>
  </si>
  <si>
    <t>e|--------------|------------------------|-------------------------|\n
B|--------------|------------------------|-------------------------|\n
G|--------------|------------------8--10-|-------------------------|\n
D|------8-8-----|--10b-------------------|--10b-10--10-------------|\n
A|--10-------10-|------------------------|-------------------------|\n
E|--------------|------------------------|-------------------------|\n\n
e|---------------------------------------|------------------------------|\n
B|---------------------------------------|--------------------------11--|\n
G|---------------------------------------|-----------------------12-----|\n
D|------8-8-----8--10---10r-8---8--------|------8h-----8/15-------------|\n
A|--10-------10--------------------10----|------------------------------|\n
E|-------------------------------------9-|--10--------------------------|\n\n
e|------------------11--13-|-----------------------------|\n
B|--13b--------------------|--13b--13--13h----13/0-------|\n
G|-------------------------|-----------------------------|\n
D|-------------------------|-----------------------------|\n
A|-------------------------|-----------------------------|\n
E|-------------------------|-----------------------------|\n\n
e|-------------------------------------------|---------------------|\n
B|---------------------20b---18--------------|---------------------|\n
G|------15-15--15---------------20-18--------|---------------------|\n
D|--17-------------17-----------------20--20-|----------20/3-------|\n
A|-------------------------------------------|---------------------|\n
E|-------------------------------------------|---------------------|\n\n</t>
  </si>
  <si>
    <t>https://tabs.ultimate-guitar.com/tab/the_allman_brothers_band/soulshine_tabs_160318</t>
  </si>
  <si>
    <t>Say It Ain't So</t>
  </si>
  <si>
    <t>Weezer</t>
  </si>
  <si>
    <t>e|--17-12-||---17-12----12------------------------17-12-|\n
B|--------||---------15----15-13------------------------|\n
G|--------||---------------------14-12-14---12----------|\n
D|--------||--------------------------------------------|\n
A|--------||--------------------------------------------|\n
E|--------||--------------------------------------------|\n\n
e|--17-12----12-----------------------15-12-|\n
B|--------15----15-13-----------------------|\n
G|--------------------14-12-14---12---------|\n
D|------------------------------------------|\n
A|------------------------------------------|\n
E|------------------------------------------|\n\n
e|--15-12----12----------------------15-12-|--15-12----12-------------19-20----------|\n
B|--------15----15-13----------------------|--------15----15-13----------------------|\n
G|--------------------14-12-14---12--------|--------------------14-12----------------|x2\n
D|-----------------------------------------|-----------------------------------------|\n
A|-----------------------------------------|-----------------------------------------|\n
E|-----------------------------------------|-----------------------------------------|\n\n</t>
  </si>
  <si>
    <t>https://tabs.ultimate-guitar.com/tab/coldplay/adventure_of_a_lifetime_tabs_1779976</t>
  </si>
  <si>
    <t>OUTRO\n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 x4\n
A|-----------------------|----------------|----------------------------------------|\n
E|-----------------------|----------------|----------------------------------------|\n\n
e|----------------------------------------|----------------------------------------|\n
B|--12----12--12--12-12p10------12p10-----|--12----12--12--12-12p10------14b15r14--|\n
G|-------------------------11---------11--|-------------------------11-------------|\n
D|----------------------------------------|----------------------------------------| x3\n
A|----------------------------------------|----------------------------------------|\n
E|----------------------------------------|----------------------------------------|\n\n
e|-----------------------|----------------|-----------14---------------------------|\n
B|--12------12--14--14---|---14--15--15---|---14--15------15--14--15---------------|\n
G|-----------------------|----------------|----------------------------------------|\n
D|-----------------------|----------------|----------------------------------------|\n
A|-----------------------|----------------|----------------------------------------|\n
E|-----------------------|----------------|----------------------------------------|\n\n</t>
  </si>
  <si>
    <t>e|----11------11------11-----|----9------9------9------|----9------9------9-----|\n
B|-------11------11------11--|------11------11-----11--|------11-----11-----11--|\n
G|----------12------12-------|----------10-----10------|----------10-----10-----|\n
D|---------------------------|-------------------------|------------------------|\n
A|---------------------------|-------------------------|------------------------|\n
E|---------------------------|-------------------------|------------------------|\n\n
e|-----8------8-----8--------|\n
B|-------9------9-----9------|\n
G|---------10-----10---------|\n
D|---------------------------|\n
A|---------------------------|\n
E|---------------------------|\n\n</t>
  </si>
  <si>
    <t>https://tabs.ultimate-guitar.com/tab/coldplay/clocks_tabs_494845</t>
  </si>
  <si>
    <t>e|----------------------------------------------------------------|\n
B|----------------------------------------------------------------|\n
G|----------------------------------------------------------------|\n
D|-----5-8-5-------------5---3-----------5---5b-------5-----------|\n
A|---6-------6-8-6---3-6---6---6-----3-6---6----6---6---6-8-5---5-|\n
E|-8---------------5-------------5-4--------------6-----------7---|\n\n
e|-----------------------------------------------------------------|\n
B|-----------------------------------------------------------------|\n
G|-----0-3-0-------------0---------------0---1p0-------0-----------|\n
D|---1-------1-3-1-----1---1-3-1-------1---1-----1---1---1-3-0---0-|\n
A|-3---------------0-3-----------0---3-------------1-----------2---|\n
E|---------------------------------4-------------------------------|\n\n</t>
  </si>
  <si>
    <t>https://tabs.ultimate-guitar.com/tab/slash/promise_tabs_940801</t>
  </si>
  <si>
    <t>Promise (feat. Chris Cornell)</t>
  </si>
  <si>
    <t>Gotten (feat. Adam Levine)</t>
  </si>
  <si>
    <t>play 3x\n
e|------------------------------|------------------------------|\n
B|------5---4h5---7-5---4h5---5-|------5---4h5---7-5---4h5---5-|\n
G|--------4-----4-----4---------|--------4-----4-----4---------|\n
D|--------------------------6---|--------------------------6---|\n
A|-4(4)-------------------------|-0(0)-------------------------|\n
E|------------------------------|------------------------------|\n\n
                                 1st, 2nd ending
e|------------------------------||------------0-----------------------|\n
B|------5---4h5---7-5---4h5---5-||--------4-------4---------4-7p5-----|\n
G|--------4-----4-----4---------||------4---4---4---4-----5-------4---|\n
D|--------------------------6---||----------------------6-----------6-|\n
A|------------------------------||-2(2)---------------3---------------|\n
E|-0(0)-------------------------||------------------------------------|\n\n
3rd ending\n
E|------------0---------------0-------|\n
B|--------4-------4---------0---------|\n
G|------4---4---4---4-----6-----6-----|\n
D|----------------------7---------7---|\n
A|-2(2)---------------0-------------7-|\n
E|------------------------------------|\n\n</t>
  </si>
  <si>
    <t>eb|-----13-12-13-10-13-12-13---|-----13-12-13-10-13-12-13---|\n
Bb|--10------------------------|--10------------------------|\n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eb|-----13-12-13-10-13-12-13---|-----13-12-13-10-13-12-13---|\n
Bb|--11------------------------|--11------------------------|\n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eb|-----15-13-15-12-15-13-15---|-----15-13-15-12-15-13-15---|\n
Bb|--12------------------------|--12------------------------|\n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eb|-----15-12-15-13-15-12-15---|-----15-12-15-13-15-12-15---|\n
Bb|--13------------------------|--13------------------------|\n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eb|-----17-15-17----17-15-17---|-----17-15-17----17-15-17---|\n
Bb|--14----------17------------|--14----------17------------|\n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eb|-----17-13-17----17-13-17---|-----17-13-17----17-13-17---|\n
Bb|--15----------17------------|--15----------17------------|\n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eb|-----18-17-18----17-15-17---|-----15-14-15----15-14-15---|\n
Bb|--15----------14------------|--13----------12------------|\n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eb|-----13-12-13----13-12-13---|-----12-10-12----12-10-12---|\n
Bb|--11----------10------------|--9-----------x-------------|\n
Gb|----------------------------|----------------------------|\n
Db|----------------------------|----------------------------|\n
Ab|----------------------------|----------------------------|\n
Eb|----------------------------|----------------------------|\n\n
eb|-----8--7--8-----7-----7----|-----7-----7----------------|\n
Bb|--10----------9-----10------|--8-----10-------10-8--10---|\n
Gb|----------------------------|--------------7-------------|\n
Db|----------------------------|----------------------------|\n
Ab|----------------------------|----------------------------|\n
Eb|----------------------------|----------------------------|\n\n
eb|-----5-----5----------------|\n
Bb|--6-----8--------8--7--8----|\n
Gb|--------------5-------------|\n
Db|----------------------------|\n
Ab|----------------------------|\n
Eb|----------------------------|\n\n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</si>
  <si>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</si>
  <si>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</si>
  <si>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</si>
  <si>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</si>
  <si>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e|------------------|------------------|\n
B|---9-----10-----7-|-----9-----10---7-|\n
G|---9------9-----8-|-----9------9---8-|\n
D|---9------9-----9-|-----9------9---9-|\n
A|-----7-7----7-7---|-7-7---7-7----7---|\n
E|------------------|------------------|\n\n
e|-------------------|-----------------------|\n
B|-----7-----8-----5-|-(5)-----0---(0)-------|\n
G|-----7-----7-----6-|-(6)---x---------------|\n
D|-----7-----7-----7-|-(7)-x-----------------|\n
A|-7s5---5-5---5-5---|-----------------------|\n
E|-------------------|-------------------0---|\n\n
e|--------------------|------------------|\n
B|-----9-----10-----7-|-----9-----10---7-|\n
G|-----9------9-----8-|-----9------9---8-|\n
D|-----9------9-----9-|-----9------9---9-|\n
A|-------7-7----7-7---|-7-7---7-7----7---|\n
E|-(0)----------------|------------------|\n\n
e|-------------------|--------------0-0--|\n
B|-----7-----8-----5-|-(5)----------5-5--|\n
G|-----7-----7-----6-|-(6)----------6-6--|\n
D|-----7-----7-----7-|-(7)----------6-6--|\n
A|-7s5---5-5---5-5---|--------------4-4--|\n
E|-------------------|-------------------|\n\n</t>
  </si>
  <si>
    <t>https://tabs.ultimate-guitar.com/tab/van_halen/panama_tabs_170836</t>
  </si>
  <si>
    <t>e|---------------------------------------------------------|\n
B|---------------------------------------------------------|\n
G|---------------------------------------------------------|\n
D|---------------------------------------------------------|\n
A|-X\--0^3^7-12^7^3^0^3^7-12-7-3-0-3-7-12-7-3-0-3-7-12-7-3-|\n
E|---------------------------------------------------------|\n\n
e|---------------------------------------------------|\n
B|---------------------------------------------------|\n
G|---------------------------------------------------|\n
D|---------------------------------------------------|\n
A|-0-5-9-12-9-5-0-5-9-12-9-5-0-5-9-12-9-5-0-5-9-12-9-|\n
E|---------------------------------------------------|\n\n
e|--------------------------------------------------------|\n
B|--------------------------------------------------------|\n
G|--------------------------------------------------------|\n
D|-12-0-3-7-12-7-3-0-3-7-12-7-3-0-3-7-12-7-3-0-3-7-12-7-3-|\n
A|--------------------------------------------------------|\n
E|--------------------------------------------------------|\n\n
e|---------------------------------------|\n
B|---------------------------------------|\n
G|---------------------------------------|\n
D|-0-5-9-12-9-5-0-5-9-12-9-5-0-5-9-12-9~-|\n
A|---------------------------------------|\n
E|---------------------------------------|\n\n
E|----------------------------------------------------------------------------|\n
B|----------------------------------------------------------------------------|\n
G|-12-3-7-12-7-3-0-3-7-12-7-3-0-5-9-12-9-5-0-5-9-12-9-5-0-3-7-12-7-3-0-3-7-12-|\n
D|----------------------------------------------------------------------------|\n
A|----------------------------------------------------------------------------|\n
E|----------------------------------------------------------------------------|\n\n
E|-----------------|\n
B|-----------------|\n
G|-7-3-0-5-9-12-9~-|\n
D|-----------------|\n
A|-----------------|\n
E|-----------------|\n\n</t>
  </si>
  <si>
    <t>e|--2-p0-----0--5-p0-----0--2-p0-----0--4p2p0-----0------------------|\n
B|--------3-----------3-----------3------------3---------------------|\n
G|-------------------------------------------------------------------| x8\n
D|-------------------------------------------------------------------|\n
A|-------------------------------------------------------------------|\n
E|-------------------------------------------------------------------|\n\n
e|--2-p0-----0--5-p0----|\n
B|--------3-----------3-|\n
G|----------------------|\n
D|----------------------|\n
A|----------------------|\n
E|----------------------|\n\n</t>
  </si>
  <si>
    <t>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Ab|------------3-5-----------5-6------------3-5-6-5---9-8-------|\n
Db|-0-0--0-5-6------0--0-5-6-----0-0--0-5-6---------6-----8-3-5-|\n\n
Eb|-------------------------------------------------------------|\n
Bb|-------------------------------------------------------------|\n
Gb|-------------------------------------------------------------|\n
Db|-------------------------------------------------------------|\n
Ab|------------3-5-----------5-6------------3-5-6-5-------------|\n
Db|-0-0--0-5-6------0--0-5-6-----0-0--0-5-6---------6-3-5-0-3-5-|\n\n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</si>
  <si>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</si>
  <si>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</si>
  <si>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</si>
  <si>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</si>
  <si>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</si>
  <si>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</si>
  <si>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</si>
  <si>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C|-5/7-----7---10----7----8----85/7---10---7---8---8-8-8------------------------|\n
G|-3/5-----5---8-----5----6----63/5---8----5---6---6-6-6------------------------|\n
C|-----0-0---0----00---00---00------0----0---0---0------------------------------|\n\n
D|------------------------------------------------------------------------------|\n
A|------------------------------------------------------------------------------|\n
F|------------------------------------------------------------------------------|\n
C|-5/7-----7---10----7----8----85/7---10---7------------------------------------|\n
G|-3/5-----5---8-----5----6----63/5---8----5------------------------------------|\n
C|-----0-0---0----00---00---00------0----0---7-7-7-10-7-------------------------|\n\n</t>
  </si>
  <si>
    <t>https://tabs.ultimate-guitar.com/tab/disturbed/indestructible_tabs_762269</t>
  </si>
  <si>
    <t>eb|----------0--------------0--------------0--------------0--------|\n
Bb|-----------17-------------17-------------17-------------17------|\n
Gb|-----19------19-----19------19------19-----19------19-----19----|\n
Db|---16--16------0--16--16------0---16--16-----16--16--16-----0---|\n
Ab|-17-------------16----------------------------------------------|\n
Eb|--------------------------------15-------------15---------------|\n\n</t>
  </si>
  <si>
    <t>https://tabs.ultimate-guitar.com/tab/the_killers/mr_brightside_tabs_202653</t>
  </si>
  <si>
    <t>e|----------------|------12+~ -----------------------------|\n
B|--14~ ----12~ --|------12+~ -----------------------------|\n
G|--13~ ----13~ --|-----------------------------11p9-------|\n
D|--13~ ----11~ --|--------------------------9-------9h11--|\n
A|----------------|------------------7--9/11---------------|\n
E|----------------|--0------------/9-----------------------|\n\n
e|--------------------------------|------------------------------------|\n
B|-----14~ ---12------------------|-------5~ ----x0--------------------|\n
G|-----13~ -------11h13~ ---11----|-------6~ ----x0---------------9h11-|\n
D|-----13~ --------------------14-|-------4~ ------------------9-------|\n
A|-----11~ -----------------------|-0---0--------------7--9/11---------|\n
E|--0-----------------------------|-----------------/9-----------------|\n\n
e|-----------------|--------------------------------|------------------|\n
B|-----------------|-----14~ ---12------------------|-------5~ ---x0---|\n
G|--9--9-----9-----|-----13~ -------11h13~ ---11----|-------6~ ---x0---|\n
D|-----9h11--9h11--|-----13~ --------------------14-|-------4~ --------|\n
A|-----------------|-----11~ -----------------------|-0---0------------|\n
E|-----------------|--0-----------------------------|------------------|\n\n
e|-------------------------------|-------------------------------|\n
B|-------------------------------|-----14~ ---12-----------------|\n
G|---------------11p9------------|-----13~ -------11h13~ --11----|\n
D|-------------9------11------9--|-----13~ -------------------14-|\n
A|-----7--9/11-----------9h11----|-----11~ ----------------------|\n
E|--/9---------------------------|--0----------------------------|\n\n
e|----------------------------------------------|----12----------------|\n
B|---------5~ ---5~ ----------------------------|----12----14~ ---12---|\n
G|---------6~ ---6~ ------------------9h11p9----|----------13~ --------|\n
D|---------4~ ---4~ -------------9-11--------11-|----------13~ --------|\n
A|--0--0-----------------7--9/11----------------|----------11~ --------|\n
E|-------------------0-9------------------------|-0-----0--------------|\n\n
e|------------------|------------------------------------|-------------|\n
B|------------------|-------5~ ---5\------5~-------6~ ---|---------7~ -|\n
G|--11h13~ ---11----|-------6~ ---6\--------6~ -/7---7~ -|-/8----------|\n
D|---------------14-|-------4~ --------------------------|-----6-------|\n
A|------------------|-0---0------------------------------|-------------|\n
E|------------------|-----------------/5--------/6-------|-/7----7-----|\n\n
e|--------------------|--------------------------------------|\n
B|-----7~ -----x------|------------10~ ---10~ -------10------|\n
G|--------8~ ----8----|------------11~ ------11~ -------11\--|\n
D|-----------------6--|---/9--9------------------------------|\n
A|--------------------|--------------------------------------|\n
E|--7-----------------|--/10----10-----10--------------------|\n\n
e|------------------------------|-------------------------------------|\n
B|----------3~ ---3------3------|-----------6~ -----5~ ---x0----------|\n
G|----------------4-4~ ----4----|-------------7~ ---6~ ---x0----------|\n
D|-----2---------------------2--|--/5--5------------4~ ---------------|\n
A|------------------------------|-------------------------------7-7h9-|\n
E|--3----3----------------------|--/6----6----------5--------/9-------|\n\n</t>
  </si>
  <si>
    <t>https://tabs.ultimate-guitar.com/tab/stevie_ray_vaughan_double_trouble/lenny_tabs_604</t>
  </si>
  <si>
    <t>E|--5-| |-----------|-----------|-----------|-----------|\n
B|--5-| |-5p0-0-----|-5p0-0-----|-5p0-0-----|-7p0-0-5---|\n
G|--6-| |-5p0-0-6-6-|-5p0-0-6-6-|-5p0-0-6-6-|-7p0-0-5---|\n
D|--7-| |-5p0-0-7-7-|-5p0-0-7-7-|-5p0-0-7-7-|-7p0-0-5-5-| \n
A|--7-| |-------7-7-|-------7-7-|-------7-7-|---------5-|\n
E|--5-| |-----------|-----------|-----------|-----------|\n\n</t>
  </si>
  <si>
    <t>https://tabs.ultimate-guitar.com/tab/zz_top/heard_it_on_the_x_tabs_705184</t>
  </si>
  <si>
    <t>B |-----------------------------------------------------|\n
F#|-----------------------------------------------------|\n
D |-----------------------------------------------------|\n
A |-------------6----------------------------6----------|\n
E |-----------------------------------------------------|\n
A |-0--0--0-0-0-----0--3h5-0-0-0-0-0-0-0-0-0-----0--3h5-|\n\n
B |---------------------------------------------------------|\n
F#|---------------------------------------------------------|\n
D |---------------------------------------------------------|\n
A |----------6----------------------------------------------|\n
E |---------------------------------------------------------|\n
A |-0--0-0-0-----0--3h5-0-0-5-5-5-5-6-6-6-6-8-8-8-8-7-7-7-7-|\n\n
B |-----------------------------------------------------------------|\n
F#|-----------------------------------------------------------------|\n
D |-----------------------------------------------------------------|\n
A |-----------------------------------------------------------------|\n
E |-----------------------------------------------------------------|\n
A |-5-5-5-5-6-6-6-6-8-8-8-8-7-7-7-7-5-5-5-5-6-6-6-6-8-8-8-8-7-7-7-7-|\n\n
B |--------------------------|\n
F#|--------------------------|\n
D |--------------------------|\n
A |--------------------------|\n
E |--------------------------|\n
A |-5555555566668888-6v--5-6-|\n\n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</si>
  <si>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</si>
  <si>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</si>
  <si>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</si>
  <si>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</si>
  <si>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D|------------------------------------------------------------|\n
A|------------------------------------------------------------|\n
F|---555555555555\\777777777777\\444444444444\\222222222222---|\n
C|---777777777777\\999999999999\\555555555555\\333333333333---|\n
G|---000000000000-000000000000-000000000000-000000000000------|\n
C|------------------------------------------------------------|\n\n
D|------------------------------------------------------------|\n
A|------------------------------------------------------------|\n
F|---5-5-5--7-7-7--4-4-4--2-2-2-------------------------------|\n
C|----7-7-7--9-9-9--5-5-5--3-3-3------------------------------|\n
G|------------------------------------------------------------|\n
C|------------------------------------------------------------|\n\n
D|---55555555-77777777-44444444-99999999----------------------|\n
A|------------------------------------------------------------|\n
F|------------------------------------------------------------|\n
C|------------------------------------------------------------|\n
G|------------------------------------------------------------|\n
C|------------------------------------------------------------|\n\n
D|------------------------------------------------------------|\n
A|------------------------------------------------------------|\n
F|------------------------------------------------------------|\n
C|-------55555555-44444444-77777777-99889988------------------|x2\n
G|-------55555555-44444444-77777777-99889988------------------|\n
C|-------55555555-44444444-77777777-99889988------------------|\n\n
D|------------------------------------------------------------|\n
A|------------------------------------------------------------|\n
F|------------------------------------------------------------|\n
C|------------------------------------------------------------|x2\n
G|-------55555555-44444444-77777777-1010101010101010----------|\n
C|-------55555555-44444444-77777777-1010101010101010----------|\n\n</t>
  </si>
  <si>
    <t>https://tabs.ultimate-guitar.com/tab/system_of_a_down/chop_suey_tabs_2926</t>
  </si>
  <si>
    <t>e|----------------------|--------------------------|\n
B|----------------------|--------------------------|\n
G|----------------------|--------------------------|\n
D|----------------------|------------------5-------|\n
A|------7-5-7-5---8-5---|------7-5-7-5---8---7-----|\n
E|--0-5---------6-----6-|--0-5---------6-------8-6-|\n\n
e|----------------------|--------------------------------|\n
B|----------------------|--------------------------------|\n
G|----------------------|--------------------------------|\n
D|----------------------|------------------5-------------|\n
A|------7-5-7-5---8-5---|------7-5-7-5---8---7-----3-2---|\n
E|--0-5---------6-----6-|--0-5---------6-------8-6-----1-|\n\n
e|----------------------|--------------------------|----------------------|\n
B|----------------------|--------------------------|----------------------|\n
G|----------------------|--------------------------|----------------------|\n
D|----------------------|------------------5-------|----------------------|\n
A|------7-5-7-5---8-5---|------7-5-7-5---8---7-----|------7-5-7-5---8-5---|\n
E|--0-5---------6-----6-|--0-5---------6-------8-6-|--0-5---------6-----6-|\n\n
e|------------------------------------|\n
B|------------------------------------|\n
G|------------------------------------|\n
D|------------------5-----------------|\n
A|------7-5-7-5---8---7-----3-5-2-----|\n
E|--0-5---------6-------8-6-------3-1-|\n\n
e|----------------------|--------------------------|n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e|----------------------|--------------------------------|\n
B|----------------------|--------------------------------|\n
G|----------------------|--------------------------------|\n
D|----------------------|--------------------------------|\n
A|------2-0-2-0---3-2---|------2-0-2-0---3-5-2-----2-----|\n
E|--0-1---------1-----1-|--0-1---------1-------3-1---3-1-|\n\n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e|----------------------|----------------------------------|\n
B|----------------------|----------------------------------|\n
G|----------------------|----------------------------------|\n
D|----------------------|----------------------------------|\n
A|------2-0-2-0---3-2---|------2-0-2-0-----3-5-2-----2-----|\n
E|--0-1---------1-----1-|--0-1---------1-0-------3-1---3-1-|\n\n</t>
  </si>
  <si>
    <t>https://tabs.ultimate-guitar.com/tab/dream_theater/constant_motion_tabs_522612</t>
  </si>
  <si>
    <t>e|-------------------|--11-11-11-11-8-8-11-11-11-11-8-8-11-11-8-8-|\n
B|-------------------|--------------------------------------------|\n
G|-------------------|--------------------------------------------|\n
D|-------------------|--------------------------------------------|\n
A|-------------------|--------------------------------------------|\n
E|-------------------|--------------------------------------------|\n\n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e|--15-15-15-15-11-11-15-15-15-15-11-11-15-15-11-11-|\n
B|--------------------------------------------------|\n
G|--------------------------------------------------|\n
D|--------------------------------------------------|\n
A|--------------------------------------------------|\n
E|--------------------------------------------------|\n\n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e|--13-13-13-13-8-8-13-13-13-13-8-8-13-13-8-8-|\n
B|--------------------------------------------|\n
G|--------------------------------------------|\n
D|--------------------------------------------|\n
A|--------------------------------------------|\n
E|--------------------------------------------|\n\n
e|--11-11-11-11-8-8-11-11-11-11-8-8-11-11-8-8-|\n
B|--------------------------------------------|\n
G|--------------------------------------------|\n
D|--------------------------------------------|\n
A|--------------------------------------------|\n
E|--------------------------------------------|\n\n
e|--8-10-11-13-10-11-13-15-/11--/13--/15~----|\n
B|-------------------------------------------|\n
G|-------------------------------------------|\n
D|-------------------------------------------|\n
A|-------------------------------------------|\n
E|-------------------------------------------|\n\n</t>
  </si>
  <si>
    <t>https://tabs.ultimate-guitar.com/tab/dragonforce/through_the_fire_and_flames_tabs_358347</t>
  </si>
  <si>
    <t>https://tabs.ultimate-guitar.com/tab/muse/reapers_tabs_1741342</t>
  </si>
  <si>
    <t>e|----------------|-----------------|\n
B|----------------|-----------------|\n
G|----------------|-----------------|\n
D|----------------|-----7-----8--7--|\n
A|--8-----10------|--5-----6---6----|\n
E|----10------8---|-----------------|\n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</si>
  <si>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</si>
  <si>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</si>
  <si>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</si>
  <si>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</si>
  <si>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e|-----|-------------------------|-----------------|-------------------------|\n
B|-----|-------------------------|-----------------|-------------------------|\n
G|-----|-------------------------|-----------------|-------------------------|\n
D|-----|-------------------------|-----------------|-------------------------|\n
A|-5h6h|=7-----------------------|-2-------(2)-5h6h|=7-----------------------|\n
E|-----|---5h6h7-7p6p5-5p4p3-3-3-|-0-------(0)-----|---5h6h7-7p6p5-5p4p3-3-3-|\n\n
e|-----------------|-------------------------|\n
B|-----------------|-------------------------|\n
G|-----------------|-------------------------|\n
D|-----------------|---------------------2h3h|\n
A|-4-------(4)-5h6h|=7-----------------------|\n
E|-2-------(2)-----|---5h6h7-7p6p5-5p4p3-----|\n\n
e|-------------------------|---------------------------|\n
B|-------------------------|---------------------------|\n
G|-------------------------|---------------------------|\n
D|-4-----------------------|---------------------------|\n
A|---2h3h4-4p3p2-2p1p0-5h6h|=7-------------------------|\n
E|-------------------------|---5h6h7-7p6p5-5p4p3-3-3---|\n\n</t>
  </si>
  <si>
    <t>https://tabs.ultimate-guitar.com/tab/megadeth/holy_wars_the_punishment_due_tabs_711368</t>
  </si>
  <si>
    <t>Holy Wars… The Punishment Due</t>
  </si>
  <si>
    <t>https://tabs.ultimate-guitar.com/tab/the_chainsmokers/something_just_like_this_chords_1953009</t>
  </si>
  <si>
    <t>(Capo 2)
F#|----------------------3---0---------------|\n
C#|------3-----1---------------1-------------|\n
A |----0---------------2---0-----2-0---------|\n
E |--0-------2-------3-----------------------|\n
B |--------0-----0h1-------------------------|\n
F#|------------------------------------------|\n\n
F#|----1-------------1----------|\n
C#|----3-----------3---3--------|\n
A |----2---------2--------------|\n
E |--0---------0----------------|\n
B |------0h3p0-----------0h3p0--|\n
F#|-----------------------------|\n\n</t>
  </si>
  <si>
    <t>https://tabs.ultimate-guitar.com/tab/the_smiths/girl_afraid_tabs_1817648</t>
  </si>
  <si>
    <t>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C#|-4-4---4---------|-2-2---2-2-2---2-|-4-4---4---------|-0-0---0-0-0-----|\n
G#|-4-4---4-2-4-2-4-|-2-2---2-2-2---2-|-4-4---4-2-4-2-4-|-0-0---0-0-0-----|\n
C#|-4-4---4---------|-2-2---2-2-2---2-|-4-4---4---------|-0-0---0-0-0-----|\n\n
d#|-----------------|-----------------|-----------------|-----------------|\n
A#|-----------------|-----------------|-----------------|-----------------|\n
F#|-----------------|-----------------|-----------------|-----------------|\n
C#|-4-4---4---------|-2-2---2-2-2---2-|-4-4---4---------|-9-9-9-9-9-9-9-9-|\n
G#|-4-4---4-2-4-2-4-|-2-2---2-2-2---2-|-4-4---4-2-4-2-4-|-7-7-7-7-7-7-7-7-|\n
C#|-4-4---4---------|-2-2---2-2-2---2-|-4-4---4---------|-7-7-7-7-6-6-6-6-|\n\n</t>
  </si>
  <si>
    <t>https://tabs.ultimate-guitar.com/tab/paramore/misery_business_tabs_604324</t>
  </si>
  <si>
    <t>https://www.songsterr.com/a/wsa/disturbed-down-with-the-sickness-tab-s6643t0</t>
  </si>
  <si>
    <t>Eb|--------------------------------------------------------------------------|\n
Bb|--------------------------------------------------------------------------|\n
Gb|--------------------------------------------------------------------------|\n
Db|--------------------------------------------------------------------------|x3\n
Ab|--7-10-7-8-7--7-10-7-8-7--7-10-7-8-----------------7-10-7-8-7--7-10-7-8-7-|\n
Db|--------------------------------------------------------------------------|\n\n
Eb|---------------------------------------------------|\n
Bb|---------------------------------------------------|\n
Gb|---------------------------------------------------|\n
Db|---------------------------------------------------|\n
Ab|-2--5--2--3--2-----2--5--2--3--2-----2--5-2--3-----|\n\n
Db|-2--5--2--3--2-----2--5--2--3--2-----2--5-2--3-----|\n\n</t>
  </si>
  <si>
    <t>https://tabs.ultimate-guitar.com/tab/disturbed/guarded_tabs_193415</t>
  </si>
  <si>
    <t>e|-----------------|-----------------|\n
B|-----------------|-----------------|\n
G|-7/9-9-7/9-9-7-9-|---------------77|\n
D|-7/9-9-7/9-9-7-9-|---7-7-7-7\6\5-77|x3\n
A|-5/7-7-5/7-7-5-7-|---7-7-7-7\6\5-55|\n
E|-----------------|-0-5-5-5-5\4\3---|\n\n
e|-----------------|-----------------|\n
B|-----------------|-----------------|\n
G|-7/9-9-7/9-9-7-9-|-----------------|\n
D|-7/9-9-7/9-9-7-9-|---7-7-7-7\6\5---|\n
A|-5/7-7-5/7-7-5-7-|---7-7-7-7\6\5---|\n
E|-----------------|-0-5-5-5-5\4\3-0-|\n\n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</si>
  <si>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</si>
  <si>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</si>
  <si>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</si>
  <si>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e|-------------------------------------------------------------12-15b17-|\n
B|--------15--------15--------15-------------------------12-15----------|\n
G|-14b16-----14b16-----14b16-----14b16r14-12-14-12-14-12----------------|\n
D|----------------------------------------------------------------------|\n
A|----------------------------------------------------------------------|\n
E|----------------------------------------------------------------------|\n\n
e|------------------------------------------------------|\n
B|---------------4/5/4----------------------------------|\n
G|-2/4----4--4-----------5/4/5/4/5-4/5s/4-4/9-------9---|\n
D|------------------------------------------------------|\n
A|------------------------------------------------------|\n
E|------------------------------------------------------|\n\n</t>
  </si>
  <si>
    <t>Eb|------------------------------------------------------------------|\n
Bb|------------------------------------------------------------------|\n
Gb|--14--14--14--14--14--14---------------10----12--12----12------12-|\n
Db|--14--14--16--14--16--14-----10--10----10----12--12h14-12------12-|\n
Ab|--0---0---0---0---0---0---0--10--10h12---------------------14-----|\n
Eb|------------------------------------------------------------------|\n\n
Eb|------------------------------------------------------------------|\n
Bb|------------------------------------------------------------------|\n
Gb|--14--14--14--14--14--14---------------10-------------------------|\n
Db|--14--14--16--14--16--14-----10--10----10-------------------------|\n
Ab|--0---0---0---0---0---0---0--10--10h12---------------12\----------|\n
Eb|------------------------------------------------------------------|\n\n
Eb|------------------------------------------------------------------|\n
Bb|------------------------------------------------------------------|\n
Gb|--7-7-7--4/5-5-7-4/5--5--7-5--------------------------------------|\n
Db|--7-7-7--4/5-5-7-4/5--5--7-5-7-5----------------------------------|\n
Ab|--7-7-7--------------------7-5------------------------------------|\n
Eb|------------------------------------------------------------------|\n\n</t>
  </si>
  <si>
    <t>https://tabs.ultimate-guitar.com/tab/kiss/deuce_tabs_204326</t>
  </si>
  <si>
    <t>e|--------------------------|-----------------------------------|\n
B|--------------------------|-----------------------------------|\n
G|--------------------------|-----------------------------------|\n
D|----------------0)----0)--|--9-------9-------9-------9--------|\n
A|----------------5-----5---|--7-------7-------7-------7--------|\n
E|-------------7-----7------|--0-0-0-0-0-0-0-0-0-0-0-0-0-0-0-0--|\n\n
e|-----------------------------------|-----------------------------------|\n
B|-----------------------------------|-----------------------------------|\n
G|-----------------------------------|-----------------------------------|\n
D|--9-------9-------9-9----0)----0)--|--9-------9-------9-------9--------|\n
A|--7-------7-------7-7----5-----5---|--7-------7-------7-------7--------|\n
E|--0-0-0-0-0-0-0-0-0-0-7-----7------|--0-0-0-0-0-0-0-0-0-0-0-0-0-0-0-0--|\n\n
e|-----------------------------------|\n
B|-----------------------------------|\n
G|-----------------------------------|\n
D|--9-------9-------9-9----0)----0)--|\n
A|--7-------7-------7-7----5-----5---|\n
E|--0-0-0-0-0-0-0-0-0-0-7-----7------|\n\n</t>
  </si>
  <si>
    <t>https://tabs.ultimate-guitar.com/tab/led_zeppelin/whole_lotta_love_tabs_134091</t>
  </si>
  <si>
    <t>Corazon Espinado (feat. Mana)</t>
  </si>
  <si>
    <t>e|---------------------|-----7-6--------------------------|\n
B|---------------------|---7-----7-5----5//7--7-----------|\n
G|---------------------|-7------------7-----------9-6-7-9-|\n
D|----- 9//12/9-----9--|----------------------------------|\n
A|--9-12--------12-----|----------------------------------|\n
E|---------------------|----------------------------------|\n\n
e|--------7//10-7----7-|----14-19-18-14-------------------|\n
B|--7//10---------10---|-15-------------17--15-17//19-19--|\n
G|---------------------|----------------------------------|\n
D|---------------------|----------------------------------|\n
A|---------------------|----------------------------------|\n
E|---------------------|----------------------------------|\n\n
e|-----------------------------------------------|\n
B|-17//19-19-17//19-19--17-14-15-17-15-14-14-12--|\n
G|-----------------------------------------------|\n
D|-----------------------------------------------|\n
A|-----------------------------------------------|\n
E|-----------------------------------------------|\n\n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</si>
  <si>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</si>
  <si>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</si>
  <si>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</si>
  <si>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</si>
  <si>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e|10------------------------------|--------------------------------|\n
b|------------10--13----------10--|12--------------10--------------|\n
g|--------------------------------|------------12------------------|\n
D|--------------------------------|--------------------------------|\n
A|--------------------------------|--------------------------------|\n
E|--------------------------------|--------------------------------|\n\n
e|10------------------------------|--------------------------------|\n
b|------------10--13----------10--|12------------------------------|\n
g|--------------------------------|------------12------------------|\n
D|--------------------------------|----------------12--------------|\n
A|--------------------------------|--------------------------------|\n
E|--------------------------------|--------------------------------|\n\n
e|--------------------------------|\n
b|--------------------------------|\n
g|5-7-----8-7-----5-7---5-7---8-7-|\n
D|5-7-----8-7-----5-7---5-7---8-7-|\n
A|3-5-x-x-6-5-x-x-3-5-x-3-5-x-6-5-|\n
E|--------------------------------|\n\n</t>
  </si>
  <si>
    <t>https://tabs.ultimate-guitar.com/tab/rammstein/engel_tabs_19893</t>
  </si>
  <si>
    <t>e|---------------------------------|-------------------------------|\n
B|-------8---------------8---------|-------8-----------------------|\n
G|-----------8-----------8---8-----|-----------8---------8---8-----|\n
D|---------------0---0-----0-------|-----------------0-------0-----|\n
A|-----x---------0---------x-----0-|--8--8---------0---0---------0-|\n
E|--8------8---8---6---6---6---6---|--x------x-------------6---6-0-|\n\n
e|--------------------------------|----------------------------0-------| \n
B|--3----3--------------3---------|--3------3---3--3~-------3--3---3---|\n
G|-----------3---3------3---3-----|--3-------------2~----0--0--0---0---|\n
D|--0--------------0----------0-0-|--2----2---2----------2--2--2---2-0-|\n
A|-----------------0--0---1---1---|----------------------------------0-|\n
E|--3--3---3---3------------------|------------------------------------|\n\n
e|---------------------------------|------------------------------|\n
B|-------3-----------3---3---3---3-|--3------3---3-3~--3-3--3-----|\n
G|-----------3---3---3-------3---3-|--3----3---3---2~--0-0--0-----|\n
D|-----0---------------------------|--2--------2---2~----2--2--0--|\n
A|-----------------0---0---1---1---|---------------------------0--|\n
E|--3------3---3-------------------|------------------------------|\n\n</t>
  </si>
  <si>
    <t>https://tabs.ultimate-guitar.com/tab/radiohead/paranoid_android_tabs_113681</t>
  </si>
  <si>
    <t>eb|-----4-4-x-0---------------5-5-------------|\n
Bb|-4h5-5-5-x-0-------0-------5-5-------------|\n
Gb|-4---4-4-x-5------5--5/-6--6-6--1--------9-|\n
Db|-4h6-6-6-x-6-----6---6/-7--7-7--2--------9-|\n
Ab|-4-------x-6--6------6/-7-------2---9h11---|\n
Eb|---------x-4----4----4/-5-------0----------|\n\n</t>
  </si>
  <si>
    <t>e|-------------------------------------|-------------------------------------|\n
B|-------------------------------------|-------------------------------------|\n
G|-------------------------------------|-------------------------------------|\n
D|-------------------------------------|-------------------------------------|\n
A|--2--2-----2--4---5--5-5p4---4(p2)---|--2--2----2--4--5---5--5p4----4(p2)--|\n
E|-------------------------------------|-------------------------------------|\n\n</t>
  </si>
  <si>
    <t>e|--------------------|-------3-0-----------|\n
B|--------------------|-----------3-0-------|\n
G|------7-7-7---------|--------------2BFBp0-|\n
D|--2---7-7-7--7-7-7--|-X-X-X---------------|\n
A|--2---5-5-5--7-7-7--|-X-X-X---------------|\n
E|--0----------5-5-5--|-X-X-X---------------|\n\n
e|--------------------|---------------------|\n
B|--------------------|---------------------|\n
G|------7-7-7---------|---------------------|\n
D|--2---7-7-7--7-7-7--|---------------------|\n
A|--2---5-5-5--7-7-7--|--2---2---2---2------|\n
E|--0----------5-5-5--|----4---5---6---7\---|\n\n</t>
  </si>
  <si>
    <t>e|-------------------|------------------|\n
B|-------------------|------------------|\n
G|----------4--------|--------4---4---4-|\n
D|----------4--------|--------4---4---4-|\n
A|-0-1-2-2-2-2-2-2-2-|0-1-2-2-2-2-2-2-2-|\n
E|-------------------|------------------|\n\n</t>
  </si>
  <si>
    <t>e|-----------------------------------------------------|\n
B|-----------------------------------------------------|\n
G|-----4-----------------------4-----------------------|\n
D|--------4-----------------------4--------------------|\n
A|--2--------2--------2--5--2--------2--------2--0--5--|\n
E|--------------2--5--------------------2--5-----------|\n\n</t>
  </si>
  <si>
    <t>e|-----------------------|----------------------|\n
B|-----------------------|----------------------|\n
G|-----------------------|------------9----7----|\n
D|---9------9--4----7----|--9------9--9----7----| (x3)\n
A|---9------9--4----7----|--9------9--7----5----|\n
E|---7------7--2----5----|--7------7------------|\n\n
e|----------------------|-------------------|------7------7------|\n
B|----------------------|-------------------|------7------7------|\n
G|----------------------|-------------------|--------------------|\n
D|--9------9--4----7----|--9----------------|--------------------|\n
A|--9------9--4----7----|--9----------------|--------------------|\n
E|--7------7--2----5----|--7----------------|--------------------|\n\n</t>
  </si>
  <si>
    <t>e|-----------------------|\n
B|-----------------------|\n
G|-----------------------|\n
D|-----------0-----------| 2x\n
A|---------2-------------|\n
E|-0--0--4---------------|\n\n
e|-------------------------|\n
B|-------------------------|\n
G|-------------------------|\n
D|-------------0--4--2--0--| 4x\n
A|----------2--------------|\n
E|-0--0--4-----------------|\n\n</t>
  </si>
  <si>
    <t>e|----------|--------------|-----------|---1---------|----------|--------------|\n
B|----1---3-|--------------|-----1---3-|-3-1-3---1-3-|----1---3-|--------------|\n
G|------2---|-1-0----------|-------2---|-2---2-2-----|------2---|-1-0----------|\n
D|----------|-----3-0----0-|-----------|-------------|----------|-----3-0------|\n
A|----------|--------0-3---|-----------|-------------|----------|---------0-3--|\n
D|-0--------|--------------|-0---------|-------------|-0--------|--------------|\n\n
e|---|----------|-1----------------|----------|---------------|---------------|\n
B|---|----1-3-3-|-1--3--3-----1--3-|----1---3-|---------------|---1---3-------|\n
G|---|----2-2-2-|-2--2--2--2-------|------2---|-1-0-----------|-----2---------|\n
D|-0-|-0--------|------------------|----------|-----3-0-----0-|---------------|\n
A|---|----------|------------------|----------|---------0-3---|---------------|\n
D|---|----------|------------------|-0--------|---------------|-0-------------|\n\n</t>
  </si>
  <si>
    <t>e|-----------------------------------|-----------------------------------|\n
B|-----------------------x-12b---10~-|-----------------------x-12b---10~-|\n
G|--14--14-14-14--14-14--x-----------|--13--13-13-13--13-13--x-----------|\n
D|--x---x--x--x---x--x---x-----------|--x---x--x--x---x--x---x-----------|\n
A|--12--12-12-12--12-12--------------|--11--11-11-11--11-11--------------|\n
E|-----------------------------------|-----------------------------------|\n\n
e|-----------------------------------|-------------------------------|\n
B|-----------------------x-12b---10~-|-----------------x-12b-12b-12b-|\n
G|--10--10-10-10--10-10--x-----------|--9--9-9-9--9-9--x-------------|\n
D|--x---x--x--x---x--x---x-----------|--x--x-x-x--x-x--x-------------|\n
A|--8---8--8--8---8--8---------------|--7--7-7-7--7-7----------------|\n
E|-----------------------------------|-------------------------------|\n\n</t>
  </si>
  <si>
    <t>e|-------0-----|-------0-----|-------0-----|-------0---7-|\n
B|-----0---0---|-----0---0---|-----0---0---|-----0---0---|\n
G|---0-------0-|---0-------0-|---0-------0-|---0---------|\n
D|-------------|-------------|-------------|-------------|\n
A|-------------|-------------|-------------|-------------|\n
E|-0-----------|-0-----------|-0-----------|-0-----------|\n\n
e|-7-----------7p0---------|---------7---8---7h8\5---7-5-/0------|\n
B|-----0-----------0-------|---------0---0-----------0-------5---|\n
G|---------0-----------0---|-----0-------------------------------|\n
D|-------------------------|-------------------------------------|\n
A|-------------------------|-------------------------------------|\n
E|-0-----------------------|-0-----------------------------------|\n\n
e|-------------2p0---------|-------------0---0---0---|\n
B|-5-------5-------5-------|---------5-------5---5---|\n
G|-----5---------------5---|-----5-----------5---5---|\n
D|-------------------------|-------------------------|\n
A|-0-----------------------|-0---------------0---2---|\n
E|-------------------------|-------------------------|\n\n
e|-0-----------3p0-----0---|-0----------0h5p0---------|\n
B|-5-------5-------5---5---|-7---7-5-7--------7p0-0h5-|\n
G|-5-----5---5-------5-5---|-7------------------------|\n
D|-------------------------|--------------------------|\n
A|-3---3---------------3---|-5------------------------|\n
E|-------------------------|--------------------------|\n\n
e|-------12----|-------0-----|-------0-----|-------0-----|\n
B|-----12--0---|-----0---0---|-----0---0---|-----0---0---|\n
G|---12------0-|---0-------0-|---0-------0-|---0-------0-|\n
D|-------------|-------------|-------------|-------------|\n
A|-------------|-------------|-------------|-------------|\n
E|-0-----------|-0-----------|-0-----------|-0-----------|\n\n</t>
  </si>
  <si>
    <t>e|-----------------------------------------------------------------|\n
B|-----------------------------------------------------------------|\n
G|-----------------------------------------------------------------|\n
D|----------------------1/3--1---------------0---------------------| \n
A|-------1------------1---------3/5-3---1-3----3----1-3-3h5-3h5----|\n
E|---1-3---3------1-3--------------------------------------------3-|\n\n</t>
  </si>
  <si>
    <t>e|---------5------------3-------------------------5-------|\n
B|---------5------------3------------6------------5-------|\n
G|---------5------------4------------7------------5-------|\n
D|---------7------------5------------7------------7-------|\n
A|----------------------------5--5---5--------------------|\n
E|--5--5---------3--3----------------------5--5-----------|\n\n</t>
  </si>
  <si>
    <t>e|-------------------------|-------------------------|--------------------------|\n
B|-------------------------|-------------------------|--------------------------|\n
G|-------------------------|-------------------------|-2p0----------------------|\n
D|-------------------------|-------------------------|-----2--------------1-1-2-|\n
A|-5p3---------------------|-5p3---------------------|-5p3---2-4----5-5-5-------|\n
E|-----5-0-2-2-3-3-3-4-4-5-|-----5-0-2-2-3-3-3-4-4-5-|-----5-0-2--2-3-3-3-4-4-5-|\n\n
e|-----------------------|\n
B|-----------------------|\n
G|-2p0-------------------|\n
D|-----2---------1-(1)-2-|\n
A|-5p3---2-4--5--------0-|\n
E|-----5-0-2--3--4-(4)---|\n\n</t>
  </si>
  <si>
    <t>F#C#AEBF#</t>
  </si>
  <si>
    <t>e|----------------------------|\n
B|----------------------------|\n
G|----------------------------|\n
D|----------------------------| x3\n
A|----10b----------10b--------|\n
E|-0------0--0-0-0-----0--0-0-|\n\n
e|--------------------------------------|\n
B|--------------------------------------|\n
G|------------------------2(3)2-0h2p0---|\n
D|------------------------------------2-|\n
A|----10b----------10b------------------|\n
E|-0------0--0-0-0-----0----------------|\n\n</t>
  </si>
  <si>
    <t>e|-------5-7-----7-|-8-----8-2-----2-|-0---------0-----|-----------------|\n
B|-----5-----5-----|---5-------3-----|---1---1-----1---|-0-1-1-----------|\n
G|---5---------5---|-----5-------2---|-----2---------2-|-0-2-2-----------|\n
D|-7-------6-------|-5-------4-------|-3---------------|-----------------|\n
A|-----------------|-----------------|-----------------|-2-0-0---0--/8-7-|\n
E|-----------------|-----------------|-----------------|-----------------|\n\n
e|---------7-----7-|-8-----8-2-----2-|-0---------0-----|-----------------|\n
B|-------5---5-----|---5-------3-----|---1---1-----1---|-0-1-1-----------|\n
G|-----5-------5---|-----5-------2---|-----2---------2-|-0-2-2-----------|\n
D|---7-----6-------|-5-------4-------|-3---------------|-----------------|\n
A|-0---------------|-----------------|-----------------|-2-0-0-------0-2-|\n
E|-----------------|-----------------|-----------------|-----------------|\n\n
E|-------0-2-----2-|-0-----0----------|---------3-----3-|-3^2-2-2---------|\n
B|-----------3-----|---1-----0h1------|-1-----1---0-----|-----3-3---------|\n
G|-----0-------2---|-----2-------2----|---0---------0---|-----------------|\n
D|---2-----0-------|-3----------------|-----2-----------|-0---0-0---------|\n
A|-3---------------|---------0----0-2-|-3---------------|-------------0-2-|\n
E|-----------------|------------------|---------3-------|-----------------|\n\n
E|---------2-----2-|-0-----0----------|---------------2-|-0-0-0-----------|\n
B|-------1---3-----|---1-----0-1------|-------1-----3---|-1-1-1-----------|\n
G|-----0-------2---|-----2-------2----|-----0-----2-----|-2-2-2-----------|\n
D|---2-----0-------|-3----------------|---2-----0-------|-3-3-3-----------|\n
A|-3---------------|---------0----0-2-|-3---------------|-----------------|\n
E|-----------------|------------------|-----------------|-----------------|\n\n</t>
  </si>
  <si>
    <t>e|---------------------------------------|\n
B|-----------7--------10--7--9--7--------|\n
G|--------9-----9------------------9-----|\n
D|-----9-----------9------------------9--|\n
A|--7------------------------------------|\n
E|---------------------------------------|\n\n
e|--------------------------------------|---------------------------------------|\n
B|-----------7--------------------------|-----------7--------10--7--9--7--------|\n
G|--------9-----9-----7--6-----------6--|--------9-----9------------------9-----|\n
D|-----9-----------9--------9--7--9-----|--9--------------9------------------9--|\n
A|--7-----------------------------------|-----7---------------------------------|\n
E|--------------------------------------|---------------------------------------|\n\n
e|--10--7--9--7-9-7---------------------------|\n
B|-------------------10--7--10-----10-----10--|\n
G|------------------------------9------7------|\n
D|--------------------------------------------|\n
A|--------------------------------------------|\n
E|--------------------------------------------|\n\n
e|---------------------------------------|--------------------------------------|\n
B|-----------7--------10--7--9--7--------|-----------7--------------------------|\n
G|--------9-----9------------------9-----|--------9-----9-----7--6-----------6--|\n
D|-----9-----------9------------------9--|-----9-----------9--------9--7--9-----|\n
A|--7------------------------------------|--7-----------------------------------|\n
E|---------------------------------------|--------------------------------------|\n\n
e|---------------------------------------|\n
B|-----------7--------10--7--9--7--------|\n
G|--------9-----9------------------9-----|\n
D|--9--------------9------------------9--|\n
A|-----7---------------------------------|\n
E|---------------------------------------|\n\n
e|--------------------7--10--7--12--9------|\n
B|-----------------8-------------------10--|\n
G|-----------4/-7--------------------------|\n
D|--------5--------------------------------|\n
A|-----5-----------------------------------|\n
E|--3--------------------------------------|\n\n</t>
  </si>
  <si>
    <t>e|---------------------------|--------------------------------------|\n
B|---------------------------|--------------------------------------|\n
G|---------------------------|--------------------------------------|\n
D|-----------------5-3-------|------------------------5-3-----------|\n
A|--3-5--3-5--3-5--3-1-------|-3-5-(5)--3-5-(5)--3-5--3-1-----------|\n
E|--1-3--1-3--1-3------3-1-3-|-1-3-(3)--1-3-(3)--1-3------3-1-3-(3)-|\n\n</t>
  </si>
  <si>
    <t>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D|-------11----11-11----11|-------11----11-11-11---|-------11----11-11----11|-------11----11-11-11---|\n
A|-------9-----9--9-----9-|-------9-----9--9--9----|-------9-----9--9-----9-|-------9-----9--9--9--0-|\n
D|-0--0-----0--------0----|-0--0-----0-----------0-|-9--9-----9--------9----|-9--9-----9-----------0-|\n\n
E|------------------------|------------------------|------------------------|------------------------|\n
B|------------------------|------------------------|------------------------|------------------------|\n
G|------------------------|------------------------|------------------------|------------------------|\n
D|-------7-----------7----|-------11----------11---|-------11----------11---|-------11----11-11----11|\n
A|-------5-----------5----|-------9-----------9----|-------9-----------9----|-------9-----9--9-----9-|\n
D|-5--5-----5--5--5-----5-|-9--9-----9--9--9-----9-|-9--9-----9--9--9-----9-|-0--0-----0--------0----|\n\n</t>
  </si>
  <si>
    <t>E|------------------------------------------------------------------------------------------------------|\n
B|------------------------------------------------------------------------------------------------------|\n
G|------------------------------------------------------------------------------------------------------|\n
D|------------------------------------------------------------------------------------------------------|\n
A|-00-5-0-7-0-8-0-10-0-8-0-7h8p7-----88-10-0-8-0-7~--77-7-0-8-0------00-5-0-7-0-8-0-10-0-8-0-7h8p7------|\n
D|-00----------------------------10--88--------------77---------10~--00----------------------------10---|\n\n
E|-----------------------|\n
B|-----------------------|\n
G|-----------------------|\n
D|-----------------------|\n
A|-88x--77x--------------|\n
D|-88x--77x--------------|\n\n</t>
  </si>
  <si>
    <t>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D|----------------------|-----------------------|-----------------------|-----------------------|\n
A|----------------------|-----------------------|-----------------------|-----------------------|\n
D|12-0-13-0-12-0-10h12--|-0-0-13-0-12-0-10h12---|-0-0-13-0-12-0-10h12---|-0-0-13-0-16h17p16-0---|\n\n
E|----------------------|-----------------------|---------------------------|-----------------------|\n
B|----------------------|-----------------------|---------------------------|-----------------------|\n
G|----------------------|-----------------------|---------------------------|-----------------------|\n
D|----------------------|-----------------------|---------------------------|-----------------------|\n
A|----------------------|-----------------------|---------------------------|-----------------------|\n
D|12-0-13-0-12-0-10h12--|-0-0-13-0-12-0-10h12---|--0-0-[10-10-10-10-10]--0--|-[10-10-10]0[10-10-10]-| --[allharmonics]\n\n
E|----------------------|-----------------------|-----------------------|-----------------------|\n
B|----------------------|-----------------------|-----------------------|-----------------------|\n
G|----------------------|-----------------------|-----------------------|-----------------------|\n
D|----------------------|-----------------------|-----------------------|-----------------------| (x4)\n
A|----------------------|-----------------------|-----------------------|-----------------------|\n
D|12-0-13-0-12-0-10h12--|-0-0-13-0-12-0-10h12---|-0-0-13-0-12-0-10h12---|-0-0-13-0-16h17p16-0---|\n\n</t>
  </si>
  <si>
    <t>E|---------------------------------|---------------------------------|\n
B|---------------------------------|---------------------------------|\n
G|---------------------------------|---------------------------------|\n
D|11-9--11-9--12--11-9--11-9--12---|11-9--11-9--12--11-9--11-9--12---|\n
A|-----9-----9---9-----9-----9---9-|-----9-----9---9-----9-----9---9-|\n
D|---------------------------------|---------------------------------|\n\n</t>
  </si>
  <si>
    <t>E|-------------------------------------------------------------------------------|\n
B|-------------------------------------------------------------------------------|\n
G|-------------------------------------------------------------------------------|\n
D|6-8--6-8--6-8--6-8----6-8--6-8--6-8--8-6----6-8--6-8--6-8--6-8----6-8--6-8--6-8|\n
A|6-8--6-8--6-8--6-8----6-8--6-8--6-8--6-4----6-8--6-8--6-8--6-8----6-8--6-8--6-8|\n
D|6-8--6-8--6-8--6-8----6-8--6-8--6-8---------6-8--6-8--6-8--6-8----6-8--6-8--6-8|\n\n</t>
  </si>
  <si>
    <t>E|------------------------------------------------|\n
B|------------------------------------------------|\n
G|------------------------------------------------|\n
D|-3-------2-3-------2----3--------2-3-------2----|\n
A|-3---0-3---3---0-3---3--3----0-3---3---0-3---3--|\n
D|-3-3-------3-3----------3--3-------3-3----------|\n\n</t>
  </si>
  <si>
    <t>E|-----------------------------|\n
B|-----------------------------|\n
G|-----------------------------|\n
D|-----------------------------|\n
A|-----------------------------|\n
D|-0-3p0-5p0-3-0-0-3p0-5b6-5b6-|\n\n</t>
  </si>
  <si>
    <t>E|---------------|---------------|----------------|----------------|\n
B|---------------|---------------|----------------|----------------|\n
G|---------------|---------------|----------------|----------------|\n
D|-4h7h12p0-[x8]-|-5h8h12p0-[x8]-|-8h11h12p0-[x8]-|-7h10h12p0-[x8]-|\n
A|---------------|---------------|----------------|----------------|\n
D|---------------|---------------|----------------|----------------|\n\n
E|---------------|---------------|------------------|\n
B|---------------|---------------|------------------|\n
G|-3h7h12p0-[x8]-|-5h8h12p0-[x8]-|-6h9h12p0-[x8]--\-|\n
D|---------------|---------------|------------------|\n
A|---------------|---------------|------------------|\n
D|---------------|---------------|------------------|\n\n
e|-------------------------|--------------------|-------------------------|--------------------|\n
B|-------------------------|--------------------|-------------------------|--------------------|\n
G|-------------------------|--------------------|-------------------------|--------------------|\n
D|-------------------------|---------------5--6-|-------------------------|---------------3--4-|\n
A|---5-3-0-3p0---------5---|-5-3-0-3p0-----3--4-|---5-3-0-3p0---------5---|-5-3-0-3p0-----3--4-|\n
D|-0-----------5-3-0-0---0-|-----------3p0------|-0-----------5-3-0-0---0-|-----------3p0-3--4-|\n\n</t>
  </si>
  <si>
    <t>E|------------|--------------------------------------------------------|\n
B|------------|--------------------------------------------------------|\n
G|------------|--------------------------------------------------------|\n
D|------------|--------------------------------------------------------|\n
A|------------|--------------------------------------------------------|\n
D|------------|-19-19S18-18S17-17S16-16-15S14S13S12S11S10S9S8S7S6S5S4--|\n\n
E|-----------------------------------||---------------------------------|\n
B|----------------------------------o||---------------------------------|\n
G|-----------------------------------||---------------------------------|\n
D|-----------------------------------||---------------------------------|\n
A|------8-------7-----8---------6---o||-----8-------7-----8---------6---|\n
D|--0-6---0-0-6---0-6---0-0-6-8---0--||-0-6---0-0-6---0-6---0-0-6-8---0-|\n\n
E|----------------------------------|----------------------------------|\n
B|o---------------------------------|---------------------------------o|\n
G|----------------------------------|----------------------------------|\n
D|--0-6-8-6-0-5-6-5-0-6-8-6-3-5-6-5-|-0-6-8-6-0-5-6-5-0-6-8-6-3-5-6-5--|\n
A|o-0-6-8-6-0-5-6-5-0-6-8-6-3-5-6-5-|-0-6-8-6-0-5-6-5-0-6-8-6-3-5-6-5-o|\n
D|--0-6-8-6-0-5-6-5-0-6-8-6-3-5-6-5-|-0-6-8-6-0-5-6-5-0-6-8-6-3-5-6-5--|\n\n</t>
  </si>
  <si>
    <t>E|-------------------------|\n
B|-------------------------|\n
G|-------------------------|\n
D|-----------3h4-----------|\n
A|-0-3h5-x-x-----5-0-2h3-2-|\n
D|-0---------------0-2h3-2-|\n\n</t>
  </si>
  <si>
    <t>eb|-----------------------------------------------------------------|\n
Bb|-----------------------------------------------------------------|\n
Gb|-----------------------------------------------------------------|\n
Db|---------8-9-8-----8-7-----7-6-------------8-9-8-----8-7-----7-6-|\n
Ab|-------7---------9-------8---------------7---------9-------8-----|\n
Eb|-0-0-0-----------------------------0-0-0-------------------------|\n\n
eb|-----------------------------------------------------------------|\n
Bb|-----------------------------------------------------------------|\n
Gb|---------8-9-8-----8-7-----7-6-------------8-9-8-----8-7-----7-6-|\n
Db|-------7-8-9-8---9-8-7-----7-6-----------7-8-9-8---9-8-7---8-7-6-|\n
Ab|-------7---------9-------8---------------7---------9-------8-----|\n
Eb|-0-0-0-----------------------------0-0-0-------------------------|\n\n</t>
  </si>
  <si>
    <t>eb|-------0-0-0-0-0-|---7-7-7-7-7-7-7--|------0-0-0-0-0-0-0-0-|--------------|\n
Bb|--3su5-5-5-5-5-5-|---8-8-8-8-8-8-8--|-3su5-5-5-5-5-5-5-5-5-|--------------|\n
Gb|-----------------|------------------|----------------------|--0-b2--0-----|\n
Db|-----------------|------------------|----------------------|----------2---|\n
Ab|-----------------|------------------|----------------------|--------------|\n
Eb|-----------------|------------------|----------------------|--------------|\n\n
eb|----0----0-----0-----0-|-----0-----0-----0-2-0-|-0-0----0----0-----0------|\n
Bb|----0----0-----0-----0-|-----0-----0-----0-2-0-|-0-0----0----0-----0------|\n
Gb|----1----1-------------|-----------------1-2-1-|-1-1----------------------|\n
Db|-----------------------|--2--------------------|--------------------------|\n
Ab|------------2-----4----|--------------2--------|----------2-----4---------|\n
Eb|-0-----3---------------|--------3--------------|------3-------------------|\n\n
eb|-----0-----0---0-2-0--|-----0-----0-----0-----0-|---0----0------0--2--0---|\n
Bb|-----0-----0---0-2-0--|-----2-----2-----2-----2-|---2----2------0--2--0---|\n
Gb|---------------1-2-1--|-----2-----2-----2-----2-|-2-2----2---------2------|\n
Db|--2-------------------|--------------2-----4----|-------------2-----------|\n
Ab|-------------2--------|--0-----4----------------|------4------------------|\n
Eb|--------3-------------|-------------------------|-------------------------|\n\n
eb|----0------0-------0-----0-|---0-----0-----0---------|-----------------------|\n
Bb|----0------0-------0-----0-|---0-----0-----0-------3-|------3-----3----------|\n
Gb|---------------------------|------------------2su4---|-2su4---2su4--2p0------|\n
Db|---------------------------|-2-----------------------|------------------2----|\n
Ab|---------------2------4----|------------2------------|-------------------0h2-|\n
Eb|-0-----3-------------------|------3------------------|-----------------------|\n\n
eb|---|------------------------------|----0----------------------------------|\n
Bb|---|------------------------------|----0--2su3-3-3-3-3-3------------------|\n
Gb|---|------------------------------|----1--3su4-4-4-4-4-4-2p0--------------|\n
Db|---|-0-1-2----------------------2-|--------------------------2------------|\n
Ab|-2-|--------0-2-1--0h1p0---0------|---------------------------------------|\n
Eb|---|---------------------3----3---|-0-------------------------------------|\n\n</t>
  </si>
  <si>
    <t>eb|---|-------------------|-------------------|------------------|\n
Bb|-7-|-(7)-8-----------3-|-(3)-4p3---5-6p5---|-7--8---------10--|\n
Gb|-7-|-(7)-7-----------3-|-(3)-3-----5-------|-7--7---------10--|\n
Db|-7-|-(7)-7-----------3-|-(3)-3-----5-------|-7--7---------10--|\n
Ab|-5-|-(5)-5-------------|-------------------|-5--5----------8--|\n
Eb|---|-------0-0-0-0-0---|---------0-------0-|------0-0-0-0-----|\n\n
eb|-------------------------|----------------|-------------------|\n
Bb|-(10)-11-10----10--8-----|-7--8---------3-|-(3)-4p3---5-6p5---|\n
Gb|-(10)-10-10----10--9-----|-7--7---------3-|-(3)-3-----5-5-----|\n
Db|-(10)-------10----10-----|-7--7---------3-|-(3)-3-----5-5-----|\n
Ab|--(8)--------------------|-5--5-----------|-------------------|\n
Eb|---------------------0-0-|------0-0-0-0---|---------0-------0-|\n\n
eb|-----------------|-------------------------|-------------------|\n
Bb|-7--8---------10-|-(10)-11-10----10--8---7-|-------------------|\n
Gb|-7--7---------10-|-(10)----10----10--9---7-|-------------------|\n
Db|-7--7---------10-|-(10)-------10----10---7-|-------------------|\n
Ab|-5--5----------8-|--(8)------------------5-|-------------------|\n
Eb|------0-0-0-0----|-------------------------|-------------------|\n\n</t>
  </si>
  <si>
    <t>eb|-----2--------2--------0--------0--------2--------2--------0--------0-----|\n
Bb|---3---3----3---3----3---3----3---3----3---3----3---3----3---3----3---3---|\n
Gb|-4-------2---------0-------0--------4---------2--------0-------0--------4-|\n
Db|--------------------------------------------------------------------------|\n
Ab|--------------------------------------------------------------------------|\n
Eb|--------------------------------------------------------------------------|\n\n</t>
  </si>
  <si>
    <t>eb|---------------------------------------------------|\n
Bb|---------------------------------------------------|\n
Gb|---------------------------------------------------|\n
Db|---------------------------------------------------|\n
Ab|--4--2--4--2--4--2--4--2----4--4--4--4--4--4--4----|\n
Eb|---------------------------------------------------|\n\n
eb|---------------------------------------------------|\n
Bb|---------------------------------------------------|\n
Gb|---------------------------------------------------|\n
Db|-----7-------------------9-------------------------|\n
Ab|-----7-------------------9-------------------------|\n
Eb|--0--5----------------0--7-------------------------|\n\n</t>
  </si>
  <si>
    <t>eb|------------------|--------------------|--------------------|----------------------|\n
Bb|------------------|--------------------|--------------------|----------------------|\n
Gb|-18\----14-----16-|--18---16---14---18-|----18--18-18-18-18-|--18-18--18-18-18-18--|\n
Db|------------------|--------------------|--------------------|----------------------|\n
Ab|-16\----12-----14-|--16---14---12---16-|----16--16-16-16-16-|--16-16--16-16-16-16--|\n
Eb|------------------|--------------------|--------------------|----------------------|\n\n
eb|------------------|--------------------|--------------------|----------------------|\n
Bb|------------------|--------------------|--------------------|----------------------|\n
Gb|-18\----14-----16-|--18---16---14---14-|----14--14-14-14-13-|--13-13---13-13-13-13-|\n
Db|------------------|--------------------|--------------------|----------------------|\n
Ab|-16\----12-----14-|--16---14---12---12-|----12--12-12-12-11-|--11-11---11-11-11-11-|\n
Eb|------------------|--------------------|--------------------|----------------------|\n\n</t>
  </si>
  <si>
    <t>eb|--------------------------|--------------------------|\n
Bb|--------------------------|-3p2p0--------------------|\n
Gb|--------------------------|-------2p0----------------|\n
Db|-----------------------2--|-----------2p0------------|\n
Ab|-------2p0-------2-----0--|---------------2p0-----2--|\n
Eb|-0-3h4-----0-3h4-0-3h4----|-------------------3h4-0--|\n\n
eb|--------------------------|---------------------||\n
Bb|--------------------------|---------------------||\n
Gb|--------------------------|-2-------------------||\n
Db|-----------------------2--|-0--2-(2)------------||\n
Ab|-------2p0-------2-----0--|----0-(0)-2-(2)------||\n
Eb|-0-3h4-----0-3h4-0-3h4----|----------------3----||\n\n</t>
  </si>
  <si>
    <t>eb|---------------------------------------------------------------------------|\n
Bb|---------------------------------------------------------------------------|\n
Gb|--------------------------5------------------------------------------------|\n
Db|------7-------5-------7---5---------7-------5-------7--------------7-------|\n
Ab|0-0-0---0-0-0---0-0-0---0-----0-0-0---0-0-0---0-0-0---0-3~---0-0-0---0-0-0-|\n
Eb|---------------------------------------------------------------------------|\n\n
eb|---------------------------------------------------------------------------|\n
Bb|--------------------5p0---------5p0----------------------------------------|\n
Gb|------------0-5p0-------7-5p0-------7-5p0---5p0----------------------------|\n
Db|5-------7---------7-----------7-----------7-----7-5p0---7-5-0----------7---|\n
Ab|--0-0-0---0-------------------------------------------7----------0-0-0---0-|\n
Eb|---------------------------------------------------------------------------|\n\n
eb|---------------------------------------------------------------------------|\n
Bb|---------------------------------------------------------------------------|\n
Gb|----------------5----------------------------------------------------------|\n
Db|----5-------7---5--------7-------5-------7-------------7-------5-------7---|\n
Ab|0-0---0-0-0---0----0-0-0---0-0-0---0-0-0---0-3~--0-0-0---0-0-0---0-0-0---0-|\n
Eb|---------------------------------------------------------------------------|\n\n
eb|---------------------------------------------------------------------------|\n
Bb|---------------------------------------------------------------------------|\n
Gb|-5/-----7-------5w\/\/---8p7p5-------------0-8p7p5---------------2---0-8p7p|\n
Db|-5/-----------5----------------7-7-5-5h7~----------7-7-5-5-0---------------|\n
Ab|----0-7-----5------------------------------------------------3-4-----------|\n
Eb|----------5----------------------------------------------------------------|\n\n</t>
  </si>
  <si>
    <t>D |-----|-------------------------------|------------------------------|-------|\n
A |-----|-------------------------------|------------------------------|-------|\n
F#|-----|-------------------------------|------------------------------|-------|\n
D |-----|-------------------------------|------------------------------|-------|\n
A |-----|-------3p0-0-5-----------------|-------3--0-5-----------------|-------|\n
D |-15/-|-/7--7-------0----0-0--6-5-3-0-|-/7--7------0----0-0--6-5-3-0-|-------|\n\n
D |-------------------------------|-------------------|------------------------|\n
A |-------------------------------|-------------------|------------------------|\n
F#|-------------------------------|-------------------|------------------------|\n
D |-------------------------------|-------------------|------------------------|\n
A |-------3p0-0-5-----------------|-5-3---------------|------------------------|\n
D |-/7--7-------0----0-0--6-5-3-0-|-----6-5-3-0-3-5-0-|------------------------|\n\n</t>
  </si>
  <si>
    <t>Eb|-----------------------------|------------------------|\n
Bb|-----------------------------|------------------------|\n
Gb|-----------------------------|------------------------|\n
Db|-----------------------------|------------------------|\n
Ab|o----3-5---------3-5-----3-5-|----3-5---------1-----6-|\n
Db|--0------0-0-0-0-----0-0-----|-0------0-0-0-0---0-0---|\n\n
Eb|----------------------------|-----------------------------|\n
Bb|----------------------------|-----------------------------|\n
Gb|----------------------------|-----------------------------|\n
Db|----------------------------|-----------------------------|\n
Ab|----3-5---------3-5-----3-5-|----3-5---------------------o|\n
Db|-0------0-0-0-0-----0-0-----|-0------0-0-0-0-6-6-6-6-6-6--|\n\n</t>
  </si>
  <si>
    <t>C |---------------------------|\n
G |---------------------------|\n
D#|---------------------------|\n
A#|---------------------------|\n
F |-17-17-17--17/21-21-19/17--|\n
C |-0--0--0---0--0--0--0--0---|\n\n</t>
  </si>
  <si>
    <t>free</t>
  </si>
  <si>
    <t>locked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</si>
  <si>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</si>
  <si>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</si>
  <si>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</si>
  <si>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</si>
  <si>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</si>
  <si>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</si>
  <si>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</si>
  <si>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</si>
  <si>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</si>
  <si>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</si>
  <si>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</si>
  <si>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</si>
  <si>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</si>
  <si>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</si>
  <si>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</si>
  <si>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</si>
  <si>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e|--------------------------------|\n
B|--------------------------------|\n
G|--------------------------------|\n
D|-2-------12--11--10-------------|\n
A|-2-------12--11--10-------------|\n
E|-0-------10---9---8-------------|\n\n
e|--------------------------------------------------------------------|\n
B|--------------------------------------------------------------------|\n
G|--------------------------------------------------------------------|\n
D|-------------------12--11--10---------------------------------------|\n
A|-------------------12--11--10---------------------------------------|\n
E|-0-0-12-0-0-11-0-0-10---9---8-------0-0-7-0-0-6-0-0-5-0-4-0-3-0-2-1-|(x4)\n\n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E|-0-1---0-1---0-1---0-1---0-1-----0-1---0-1---1-0-3/2-0-3/2-0-3/2-|(x2)\n\n
e|-----------------------------------------------------------------|\n
B|-----------------------------------------------------------------|\n
G|-------------------------------------------------------------4---|\n
D|-------------------------------------------------------------4---|\n
A|-----2-----3-----4-----3-----2-2-----2-----3-----4-----3-----2---|\n
E|-0-1---0-1---0-1---0-1---0-1-----0-1---0-1---0-1---0-1---0-1-----|\n\n
e|-----------------------------------------------------------------|\n
B|-----------------------------------------------------------------|\n
G|-----------------------------------------------------------------|\n
D|-----------------------------------------------------------------|\n
A|-----2-----3-----4-----3-----2-2-----2-----3-----5/4---5/4---5/4-|\n
E|-0-1---0-1---0-1---0-1---0-1-----0-1---0-1---1-0-3/2-0-3/2-0-3/2-|\n\n</t>
  </si>
  <si>
    <t>e|-------0-----|-------0-----|-------0-----|-------0---7-|\n
B|-----0---0---|-----0---0---|-----0---0---|-----0---0---|\n
G|---0-------0-|---0-------0-|---0-------0-|---0---------|\n
D|-------------|-------------|-------------|-------------|\n
A|-------------|-------------|-------------|-------------|\n
E|-0-----------|-0-----------|-0-----------|-0-----------|\n\n
e|-7-----------7p0---------|---------7---8---7h8/5---7-5-/0------|\n
B|-----0-----------0-------|---------0---0-----------0-------5---|\n
G|---------0-----------0---|-----0-------------------------------|\n
D|-------------------------|-------------------------------------|\n
A|-------------------------|-------------------------------------|\n
E|-0-----------------------|-0-----------------------------------|\n\n
e|-------------2p0---------|-------------0---0---0---|\n
B|-5-------5-------5-------|---------5-------5---5---|\n
G|-----5---------------5---|-----5-----------5---5---|\n
D|-------------------------|-------------------------|\n
A|-0-----------------------|-0---------------0---2---|\n
E|-------------------------|-------------------------|\n\n
e|-0-----------3p0-----0---|-0----------0h5p0---------|\n
B|-5-------5-------5---5---|-7---7-5-7--------7p0-0h5-|\n
G|-5-----5---5-------5-5---|-7------------------------|\n
D|-------------------------|--------------------------|\n
A|-3---3---------------3---|-5------------------------|\n
E|-------------------------|--------------------------|\n\n
e|-------12----|-------0-----|-------0-----|-------0-----|\n
B|-----12--0---|-----0---0---|-----0---0---|-----0---0---|\n
G|---12------0-|---0-------0-|---0-------0-|---0-------0-|\n
D|-------------|-------------|-------------|-------------|\n
A|-------------|-------------|-------------|-------------|\n
E|-0-----------|-0-----------|-0-----------|-0-----------|\n\n</t>
  </si>
  <si>
    <t>e|-----------------||-------------|---------------|----------------|\n
B|---------------8-||-------------|-6/7---7h8p7---|----------------|\n
G|---------7-8h9---||-5h7-----4h7-|---------------|----------------|\n
D|--7-9-10---------||--------5----|-------------9-|----------------|\n
A|-----------------||-------------|---------------|----------------|\n
E|-----------------||-------------|---------------|----------------|\n\n
e|------------------|-------------|---------------|----------------|\n
B|----------------8-|-------------|-6/7-7--7h8p7--|----------------|\n
G|----------7-8h9---|-5h7-----4h7-|---------------|----------------|\n
D|---7-9-10---------|--------5----|-------------9-|----------------|\n
A|------------------|-------------|---------------|----------------|\n
E|------------------|-------------|---------------|----------------|\n\n
e|--5h7-5h7p5---------5----|-----7------|--5h7p5h7p5---------------|\n
B|------------8-(8)p5-8b10-|-----10b12--|------------8----(8)p5----|\n
G|-------------------------|------------|--------------------------|\n
D|-------------------------|------------|--------------------------|\n
A|-------------------------|------------|--------------------------|\n
E|-------------------------|------------|--------------------------|\n\n
e|-----------------|----------------------|---------|-----------------|\n
B|-8b10r8p5-5h7p5--|---------5---------5--|---------|------4/5h7------|\n
G|---------------7-|-(7)------7-5/4/5h7---|---------|-4--7-------4--7-|\n
D|-----------------|--------------------7-|-(7)-----|-----------------|\n
A|-----------------|----------------------|---------|-----------------|\n
E|-----------------|----------------------|---------|-----------------|\n\n
e|-5h7-5h7p5-5---------5----|-(5)----|-----------------|--------------|\n
B|-------------8-8p5-8-8b10-|-(8b10)-|---------------8-|--------------|\n
G|--------------------------|--------|---------7-8h9---|-5h7------4-7-|\n
D|--------------------------|--------|--7-9-10---------|--------------|\n
A|--------------------------|--------|-----------------|--------------|\n
E|--------------------------|--------|-----------------|--------------|\n\n</t>
  </si>
  <si>
    <t>e|----------------------------------------------------------------------------|\n
B|--4-4-4-4-4-4-4-4-4-4-4-4/11-11-11-11/4-4-4-4-4-4-4-4-4-4-4-4/11-11-11-11/--|\n
G|----------------------------------------------------------------------------|\n
D|----------------------------------------------------------------------------|\n
A|----------------------------------------------------------------------------|\n
E|----------------------------------------------------------------------------|\n\n
e|---------------------------------------------------------------------------|\n
B|--4-4-4-4-4-4-4-4-4-4-4-4/11-11-11-11/4-4-4/3-3-3-3-3-3-3-3-3-3-3-3-3-3-3--|\n
G|---------------------------------------------------------------------------|\n
D|---------------------------------------------------------------------------|\n
A|---------------------------------------------------------------------------|\n
E|---------------------------------------------------------------------------|\n\n</t>
  </si>
  <si>
    <t>e|------------------------------------|---------------------------|\n
B|------------------------------------|---------------------------|\n
G|------------------------------------|---------------------------|\n
D|12/14/12---------12-----------------|--12/14/12--------14-14p12-|\n
A|----------12/14-----10--10-10/12~~~/|-----------12/14-----------|\n
E|------------------------------------|---------------------------|\n\n</t>
  </si>
  <si>
    <t>e|-----------------|-----------------|\n
B|-----------------|-----------------|\n
G|-7/9-9-7/9-9-7-9-|---------------77|\n
D|-7/9-9-7/9-9-7-9-|---7-7-7-7/6/5-77|x3\n
A|-5/7-7-5/7-7-5-7-|---7-7-7-7/6/5-55|\n
E|-----------------|-0-5-5-5-5/4/3---|\n\n
e|-----------------|-----------------|\n
B|-----------------|-----------------|\n
G|-7/9-9-7/9-9-7-9-|-----------------|\n
D|-7/9-9-7/9-9-7-9-|---7-7-7-7/6/5---|\n
A|-5/7-7-5/7-7-5-7-|---7-7-7-7/6/5---|\n
E|-----------------|-0-5-5-5-5/4/3-0-|\n\n</t>
  </si>
  <si>
    <t>e|-------------------------------------------------------------------|\n
B|-------------------------------------------------------------------|\n
G|--------------------------------------------------9-9-9-9-11-------|\n
D|------------------------------9-9-9-9-11-11-11-11------------------|\n
A|----------9-9-9-9-12-12-12-12--------------------------------------|\n
E|-------------------------------------------------------------------|\n\n
e|-------------------------------------------------------------------|\n
B|-------------------------------------------------------------------|\n
G|-11-11-11-14-14-14-14-16-16-16-16-16b-16b-16b-16b-16b-16b-16b-16b--|\n
D|-------------------------------------------------------------------|\n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G|16-14----------14---16-14-----------14---16b(18)=r16====-16--16-16-|\n
D|------16-14-16------------16-14-16---------------------------------|\n
A|-------------------------------------------------------------------|\n
E|-------------------------------------------------------------------|\n\n
e|-------------------------------------------------------------------|\n
B|-------------------------------------------------------------------|\n
G|-16-14--------------14---------------------------------------------|\n
D|---------16---14-16----16--16--16-16-16-14-----------14------------|\n
A|--------------------------------------------16-14-16----16---------|\n
E|-------------------------------------------------------------------|\n\n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A|-16--16-16-14--12----14-12-------------12--14-12---------12--------|\n
E|----------------------------14-12-14-----------14------------------|\n\n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A|14b15-15-15-15r14/-------------------------------------------------|\n
E|-------------------------------------------------------------------|\n\n</t>
  </si>
  <si>
    <t>e|----------------|-----------------|\n
B|----------------|-----------------|\n
G|----------------|-----------------|\n
D|----------------|-----7-----8--7--|\n
A|--8-----10------|--5-----6---6----|\n
E|----10------8---|-----------------|\n\n</t>
  </si>
  <si>
    <t>Holy Wars The Punishment Due</t>
  </si>
  <si>
    <t>Eb|------------------------------------------------------------------|\n
Bb|------------------------------------------------------------------|\n
Gb|--14--14--14--14--14--14---------------10----12--12----12------12-|\n
Db|--14--14--16--14--16--14-----10--10----10----12--12h14-12------12-|\n
Ab|--0---0---0---0---0---0---0--10--10h12---------------------14-----|\n
Eb|------------------------------------------------------------------|\n\n
Eb|------------------------------------------------------------------|\n
Bb|------------------------------------------------------------------|\n
Gb|--14--14--14--14--14--14---------------10-------------------------|\n
Db|--14--14--16--14--16--14-----10--10----10-------------------------|\n
Ab|--0---0---0---0---0---0---0--10--10h12---------------12/----------|\n
Eb|------------------------------------------------------------------|\n\n
Eb|------------------------------------------------------------------|\n
Bb|------------------------------------------------------------------|\n
Gb|--7-7-7--4/5-5-7-4/5--5--7-5--------------------------------------|\n
Db|--7-7-7--4/5-5-7-4/5--5--7-5-7-5----------------------------------|\n
Ab|--7-7-7--------------------7-5------------------------------------|\n
Eb|------------------------------------------------------------------|\n\n</t>
  </si>
  <si>
    <t>e|---------|---------------------------|--------------------------|\n
B|---------|---------------------------|--------------------------|\n
G|-------0-|-2-------------------2-2-2-|-2----------------------0-|\n
D|-----0---|-2----0h7h9---7------2-2-2-|-2----0h7h9--7-9b10r9-7-0-|\n
A|-10/-----|-0-/7----------------0-0-0-|-0-/7---------------------|\n
E|---------|---------------------------|--------------------------|\n\n
e|---------------------------|--------------------------|\n
B|---------------------------|--------------------------|\n
G|-2-------------------0-0-0-|-2----------------------0-|\n
D|-2----0h7h9---7------0-0-0-|-2----0h7h9--7-9b10r9-7-0-|\n
A|-0-/7----------------0-0-0-|-0-/7---------------------|\n
E|---------------------------|--------------------------|\n\n</t>
  </si>
  <si>
    <t>e|-----------------------------|---------------------------------------------|\n
B|-----------------------------|-------------12-12b13r12----12-13------------|\n
G|-------12----12h14-----------|-------13-14-------------14-------14-(14)----|\n
D|-12h14----14-----------------|---------------------------------------------|\n
A|-----------------------------|---------------------------------------------|\n
E|-----------------------------|---------------------------------------------|\n\n</t>
  </si>
  <si>
    <t>C#G#C#F#A#D#</t>
  </si>
  <si>
    <t>e|------------------------------------------------------------------|\n
B|------------------------------------------------------------------|\n
G|--10-10-10-10----------10--10-8-------10-10-8---------10-10-8-----|\n
D|--10-10-10-10----------10-------10----10------10------10------10--|\n
A|--10-10-10-10----------10-------------10--------------10----------|\n
E|--8--8--8--8----15/----8---------------8----------15/--8----------|\n\n
e|---------------------------------------------------------12----|\n
B|---------------------------------------------------------12----|\n
G|---10--10-8---------10-10-10b12r10------10-10-8-----10---------|\n
D|---10-------10------10------------------10------10--10---------|\n
A|---10---------------10------------------10----------10---------|\n
E|---8-----------15/--8--------------15/--8-----------8----------|\n\n</t>
  </si>
  <si>
    <t>e|-----------------------|-------------|\n
B|-----------------------|-------------|\n
G|-----------------------|-------------|\n
D|-11/------6--7-7--9/---|--2----------|\n
A|--9/------4--5-5--7/---|----4-3-2----|\n
E|-----------------------|-------------|\n\n</t>
  </si>
  <si>
    <t>e|--------------------|-------3-0-----------|\n
B|--------------------|-----------3-0-------|\n
G|------7-7-7---------|--------------2bp0---|\n
D|--2---7-7-7--7-7-7--|-X-X-X---------------|\n
A|--2---5-5-5--7-7-7--|-X-X-X---------------|\n
E|--0----------5-5-5--|-X-X-X---------------|\n\n
e|--------------------|---------------------|\n
B|--------------------|---------------------|\n
G|------7-7-7---------|---------------------|\n
D|--2---7-7-7--7-7-7--|---------------------|\n
A|--2---5-5-5--7-7-7--|--2---2---2---2------|\n
E|--0----------5-5-5--|----4---5---6---7/---|\n\n</t>
  </si>
  <si>
    <t>e|------------------------------------|--------------------------------|\n
B|--0h4p0h7p0h4p0h7p0h4p0h7p0h4p0h7p0h|4p0h7p0h4p0h7p0h4p0h7p0h4p0h7p0h|\n
G|------------------------------------|--------------------------------|\n
D|------------------------------------|--------------------------------|\n
A|------------------------------------|--------------------------------|\n
E|------------------------------------|--------------------------------|\n\n
e|----------------------------------|--------------------------------|\n
B|--5p0h8p0h5p0h8p0h5p0h8p0h5p0h8p0h|5p0h8p0h5p0h8p0h5p0h8p0h5p0h8p0h|\n
G|----------------------------------|--------------------------------|\n
D|----------------------------------|--------------------------------|\n
A|----------------------------------|--------------------------------|\n
E|----------------------------------|--------------------------------|\n\n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
e|-------------------------------------|--------------------------------|\n
B|--12p0h10p0h9p0h10p0h9p0h7p0h9p0h5p0h|7p0h4p0h5p0h4p0h5p0h4p0h5p0h4p0h|\n
G|-------------------------------------|--------------------------------|\n
D|-------------------------------------|--------------------------------|\n
A|-------------------------------------|--------------------------------|\n
E|-------------------------------------|--------------------------------|\n\n</t>
  </si>
  <si>
    <t>d#|---------------------------------|---------------------------------|\n
A#|---------------------------------|---------------------------------|\n
F#|---------------------------------|---------------------------------|\n
C#|--------------------------X--X---|---------------------------------|\n
G#|--------------------------X--X---|--5----X-5-----------5-----------|\n
D#|--------------------------X--X---|--0----X-0-----------0--------0--|\n\n
d#|---------------------------------|---------------------------------|\n
A#|---------------------------------|---------------------------------|\n
F#|---------------------------------|----------7----------7h9---------|\n
C#|---------------------------------|--9------------------------------|\n
G#|--5----X-5--------------------5--|---------------------------------|\n
D#|--0----X-0-----------0----5h7----|---------------------------------|\n\n
d#|---------------------------------|---------------------------------|\n
A#|---------------------------------|---------------------------------|\n
F#|---------------------------------|---------------------------------|\n
C#|--7-------7h9-----------5--------|--5h7-------5b-------------------|\n
G#|---------------------------------|-------------------------7-------|\n
D#|---------------------------------|---------------------------------|\n\n</t>
  </si>
  <si>
    <t>eb|--------------------------------|--------------------------------|\n
Bb|--------------------------------|----------------3-3----3--------|\n
Gb|--------------------------------|----------------2-2--x-2--------|\n
Db|9---------------11------12------|5---------------0-0--x-0--------|\n
Ab|b7--------------9-------10------|3-------------------------------|\n
Eb|--------------------------------|--------------------------------|\n\n
eb|--------------------------------|--------------------------------|\n
Bb|--------------------------------|--------------------------------|\n
Gb|--------------------------------|--------------------------------|\n
Db|9---------------11------12------|14--1211-9----------------------|\n
Ab|7---------------9-------10------|12--10-9-7----------------------|\n
Eb|--------------------------------|--------------------------------|\n\n</t>
  </si>
  <si>
    <t>e|------------------------------------------------|\n
B|------------------------------------------------|\n
G|------------------------------------------------|\n
D|------------------------------------------------|\n
A|------------------------------------------------|\n
E|-12/1-0-0-0-0-0-0-0-0-0-0-0-0-0-0-0-0-0-0-0-0-0-|\n\n
e|-----------------------------------------------------|\n
B|-----------------------------------------------------|\n
G|-----------------------------------------------------|\n
D|-----------------------------------------------------|\n
A|-----------------------------------------------------|\n
E|-1-1-1-4-4-4-5-5-5-7-7-7-7-7-7/11-8-7-7-7-7-7-7-7/1--|\n\n
e|--------------------------------------------------------|\n
B|--------------------------------------------------------|\n
G|--------------------------------------------------------|\n
D|--------------------------------------------------------|\n
A|--------------------------------------------------------|\n
E|-0-0-0-0-0-0-0-0-0-0-1-1-1-4-4-4-5-5-5-7-7-7-7-7-7/11-8-|\n\n
e|-------------------------------------------------------------------|\n
B|-------------------------------------------------------------------|\n
G|-------------------------------------------------------------------|\n
D|-------------------------------------------------------------------|\n
A|-------------------------------------------------------------------|\n
E|-7-7-7-7-7-7-7-7-7-7-7-7-8-7-8-7/5-7-5-7-5-4-1-4-4-4-4-4-4-4-4-4-4-|\n\n
e|------------------------------------------------|\n
B|------------------------------------------------|\n
G|------------------------------------------------|\n
D|------------------------------------------------|\n
A|------------------------------------------------|\n
E|-7-5-7-5-4-5-4-5-4-1-0-0-0~~~~~~~~~~~~~~~~~~~~~-|\n\n</t>
  </si>
  <si>
    <t>e|---------------|------------------|-----------------|------------------|\n
B|-------------6-|-(6)--------------|-----------------|------------------|\n
G|-7--7--7-5-7-5-|-(5)--7-5-5-3---0-|----0--(0)-3---0-|-----------5--3-0-|\n
D|-5--5--5-5-5---|--5---5-5-5-3-x-0-|-x--0--(0)-3-0-0-|-3--(3)/5--3--3-0-|\n
A|---------------|------------------|-----------------|-1--(1)/3---------|\n
E|---------------|------------------|-----------------|------------------|\n\n
e|--------------------|---------------------|------------------------|----------------|\n
B|--------------------|-----8-----------0---|--------------------0---|----------------|\n
G|-------7--(7)-5-7-7-|-(7)---5-7-5-3-0---0-|-----------0--(0)-3-0---|----------------|\n
D|-(5)---5---5--5-5-5-|--5----5-5-5-3-0---0-|-----(4)---0---0------0-|-3--(3)/5--5~---|\n
A|--------------------|---------------------|---x--------------------|-3--(3)/5--5~---|\n
E|--------------------|---------------------|-x----------------------|----------------|\n\n</t>
  </si>
  <si>
    <t>Eb|--------------------------------------------------------------------------|\n
Bb|--------------------------------------------------------------------------|\n
Gb|--------------------------------------------------------------------------|\n
Db|--------------------------------------------------------------------------|x3\n
Ab|--7-10-7-8-7--7-10-7-8-7--7-10-7-8-----------------7-10-7-8-7--7-10-7-8-7-|\n
Db|--------------------------------------------------------------------------|\n\n
Eb|---------------------------------------------------|\n
Bb|---------------------------------------------------|\n
Gb|---------------------------------------------------|\n
Db|---------------------------------------------------|\n
Ab|-2--5--2--3--2-----2--5--2--3--2-----2--5-2--3-----|\n
Db|-2--5--2--3--2-----2--5--2--3--2-----2--5-2--3-----|\n\n</t>
  </si>
  <si>
    <t>e|----------------------|--------------------------|\n
B|----------------------|--------------------------|\n
G|----------------------|--------------------------|\n
D|----------------------|------------------5-------|\n
A|------7-5-7-5---8-5---|------7-5-7-5---8---7-----|\n
E|--0-5---------6-----6-|--0-5---------6-------8-6-|\n\n
e|----------------------|--------------------------------|\n
B|----------------------|--------------------------------|\n
G|----------------------|--------------------------------|\n
D|----------------------|------------------5-------------|\n
A|------7-5-7-5---8-5---|------7-5-7-5---8---7-----3-2---|\n
E|--0-5---------6-----6-|--0-5---------6-------8-6-----1-|\n\n
e|----------------------|--------------------------|----------------------|\n
B|----------------------|--------------------------|----------------------|\n
G|----------------------|--------------------------|----------------------|\n
D|----------------------|------------------5-------|----------------------|\n
A|------7-5-7-5---8-5---|------7-5-7-5---8---7-----|------7-5-7-5---8-5---|\n
E|--0-5---------6-----6-|--0-5---------6-------8-6-|--0-5---------6-----6-|\n\n
e|------------------------------------|\n
B|------------------------------------|\n
G|------------------------------------|\n
D|------------------5-----------------|\n
A|------7-5-7-5---8---7-----3-5-2-----|\n
E|--0-5---------6-------8-6-------3-1-|\n\n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e|----------------------|--------------------------------|\n
B|----------------------|--------------------------------|\n
G|----------------------|--------------------------------|\n
D|----------------------|--------------------------------|\n
A|------2-0-2-0---3-2---|------2-0-2-0---3-5-2-----2-----|\n
E|--0-1---------1-----1-|--0-1---------1-------3-1---3-1-|\n\n
e|----------------------|--------------------------|\n
B|----------------------|--------------------------|\n
G|----------------------|--------------------------|\n
D|----------------------|--------------------------|\n
A|------2-0-2-0---3-2---|------2-0-2-0---3-5-2-----|\n
E|--0-1---------1-----1-|--0-1---------1-------3-1-|\n\n
e|----------------------|----------------------------------|\n
B|----------------------|----------------------------------|\n
G|----------------------|----------------------------------|\n
D|----------------------|----------------------------------|\n
A|------2-0-2-0---3-2---|------2-0-2-0-----3-5-2-----2-----|\n
E|--0-1---------1-----1-|--0-1---------1-0-------3-1---3-1-|\n\n</t>
  </si>
  <si>
    <t>e|------------|----------|------|---------------|\n
B|-9-9-7-9--7-|----------|------|---------------|\n
G|-9-9-7-9--7-|----------|------|---------------|\n
D|-9-9-7-9--7-|--------0-|-0p2--|-0-----0-------|\n
A|-7-7-5-7--5-|-0h2p0--0-|------|---0h2---0-----|\n
E|------------|----------|------|-----------3-0-|\n\n</t>
  </si>
  <si>
    <t>e|------------------------------------|\n
B|---9-------6-------13-------8-------|\n
G|--10-------6-------13-------8-------|\n
D|--10-(x2)--6-(x2)--13-(x2)--8-(x2)--|\n
A|---8-------4-------11-------6-------|\n
E|------------------------------------|\n\n</t>
  </si>
  <si>
    <t>e|--------------------------------|\n
B|--------------------------------|\n
G|--------------------------------|\n
D|--------------------------------|\n
A|-99-77-66-555/-99-77-66-555/----|\n
E|-77-55-44-333/-77-55-44-333/----|\n\n</t>
  </si>
  <si>
    <t>e|--------------------------0--|\n
B|--------------------------0--|\n
G|---------6-6--------6-----0--|\n
D|---6-6---6-6---4-4--6--6-----|\n
A|---6-6---4-4---4-4--4--6-----|\n
E|---4-4-0----0--2-2-----4-----|\n\n
e|-------------------------------|\n
B|-------------------------------|\n
G|---------6-6--------6----------|\n
D|---6-6---6-6---4-4--6--6--4----|\n
A|---6-6---4-4---4-4--4--6--4----|\n
E|---4-4-0----0--2-2-----4--2----|\n\n</t>
  </si>
  <si>
    <t>e|----------------|-----------------|----------------|-----------------|----------------|\n
B|----------------|-----------------|----12----------|---------16b16p14|----14--14b14p14|\n
G|----------------|-----------------|----12----------|---------16b16p14|----14--14b14p14|\n
D|----------------|-----------------|-14-12----------|-----------------|-16-14----------|\n
A|----------------|-----------------|----------------|-----------------|----------------|\n
E|----------------|-----------------|----------------|-----------------|----------------|\n\n
e|----------------|----------------|----------------|-----------------|-----------------|\n
B|---14---14b14p12|---12---14b14p12|---12---16b16p14|----14---16b16p14|----14---14b14p12|\n
G|---14---14b14p12|---12---14b14p12|---12---16b16p14|----14---16b16p14|----14---14b14p12|\n
D|16-14-----------|14-12-----------|14-12-----------|-16-14-----------|-16-14-----------|\n
A|----------------|----------------|----------------|-----------------|-----------------|\n
E|----------------|----------------|----------------|-----------------|-----------------|\n\n
e|----------------|---------------|-----------------|-----------------|-----------------|\n
B|--12b--12b--12b-|---12b--12/----|-----------------|-----------------|--------------10B|\n
G|--12b--12b--12b-|---12b--12/----|-----------------|-----------------|-----------------|\n
D|14---14---14----|-14---14-------|-----------------|-----------------|-----------------|\n
A|----------------|---------------|-----------------|-----------------|-----------------|\n
E|----------------|---------------|-----------------|-----------------|-----------------|\n\n</t>
  </si>
  <si>
    <t>D#|---|------------------------------------------------------------|\n
A#|---|---x-8-8-7p0-7/5---3/5-5-3-3/1---1/3-3-1-1--0-1-0-----------|\n
F#|-2-|--------------------------------------------------2-0-2-----|\n
C#|-2-|------------------------------------------------------------|\n
G#|-0-|------------------------------------------------------------|\n
D#|---|------------------------------------------------------------|\n\n
D#|-----------------------------------------------------------|\n
A#|-x-8-8-7p0-7/5---3/5-5-3-3/1---1/3-3-1-1--0-1-0------------|\n
F#|------------------------------------------------2-0------2-|\n
C#|---------------------------------------------------------2-|\n
G#|---------------------------------------------------------0-|\n
D#|-----------------------------------------------------0-3---|\n\n</t>
  </si>
  <si>
    <t>e|-----0-0----------------------------|\n
b|-----8-8-x---7-7-----5-5-x---3-3-3--|\n
g|-----0-0-x---7-7-----4-4-x---0-0-0--|\n
d|-----9-9-x---5-5---5-5-5-x---5-5-5--|\n
a|---7-7-7---7-7-7-3---3-3-----0-0-0--|\n
e|-0-------------------------5-5-5-5--|\n\n</t>
  </si>
  <si>
    <t>e|------------------------|\n
B|------------------------|\n
G|------------------------|\n
D|------------------------|\n
A|--5--------3--4~----3---|\n
E|-----3--6---------------|\n\n
e|----------------------------------------------------------------------------------------------------|\n
B|----------------------------------------------------------------------------------------------------|\n
G|----------------------------------------------------------------------------------------------------|\n
D|--------------------------6-----6--6/-----------8--8----8-------10----10-10-------------------------|\n
A|--5--------3--4~----3-----4-----4--4/-----------6--6----6-------8-----8--8-----6--8--6--8--9--------|\n
E|-----3--6--------------------------------------------------------------------------------------9~---|\n\n
e|----------------------------------------|\n
B|----------------------------------------|\n
G|----------------------------------------|\n
D|----------------------------------------|\n
A|--6--6--6--6-----9-----9--7-(7)----5~---|\n
E|--------------9-(9)----------7----------|\n\n</t>
  </si>
  <si>
    <t>e|-------------------------|----------------------------|-------------------------|------------------------|\n
B|-------------------------|----------------------------|----------8b~------------|------------------------|\n
G|-------------------------|----------------------------|-------7-----------------|------------------------|\n
D|-------8-----------8-----|---------8------------8-----|---/9--------7~-------(7)|--5---------------------|\n
A|-------------------------|----------------------------|-------------------------|-----5-----5/7~---------|\n
E|-6-----------6-----------|--6------------6------------|-------------------------|--------0---------------|\n\n
e|-------------------------|---------------------------|-------------------------|-------------------------|\n
B|--------------8b~--------|---------------------------|-------------------------|-------------------------|\n
G|----------7--------------|---------------------------|-------------------------|-------------------------|\n
D|----/9------------7------|-(7)/5---------------------|--------5---7---7b---5~--|-------5-----------------|\n
A|-------------------------|----------5-------5/7~-----|--5/7--------------------|-----------0-----3~----0-|\n
E|-------------------------|--------------0------------|-------------------------|--------------0----------|\n\n
e|-------------------------|----------------------------|-------------------------|------------------------|\n
B|-------------------------|----------------------------|-------------------------|------------------------|\n
G|-------------------------|------------------7---7--9~-|-------0-----------------|------------------------|\n
D|--------5--7b----5h7-(7)~|-----5-------/9-------------|-------------------------|------------------------|\n
A|---5/7-------------------|---------5------------------|-------------------------|------------------------|\n
E|-------------------------|----------------------------|-------------15/---------|------------------------|\n\n</t>
  </si>
  <si>
    <t>D#|--------------------------------------|\n
A#|--------------------------------------|\n
F#|---------------------------------10---|\n
C#|-12-12-12-10-12-10--------------------|\n
G#|-------------------12-11-10-(10)------|\n
D#|--------------------------------------|\n\n</t>
  </si>
  <si>
    <t>e|---------------------------------------|\n
B|-----------7--------10--7--9--7--------|\n
G|--------9-----9------------------9-----|\n
D|-----9-----------9------------------9--|\n
A|--7------------------------------------|\n
E|---------------------------------------|\n\n
e|--------------------------------------|---------------------------------------|\n
B|-----------7--------------------------|-----------7--------10--7--9--7--------|\n
G|--------9-----9-----7--6-----------6--|--------9-----9------------------9-----|\n
D|-----9-----------9--------9--7--9-----|--9--------------9------------------9--|\n
A|--7-----------------------------------|-----7---------------------------------|\n
E|--------------------------------------|---------------------------------------|\n\n
e|--10--7--9--7-9-7-------------------------|\n
B|-------------------10--7--10----10----10--|\n
G|------------------------------9-----7-----|\n
D|------------------------------------------|\n
A|------------------------------------------|\n
E|------------------------------------------|\n\n
e|---------------------------------------|--------------------------------------|\n
B|-----------7--------10--7--9--7--------|-----------7--------------------------|\n
G|--------9-----9------------------9-----|--------9-----9-----7--6-----------6--|\n
D|-----9-----------9------------------9--|-----9-----------9--------9--7--9-----|\n
A|--7------------------------------------|--7-----------------------------------|\n
E|---------------------------------------|--------------------------------------|\n\n
e|---------------------------------------|\n
B|-----------7--------10--7--9--7--------|\n
G|--------9-----9------------------9-----|\n
D|--9--------------9------------------9--|\n
A|-----7---------------------------------|\n
E|---------------------------------------|\n\n
e|--------------------7--10--7--12--9------|\n
B|-----------------8-------------------10--|\n
G|-----------4/-7--------------------------|\n
D|--------5--------------------------------|\n
A|-----5-----------------------------------|\n
E|--3--------------------------------------|\n\n</t>
  </si>
  <si>
    <t>e|-------------------------------------------|\n
B|-------------------------------------------|\n
G|------------------------2-2-----4-4--------|\n
D|--2-2-----2-2-----------2-2-----4-4--------|\n
A|--2-2-----2-2-----------0-0-----2-2--------|\n
E|--0-0-----0-0-0h3b-------------------0h3b--|\n\n</t>
  </si>
  <si>
    <t>e|-----------------------------------------|\n
B|-----------------------------------------|\n
G|-----------------------------------------|\n
D|-----------------------5-----------------|x2\n
A|---------3-------5-5-/7---7p5-3--5---5---|\n
E|---5-3-5----5-3-5-----------------3---2--|\n\n
e|-----------------------------------------------------|\n
B|--------12-12--------------------14-12---------------|\n
G|--------12-12--------------------14-12---------------|\n
D|--------12-12--------5-----------14-12--------5------|x2\n
A|---2-2-------------5---5h7--2-2-------------5---5h7--|\n
E|---0-0---------5h7----------0-0---------5h7----------|\n\n
[Solo]\n
e|--------------------------------------------------------------------|\n
B|--------------------------------------------------------------------|\n
G|-5~-7b(half)--5--------------2-5p2p0-5p2p0-5p2p0-5p2p0--------------|\n
D|-5~------------7p5--------------------------------------------------|\n
A|-------------------7p6p5/3-5v---------------------------------------|\n
E|--------------------------------------------------------------------|\n\n
e|--------------------------17------17------20p17---17----------------|\n
B|-----------------------17---20p17---20p17------20---20p17-----------|\n
G|-5p2p0-5p2p0-5-/17v-19b-----------------------------------19-17-17--|\n
D|--------------------------------------------------------------------|\n
A|--------------------------------------------------------------------|\n
E|--------------------------------------------------------------------|\n\n
e|-------------------------------|--22b-22b-|-22b-22b--|5---5-7-5-7-8--|\n
B|-----10p8--10p8--8-------------|----------|----------|5-5-5-8-5-8-10-|\n
G|--/9-----9-----9---9-7-5h7-5v--|----------|----------|--5------------|\n
D|-------------------------------|----------|----------|---------------|\n
A|-------------------------------|----------|----------|---------------|\n
E|-------------------------------|----------|----------|---------------|\n\n</t>
  </si>
  <si>
    <t>e|-------5-7-----7-|-8-----8-2-----2-|-0---------0-----|-----------------|\n
B|-----5-----5-----|---5-------3-----|---1---1-----1---|-0-1-1-----------|\n
G|---5---------5---|-----5-------2---|-----2---------2-|-0-2-2-----------|\n
D|-7-------6-------|-5-------4-------|-3---------------|-----------------|\n
A|-----------------|-----------------|-----------------|-2-0-0---0--/8-7-|\n
E|-----------------|-----------------|-----------------|-----------------|\n\n
e|---------7-----7-|-8-----8-2-----2-|-0---------0-----|-----------------|\n
B|-------5---5-----|---5-------3-----|---1---1-----1---|-0-1-1-----------|\n
G|-----5-------5---|-----5-------2---|-----2---------2-|-0-2-2-----------|\n
D|---7-----6-------|-5-------4-------|-3---------------|-----------------|\n
A|-0---------------|-----------------|-----------------|-2-0-0-------0-2-|\n
E|-----------------|-----------------|-----------------|-----------------|\n\n
e|-------0-2-----2-|-0-----0----------|---------3-----3-|-3^2-2-2---------|\n
B|-----------3-----|---1-----0h1------|-1-----1---0-----|-----3-3---------|\n
G|-----0-------2---|-----2-------2----|---0---------0---|-----------------|\n
D|---2-----0-------|-3----------------|-----2-----------|-0---0-0---------|\n
A|-3---------------|---------0----0-2-|-3---------------|-------------0-2-|\n
E|-----------------|------------------|---------3-------|-----------------|\n\n
e|---------2-----2-|-0-----0----------|---------------2-|-0-0-0-----------|\n
B|-------1---3-----|---1-----0-1------|-------1-----3---|-1-1-1-----------|\n
G|-----0-------2---|-----2-------2----|-----0-----2-----|-2-2-2-----------|\n
D|---2-----0-------|-3----------------|---2-----0-------|-3-3-3-----------|\n
A|-3---------------|---------0----0-2-|-3---------------|-----------------|\n
E|-----------------|------------------|-----------------|-----------------|\n\n</t>
  </si>
  <si>
    <t>D#|----------------------------------------|\n
A#|----------------------------------------|\n
F#|-7-7-7-14-14/12-12-12-12-12-14-14/10-10-|\n
C#|-x-x-x--x--x--x--x--x--x--x--x--x-x--x--|\n
G#|-5-5-5-12-12/10-10-10-10-10-12-12/8--8--|\n
C#|----------------------------------------|\n\n</t>
  </si>
  <si>
    <t>e|------------------------------------------|\n
B|----3----------3--------------------------|\n
G|------2-0--------0-------0----------------|\n
D|0-0----------------0------------0h2p0-----|\n
A|------------3-3-------------0h2--------3--|\n
E|---------------------3-3------------------|\n\n
e|----------------------------------------------|\n
B|----3---------3-------------------------------|\n
G|------2-0-------0-------0---0-2p0-0-4p0-0-5b--|\n
D|0-0---------------0---------------------------|\n
A|----------3-3---------------------------------|\n
E|--------------------3-3-----------------------|\n\n</t>
  </si>
  <si>
    <t>e|---------------------|-------------------|\n
B|---------5-----------|-------------------|\n
G|-1--2/4-----6----4---|-4----4------------|\n
D|-2--4/6-----7----7---|-4----4h6p4h6------|\n
A|---------------------|-------------------|\n
E|---------------------|-------------------|\n\n
e|----------------4----|-2h4p2p0----0--0---|\n
B|---------5------5----|---------0--0--0---|\n
G|-1--2/4-----6--------|-------------------|\n
D|-2--4/6-----7--------|-------------------|\n
A|---------------------|-------------------|\n
E|---------------------|-----------------0-|\n\n</t>
  </si>
  <si>
    <t>E|---------------|---------------|----------------|----------------|\n
B|---------------|---------------|----------------|----------------|\n
G|---------------|---------------|----------------|----------------|\n
D|-4h7h12p0-[x8]-|-5h8h12p0-[x8]-|-8h11h12p0-[x8]-|-7h10h12p0-[x8]-|\n
A|---------------|---------------|----------------|----------------|\n
D|---------------|---------------|----------------|----------------|\n\n
E|---------------|---------------|------------------|\n
B|---------------|---------------|------------------|\n
G|-3h7h12p0-[x8]-|-5h8h12p0-[x8]-|-6h9h12p0-[x8]--/-|\n
D|---------------|---------------|------------------|\n
A|---------------|---------------|------------------|\n
D|---------------|---------------|------------------|\n\n
e|-------------------------|--------------------|\n
B|-------------------------|--------------------|\n
G|-------------------------|--------------------|\n
D|-------------------------|---------------5--6-|\n
A|---5-3-0-3p0---------5---|-5-3-0-3p0-----3--4-|\n
D|-0-----------5-3-0-0---0-|-----------3p0------|\n\n
e|-------------------------|--------------------|\n
B|-------------------------|--------------------|\n
G|-------------------------|--------------------|\n
D|-------------------------|---------------3--4-|\n
A|---5-3-0-3p0---------5---|-5-3-0-3p0-----3--4-|\n
D|-0-----------5-3-0-0---0-|-----------3p0-3--4-|\n\n</t>
  </si>
  <si>
    <t>e|-----------------------------------------------------|\n
B|-----------------------------------------------------|\n
G|-----------------------------------------------------|\n
D|----------9-10-9----9---------9-10-9---------6-------|\n
A|-----------------12---12--11---------8-7-8-----------|\n
E|-12/--0----------------------------------------------|\n\n
e|-----------------------------------------------------|\n
B|-----------------------------------------------------|\n
G|-----------------------------------------------------|\n
D|-------9-10-9----9---------9-10-9---------6--7-------|\n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E|---0-------------------------------------------------|\n\n
e|-----------------------------------------------------|\n
B|-----------------------------------------------------|\n
G|-----------------------------------------------------|\n
D|-------9-10-9----9---------9-10-9---------6----------|\n
A|--------------12---12--11---------8-7-8--------------|\n
E|---0-----------------------------------------7-------|\n\n</t>
  </si>
  <si>
    <t>e|------------------------------------------------------------------|\n
B|------------------------------------------------------------------|\n
G|------------------------------------------------------------------| (x3)\n
D|------------------------------------------------------------------|\n
A|-----------4-------5-------4-------2--------------2---------------|\n
E|-----2-2-------2-------2-------2-------5---4---5-----5---4---0----| \n\n
e|------------------------------------------------------------|\n
B|------------------------------------------------------------|\n
G|------------------------------------------------------------|\n
D|-----------------------------------7-------9----------------|\n
A|-----------4-------5-------4-------5-------7------(12/)-----|\n
E|-----2-2-------2-------2-------2------------------(12/)-----|\n\n</t>
  </si>
  <si>
    <t>e|-------------9----------|------9p7-------7-9--|-7p5------5------|\n
B|-------------9----------|----------7-----7-7--|-5--------5---5--|\n
G|---------9---9h11p9-----|------------8---8-8--|-6--------6h7p6--|\n
D|----9----9----------11/-|----9-------9---9----|-7-----7--7------|\n
A|----9h11----------------|---------------------|-----------------|\n
E|-0----------------------|-/7------------------|-----5-----------| \n\n
e|---5h7p5--------|------12/14--12--------|--------------9----------|\n
B|---------7p5----|------12/14--12-14-----|--------------9----9-----|\n
G|---------5---6--|-------------------11/-|----------9---9h11-9-----|\n
D|-7--------------|-----------------------|-----9----9----------11--|\n
A|----------------|-----------------------|-----9h11----------------|\n
E|----------------|-0---------------------|--0----------------------| \n\n
e|--------9-9-7----9p7-9--|-7p5---------5--------5--|------12/19------|\n
B|----------7-7--7-7---7--|-5----------------5h7p5--|------12/19------|\n
G|----8-8---8-8--8-8---8--|-6-------6h7----7-6h7p6--|-----------------|\n
D|------------9--9-9------|-7-------7---------------|-------------14/-|\n
A|------------------------|-------------------------|-------------14/-|\n
E|-7----------------------|------5------------------|-0-----------16/-|\n\n</t>
  </si>
  <si>
    <t>e|---------||-----------------|-----------------|------------------|\n
B|---------||--------3-(3)----|-(3)----(3)------|---------3-(3)----|\n
G|---------||----2s4----------|------------2-2--|-----2s4----------|\n
D|---------||-----------------|------------2-2--|---2--------------|\n
A|---------||-----------------|------------0-0--|-2-2--------------|\n
E|-x-x-12/-||-0---------------|-----------------|-0----------------|\n\n</t>
  </si>
  <si>
    <t>e|-------------|------|-3-----2-------------|\n
B|-------------|------|-3-----3-----1-------|\n
G|(2)--2-----2-|------|-0-----2-----0-----0-| \n
D|-2--(2)---(2)|-(5x)-|-0-----0-----2-----0-|\n
A|-0-----3p0(0)|------|-------------3-----2-|\n
E|-------------|------|---------------------|\n\n</t>
  </si>
  <si>
    <t>e|------------------------------------------|\n
B|------------------------------------------|\n
G|-------------3--------------------5---3---|\n
D|-----5-3-5---3---3--5----5--3--5--5---3---|\n
A|-----5-3-5-------3--5----5--3--5----------|\n
E|--3---------------------------------------|\n\n
e|------------------------------------------|\n
B|------------------------------------------|\n
G|-------------3----------------------------|\n
D|-----5-3-5---3---3--5----5-3-1------------|\n
A|-----5-3-5-------3--5----5-3-1------------|\n
E|--3---------------------------------------|\n\n</t>
  </si>
  <si>
    <t>e|-----------------------------------------------------|\n
B|-----------------------------------------------------|\n
G|-----------------------------------------------------|\n
D|-7/5--2---2--2-2-2--2-2-7/5--2---2--2-2-2--2-2-2-2---| x3\n
A|-7/5--2---2--2-2-2--2-2-7/5--2---2--2-2-2--2-2-2-2---|\n
E|-5/3--0---0--0-0-0--0-0-5/3--0---0--0-0-0--0-0-0-0---|\n\n
e|-----------------------------|\n
B|-----------------------------|\n
G|-----------------------------|\n
D|-5/7--7---7--7-7-7--7-7-7-7--|\n
A|-5/7--7---7--7-7-7--7-7-7-7--|\n
E|-3/5--5---5--5-5-5--5-5-5-5--|\n\n</t>
  </si>
  <si>
    <t>[Intro]\n
e|----------8--------|-11------11----11-----11-----11-----11------|\n
B|---------b7--------|--------------------------------------------|\n
G|-------------------|---12p11--12p11--12p11--12p11--12p11--12p11-|\n
D|-7---7-7-----------|--------------------------------------------|\n
A|-0---0-0-----------|--------------------------------------------|\n
E|-------------------|--------------------------------------------|\n\n
e|----------8--------|-17-17-17-17------17---17---17--17--|\n
B|---------b7--------|------------------------------------|\n
G|-------------------|-14-14-14-14------14---14---14--14--|\n
D|-7---7-7-----------|------------------------------------|\n
A|-0---0-0-----------|------------------------------------|\n
E|-------------------|------------------------------------|\n\n
[Verse]\n
e|--------------------|--------------------|--------------------|--------------------|\n
B|--------------------|--------------------|--------------------|--------------------|\n
G|----7---6---5-------|--------7---8---9---|----7---6---5-------|-----------8--7-----|\n
D|-7-------------5--5-|-7------------------|-7-------------5--5-|-7------7--------5--|\n
A|--------------------|--------------------|--------------------|--------------------|\n
E|--------------------|--------------------|--------------------|--------------------|\n\n</t>
  </si>
  <si>
    <t>eb|------------------|--------------------|--------------------|----------------------|\n
Bb|------------------|--------------------|--------------------|----------------------|\n
Gb|-18/----14-----16-|--18---16---14---18-|----18--18-18-18-18-|--18-18--18-18-18-18--|\n
Db|------------------|--------------------|--------------------|----------------------|\n
Ab|-16/----12-----14-|--16---14---12---16-|----16--16-16-16-16-|--16-16--16-16-16-16--|\n
Eb|------------------|--------------------|--------------------|----------------------|\n\n
eb|------------------|--------------------|--------------------|----------------------|\n
Bb|------------------|--------------------|--------------------|----------------------|\n
Gb|-18/----14-----16-|--18---16---14---14-|----14--14-14-14-13-|--13-13---13-13-13-13-|\n
Db|------------------|--------------------|--------------------|----------------------|\n
Ab|-16/----12-----14-|--16---14---12---12-|----12--12-12-12-11-|--11-11---11-11-11-11-|\n
Eb|------------------|--------------------|--------------------|----------------------|\n\n</t>
  </si>
  <si>
    <t>e|--------------------------------|------------------------------|\n
B|--------------------------------|------------------------------|\n
G|-----------5-5--7--7----7/------|------------5-5--7--7---------|\n
D|---2--2-5--5-5--7--7-7--7/------|---2-2-2-5--5-5--7--7-7-------|\n
A|---2--2-5--3-3--5--5-7--5/------|---2-2-2-5--3-3--5--5-7--5/---|\n
E|---0--0-3--3-3--5--5-5--5/------|---0-0-0-3--3-3--5--5-5-------|\n\n</t>
  </si>
  <si>
    <t>e|---7--------7---------7------10/9-7--------7------------6-------------|\n
b|-----9--------9---------9-----------9---9----9-------8-----8----------|\n
g|-------8--------8---------8-------------8------8-----6-------6--------|\n
d|----------------------------------------9--------9---8---------8------|\n
a|-6---------9--------7-------------------7------------6----------------|\n
E|----------------------------------------------------------------------|\n\n
e|---7--------7---------7------10/9-7--------7------------6-------------|\n
b|-----9--------9---------9-----------9---9----9-------8-----8----------|\n
g|-------8--------8---------8-------------8------8-----6-------6--------|\n
d|----------------------------------------9--------9---8----------------|\n
a|-6---------9--------7-------------------7------------6----------------|\n
E|----------------------------------------------------------------------|\n\n</t>
  </si>
  <si>
    <t>[Play 3x]\n
e|------------------------------|------------------------------|\n
B|------5---4h5---7-5---4h5---5-|------5---4h5---7-5---4h5---5-|\n
G|--------4-----4-----4---------|--------4-----4-----4---------|\n
D|--------------------------6---|--------------------------6---|\n
A|-4(4)-------------------------|-0(0)-------------------------|\n
E|------------------------------|------------------------------|\n\n
e|------------------------------|\n
B|------5---4h5---7-5---4h5---5-|\n
G|--------4-----4-----4---------|\n
D|--------------------------6---|\n
A|------------------------------|\n
E|-0(0)-------------------------|\n\n
[1st And 2nd Ending]\n
e|------------0-----------------------|\n
B|--------4-------4---------4-7p5-----|\n
G|------4---4---4---4-----5-------4---|\n
D|----------------------6-----------6-|\n
A|-2(2)---------------3---------------|\n
E|------------------------------------|\n\n
[3rd Ending]\n
E|------------0---------------0-------|\n
B|--------4-------4---------0---------|\n
G|------4---4---4---4-----6-----6-----|\n
D|----------------------7---------7---|\n
A|-2(2)---------------0-------------7-|\n
E|------------------------------------|\n\n</t>
  </si>
  <si>
    <t>e|----------------|------12+~ -----------------------------|\n
B|--14~ ----12~ --|------12+~ -----------------------------|\n
G|--13~ ----13~ --|-----------------------------11p9-------|\n
D|--13~ ----11~ --|--------------------------9-------9h11--|\n
A|----------------|------------------7--9/11---------------|\n
E|----------------|--0------------/9-----------------------|\n\n
e|--------------------------------|------------------------------------|\n
B|-----14~ ---12------------------|-------5~ ----x0--------------------|\n
G|-----13~ -------11h13~ ---11----|-------6~ ----x0---------------9h11-|\n
D|-----13~ --------------------14-|-------4~ ------------------9-------|\n
A|-----11~ -----------------------|-0---0--------------7--9/11---------|\n
E|--0-----------------------------|-----------------/9-----------------|\n\n
e|-----------------|--------------------------------|------------------|\n
B|-----------------|-----14~ ---12------------------|-------5~ ---x0---|\n
G|--9--9-----9-----|-----13~ -------11h13~ ---11----|-------6~ ---x0---|\n
D|-----9h11--9h11--|-----13~ --------------------14-|-------4~ --------|\n
A|-----------------|-----11~ -----------------------|-0---0------------|\n
E|-----------------|--0-----------------------------|------------------|\n\n
e|-------------------------------|-------------------------------|\n
B|-------------------------------|-----14~ ---12-----------------|\n
G|---------------11p9------------|-----13~ -------11h13~ --11----|\n
D|-------------9------11------9--|-----13~ -------------------14-|\n
A|-----7--9/11-----------9h11----|-----11~ ----------------------|\n
E|--/9---------------------------|--0----------------------------|\n\n
e|----------------------------------------------|----12----------------|\n
B|---------5~ ---5~ ----------------------------|----12----14~ ---12---|\n
G|---------6~ ---6~ ------------------9h11p9----|----------13~ --------|\n
D|---------4~ ---4~ -------------9-11--------11-|----------13~ --------|\n
A|--0--0-----------------7--9/11----------------|----------11~ --------|\n
E|-------------------0-9------------------------|-0-----0--------------|\n\n
e|------------------|------------------------------------|-------------|\n
B|------------------|-------5~ ---5/------5~-------6~ ---|---------7~ -|\n
G|--11h13~ ---11----|-------6~ ---6/--------6~ -/7---7~ -|-/8----------|\n
D|---------------14-|-------4~ --------------------------|-----6-------|\n
A|------------------|-0---0------------------------------|-------------|\n
E|------------------|-----------------/5--------/6-------|-/7----7-----|\n\n
e|--------------------|--------------------------------------|\n
B|-----7~ -----x------|------------10~ ---10~ -------10------|\n
G|--------8~ ----8----|------------11~ ------11~ --------11\--|\n
D|-----------------6--|---/9--9------------------------------|\n
A|--------------------|--------------------------------------|\n
E|--7-----------------|--/10----10-----10--------------------|\n\n
e|------------------------------|-------------------------------------|\n
B|----------3~ ---3------3------|-----------6~ -----5~ ---x0----------|\n
G|----------------4-4~ ----4----|-------------7~ ---6~ ---x0----------|\n
D|-----2---------------------2--|--/5--5------------4~ ---------------|\n
A|------------------------------|-------------------------------7-7h9-|\n
E|--3----3----------------------|--/6----6----------5--------/9-------|\n\n</t>
  </si>
  <si>
    <t>D|------------------------------------------------------------|\n
A|------------------------------------------------------------|\n
F|---555555555555/777777777777/444444444444/222222222222------|\n
C|---777777777777/999999999999/555555555555/333333333333------|\n
G|---000000000000-000000000000-000000000000-000000000000------|\n
C|------------------------------------------------------------|\n\n
D|------------------------------------------------------------|\n
A|------------------------------------------------------------|\n
F|---5-5-5--7-7-7--4-4-4--2-2-2-------------------------------|\n
C|----7-7-7--9-9-9--5-5-5--3-3-3------------------------------|\n
G|------------------------------------------------------------|\n
C|------------------------------------------------------------|\n\n
D|---55555555-77777777-44444444-99999999----------------------|\n
A|------------------------------------------------------------|\n
F|------------------------------------------------------------|\n
C|------------------------------------------------------------|\n
G|------------------------------------------------------------|\n
C|------------------------------------------------------------|\n\n
D|------------------------------------------------------------|\n
A|------------------------------------------------------------|\n
F|------------------------------------------------------------|\n
C|-------55555555-44444444-77777777-99889988------------------|x2\n
G|-------55555555-44444444-77777777-99889988------------------|\n
C|-------55555555-44444444-77777777-99889988------------------|\n\n
D|------------------------------------------------------------|\n
A|------------------------------------------------------------|\n
F|------------------------------------------------------------|\n
C|------------------------------------------------------------|x2\n
G|-------55555555-44444444-77777777-1010101010101010----------|\n
C|-------55555555-44444444-77777777-1010101010101010----------|\n\n</t>
  </si>
  <si>
    <t>e|-----------9--10-|--12--10--9------|-----------------|-----------------|\n
B|--------10-------|-------------10--|-(10)------------|--5--------------|\n
G|------9----------|-----------------|-----9---7p6---7-|-----------------|\n
D|-----------------|-----------------|-----------------|-----------------|\n
A|-----------------|-----------------|-----------------|-----------------|\n
E|-----------------|-----------------|-----------------|-----------------|\n\n
e|-----------9--10-|--9h10p9---------|-----------------|-----------------|\n
B|-(5)----10-------|----------10-----|---------------5-|-----------------|\n
G|------9----------|-------------9-7-|--(7)--6---7-----|-----------------|\n
D|-----------------|-----------------|-----------------|--7--------------|\n
A|-----------------|-----------------|-----------------|-----------------|\n
E|-----------------|-----------------|-----------------|-----------------|\n\n</t>
  </si>
  <si>
    <t>e|---------------------------------------------13--10----------------|\n
B|-12--------12--15-13-12--------10--------10---------13-11-10-11-10-|\n
G|-----12h14--------------14-12------10h12---------------------------|\n
D|-------------------------------------------------------------------|\n
A|-------------------------------------------------------------------|\n
E|-------------------------------------------------------------------|\n\n
e|----------------------------------------|\n
B|-10--------10--13-p11p10-------------10-|\n
G|-----10h12---------------12p10----10----|\n
D|-------------------------------12-------|\n
A|----------------------------------------|\n
E|----------------------------------------|\n\n</t>
  </si>
  <si>
    <t>e|---------------------------|--------------------------|\n
B|---------------------------|--------------------------|\n
G|---------------------------|--------------------------|\n
D|-----7---5-----------------|-----7---5----------------|\n
A|-5h7---7-----7p5-----------|-5h7---7----7p5-----------|\n
E|-----------------7-5/3---0-|----------------7-5/3b----|\n\n
e|-----------------------------------------------------|\n
B|-----------------------------------------------------|\n
G|-----------------------------------------------------|\n
D|-----7---5--------------------7---5------------------|\n
A|-5h7---7---7p5------------5h7---7---7p5--------------|\n
E|----------------7-5/3-0------------------7-5/3-5-6-7-|\n\n
e|----------------|---------------------|\n
B|----------------|---------------------|\n
G|----------------|---------------------|\n
D|---5p2-0h2-2~~~-|---5p2-0h2-2p0-------|\n
A|----------------|--------------2------|\n
E|----------------|-----------------3p0-|\n\n</t>
  </si>
  <si>
    <t>(Capo 2)\n
F#|----------------------3---0---------------|\n
C#|------3-----1---------------1-------------|\n
A |----0---------------2---0-----2-0---------|\n
E |--0-------2-------3-----------------------|\n
B |--------0-----0h1-------------------------|\n
F#|------------------------------------------|\n\n
F#|----1-------------1----------|\n
C#|----3-----------3---3--------|\n
A |----2---------2--------------|\n
E |--0---------0----------------|\n
B |------0h3p0-----------0h3p0--|\n
F#|-----------------------------|\n\n</t>
  </si>
  <si>
    <t>e |--------------------------------------|\n
C#|--------------------------------------|\n
A |--------------------------------------|\n
E |--------------------------------------|\n
A |---7----7----10----7------------------|\n
E |------------------------10---8----7---|\n\n</t>
  </si>
  <si>
    <t>e|-------------------|---------------------|\n
B|-----15-----17-----|-13-----13---15---15-|\n
G|-----16-----17-----|-14-----14---16---16-|\n
D|-----17-----17-----|-15-----15---17---17-|\n
A|-------------------|---------------------|\n
E|-------------------|---------------------|\n\n
e|----------------------|------------------|\n
B|-(15)--17-----13---10-|-(10)--8---8--(8)-|\n
G|-(16)--17-----14---10-|-(10)--9---7--(7)-|\n
D|-(17)--17-----15---10-|-(10)-10--10-(10)-|\n
A|----------------------|------------------|\n
E|----------------------|------------------|\n\n</t>
  </si>
  <si>
    <t>eb|---------------------------------------------------------------------------|\n
Bb|---------------------------------------------------------------------------|\n
Gb|--------------------------5------------------------------------------------|\n
Db|------7-------5-------7---5---------7-------5-------7--------------7-------|\n
Ab|0-0-0---0-0-0---0-0-0---0-----0-0-0---0-0-0---0-0-0---0-3~---0-0-0---0-0-0-|\n
Eb|---------------------------------------------------------------------------|\n\n
eb|---------------------------------------------------------------------------|\n
Bb|--------------------5p0---------5p0----------------------------------------|\n
Gb|------------0-5p0-------7-5p0-------7-5p0---5p0----------------------------|\n
Db|5-------7---------7-----------7-----------7-----7-5p0---7-5-0----------7---|\n
Ab|--0-0-0---0-------------------------------------------7----------0-0-0---0-|\n
Eb|---------------------------------------------------------------------------|\n\n
eb|---------------------------------------------------------------------------|\n
Bb|---------------------------------------------------------------------------|\n
Gb|----------------5----------------------------------------------------------|\n
Db|----5-------7---5--------7-------5-------7-------------7-------5-------7---|\n
Ab|0-0---0-0-0---0----0-0-0---0-0-0---0-0-0---0-3~--0-0-0---0-0-0---0-0-0---0-|\n
Eb|---------------------------------------------------------------------------|\n\n
eb|---------------------------------------------------------------------------|\n
Bb|---------------------------------------------------------------------------|\n
Gb|-5/-----7-------5w//-----8p7p5-------------0-8p7p5---------------2---0-8p7p|\n
Db|-5/-----------5----------------7-7-5-5h7~----------7-7-5-5-0---------------|\n
Ab|----0-7-----5------------------------------------------------3-4-----------|\n
Eb|----------5----------------------------------------------------------------|\n\n</t>
  </si>
  <si>
    <t>e|---------------------------------------------------------|\n
B|---------------------------------------------------------|\n
G|---------------------------------------------------------|\n
D|---------------------------------------------------------|\n
A|-X/--0^3^7-12^7^3^0^3^7-12-7-3-0-3-7-12-7-3-0-3-7-12-7-3-|\n
E|---------------------------------------------------------|\n\n
e|---------------------------------------------------|\n
B|---------------------------------------------------|\n
G|---------------------------------------------------|\n
D|---------------------------------------------------|\n
A|-0-5-9-12-9-5-0-5-9-12-9-5-0-5-9-12-9-5-0-5-9-12-9-|\n
E|---------------------------------------------------|\n\n
e|--------------------------------------------------------|\n
B|--------------------------------------------------------|\n
G|--------------------------------------------------------|\n
D|-12-0-3-7-12-7-3-0-3-7-12-7-3-0-3-7-12-7-3-0-3-7-12-7-3-|\n
A|--------------------------------------------------------|\n
E|--------------------------------------------------------|\n\n
e|---------------------------------------|\n
B|---------------------------------------|\n
G|---------------------------------------|\n
D|-0-5-9-12-9-5-0-5-9-12-9-5-0-5-9-12-9~-|\n
A|---------------------------------------|\n
E|---------------------------------------|\n\n
E|----------------------------------------------------------------------------|\n
B|----------------------------------------------------------------------------|\n
G|-12-3-7-12-7-3-0-3-7-12-7-3-0-5-9-12-9-5-0-5-9-12-9-5-0-3-7-12-7-3-0-3-7-12-|\n
D|----------------------------------------------------------------------------|\n
A|----------------------------------------------------------------------------|\n
E|----------------------------------------------------------------------------|\n\n
E|-----------------|\n
B|-----------------|\n
G|-7-3-0-5-9-12-9~-|\n
D|-----------------|\n
A|-----------------|\n
E|-----------------|\n\n</t>
  </si>
  <si>
    <t>eb|-----4-4-x-0---------------5-5-----------|\n
Bb|-4h5-5-5-x-0-------0-------5-5-----------|\n
Gb|-4---4-4-x-5------5--5/-6--6-6--1------9-|\n
Db|-4h6-6-6-x-6-----6---6/-7--7-7--2------9-|\n
Ab|-4-------x-6--6------6/-7-------2-9h11---|\n
Eb|---------x-4----4----4/-5-------0--------|\n\n</t>
  </si>
  <si>
    <t>D|-------------------------------|------------------------------|\n
A|-------------------------------|------------------------------|\n
F|-------------------------------|------------------------------|\n
C|----10/7-----------------------|---10/7-----------------------|\n
G|--0-8/-5--8/7--2/3--3-5--3-6-0-|---8/-5--8/7--2/3--3-5--3-3-0-|\n
C|--0-------8/7--2/3--3-5--3-6-0-|---------8/7--2/3--3-5--3-3-0-|\n\n
D|------------------------------|-----------------------------------|\n
A|------------------------------|-----------------------------------|\n
F|------------------------------|-----------------9-9-9-9-10-10-9---|\n
C|---10/7---------------------3-|---3-3-3-5-5-3-x-7-7-7-7-7--7--7---|\n
G|---8/-5--8/7--2/3--3-5--3-6-3-|---3-3-3-3-3-3-x-7-7-7-7-7--7--7-0-|\n
C|---------8/7--2/3--3-5--3-6-3-|---3-3-3-3-3-3-x-7-7-7-7-7--7--7-0-|\n\n</t>
  </si>
  <si>
    <t>https://tabs.ultimate-guitar.com/tab/rammstein/engel_tabs_26284</t>
  </si>
  <si>
    <t>e|10------------------------------|---------------------|\n
b|------------10--13----------10--|12--------------10---|\n
g|--------------------------------|------------12-------|\n
D|--------------------------------|---------------------|\n
A|--------------------------------|---------------------|\n
D|--------------------------------|---------------------|\n\n
e|10------------------------------|---------------------|\n
b|------------10--13----------10--|12-------------------|\n
g|--------------------------------|------------12-------|\n
D|--------------------------------|----------------12---|\n
A|--------------------------------|---------------------|\n
D|--------------------------------|---------------------|\n\n
E|-----------------------------------|\n
B|-----------------------------------|\n
G|-----------------------------------|\n
D|-----------------------------------|\n
A|--3h5-----6p5-----3h5---3h5---6p5--|\n
D|------0-0-----0-0-----0-----0------|\n\n
E|-----------------------------------|\n
B|-----------------------------------|\n
G|-----------------------------------|\n
D|-----------------------------------|\n
A|--3h5-----6p5-----3h5---3h5-3-3-3--|\n
D|------0-0-----0-0-----0-----3-3-3--|\n\n</t>
  </si>
  <si>
    <t>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B|-10---10-10---10---10-10-|--10---10-10---10---10-10-|n
G|0--0----0—---0—-0----0---|--------------------------|\n
D|-------------------------|-7--7----7----7--7----7---|\n
A|-------------------------|--------------------------|\n
D|-------------------------|--------------------------|\n\n
E|--------------------------|---------------------------------|\n
B|--------------------------|---------------------------------|\n
G|-7-7-7-7--4/14-14-14-11-9-|-7-7-7-7--12-12-12-11--11-11-9-9-|\n
D|--------------------------|---------------------------------|x2\n
A|-5-5-5-5—-2/12-12-12--9-7-|-5-5-5-5--10-10-10--9---9--9-7-7-|\n
D|--------------------------|---------------------------------|\n\n</t>
  </si>
  <si>
    <t>D#|---------7-7--9-|--9--9--9----7-7-5-|-5-5-5----7-7--9-|--9--9--9----7-7-5--|\n
A#|---------7-7--9-|--9--9--9----7-7-5-|-5-5-5----7-7--9-|--9--9--9----7-7-5--|\n
F#|---------8-8--9-|--9--9--9----8-8-6-|-6-6-6----8-8--9-|--9--9--9----8-8-6--|\n
C#|---------9-9-11-|-11-11-11----9-9-7-|-7-7-7----9-9-11-|-11-11-11----9-9-7--|\n
G#|---------9-9-11-|-11-11-11----9-9-7-|-7-7-7----9-9-11-|-11-11-11----9-9-7--|\n
D#|---------7-7--9-|--9--9--9----7-7-5-|-5-5-5----7-7--9-|--9--9--9----7-7-5--|\n\n
D#|-5-5-5-5-5-5-5---7--7--7/8--|\n
A#|-5-5-5-5-5-5-5---7--7--7/8--|\n
F#|-6-6-6-6-6-6-6---8--8--8/9--|\n
C#|-7-7-7-7-7-7-7---9--9--9/10-|\n
G#|-7-7-7-7-7-7-7---9--9--9/10-|\n
D#|-5-5-5-5-5-5-5---7--7--7/8--|\n\n</t>
  </si>
  <si>
    <t>e|-----------------------------------------------------------------|\n
B|-----------------------------------------------------------------|\n
G|------0-----x-x------0-----x-x-----0-----------------------------|\n
D|------0-----x-x------0-----x-x-----0-----------------------------|\n
A|------1-----x-x------1-----x-x-----1-----------------------------|\n
E|--1-3---1-3-x-x--1-3---1-3-x-x-1-3---1-3-------------------------|\n\n
e|-----------------------------------------------------------------|\n
B|-----------------------------------------------------------------|\n
G|-------------------------------7/9-9-9-9-------------------------|\n
D|------------3-3-3-3--5/7-7-7-7-----------------------------------|\n
A|----3/5-5-5------------------------------------------------------|\n
E|-----------------------------------------------------------------|\n\n</t>
  </si>
  <si>
    <t>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E|----0------------0-------|-----0------------0-------|\n
B|-10---10-10---10---10-10-|--10---10-10---10---10-10-|\n
G|7--7-----7---7--7----7---|-6--6----6----6--6----6---|\n
D|-------------------------|--------------------------|\n
A|-------------------------|--------------------------|\n
D|-------------------------|--------------------------|\n\n
E|----0------------0-------|-----0------------0-------|\n
B|-10---10-10---10---10-10-|--10---10-10---10---10-10-|\n
G|0--0----0----0--0----0---|--------------------------|\n
D|-------------------------|-7--7----7----7--7----7---|\n
A|-------------------------|--------------------------|\n
D|-------------------------|--------------------------|\n\n
E|--------------------------|---------------------------------|\n
B|--------------------------|---------------------------------|\n
G|-7-7-7-7--4/14-14-14-11-9-|-7-7-7-7--12-12-12-11--11-11-9-9-|\n
D|--------------------------|---------------------------------|x2\n
A|-5-5-5-5--2/12-12-12--9-7-|-5-5-5-5--10-10-10--9---9--9-7-7-|\n
D|--------------------------|---------------------------------|\n\n</t>
  </si>
  <si>
    <t>e|-----------------------------------------|\n
B|-----------------------------------------|\n
G|------0-----x-x------0-----x-x-----0-----|\n
D|------0-----x-x------0-----x-x-----0-----|\n
A|------1-----x-x------1-----x-x-----1-----|\n
E|--1-3---1-3-x-x--1-3---1-3-x-x-1-3---1-3-|\n\n
e|-----------------------------------------|\n
B|-----------------------------------------|\n
G|-------------------------------7/9-9-9-9-|\n
D|------------3-3-3-3--5/7-7-7-7-----------|\n
A|----3/5-5-5------------------------------|\n
E|-----------------------------------------|\n\n</t>
  </si>
  <si>
    <t>FM7MFYoylVs?t=3m14s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</si>
</sst>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vertical="top"/>
    </xf>
    <xf numFmtId="0" fontId="5" fillId="0" borderId="1" xfId="1" applyFont="1" applyBorder="1" applyAlignment="1">
      <alignment vertical="top"/>
    </xf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4" fillId="0" borderId="1" xfId="0" applyFont="1" applyBorder="1" applyAlignment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5" fillId="0" borderId="1" xfId="1" applyFont="1" applyBorder="1" applyAlignment="1"/>
    <xf numFmtId="0" fontId="4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3" fillId="0" borderId="1" xfId="1" applyBorder="1" applyAlignment="1"/>
    <xf numFmtId="0" fontId="4" fillId="0" borderId="1" xfId="0" applyFont="1" applyBorder="1" applyAlignment="1">
      <alignment wrapText="1"/>
    </xf>
    <xf numFmtId="0" fontId="3" fillId="0" borderId="1" xfId="1" applyBorder="1"/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FFFF"/>
      <color rgb="FFFFFFCC"/>
      <color rgb="FFC476D4"/>
      <color rgb="FFC461D4"/>
      <color rgb="FFFF4F53"/>
      <color rgb="FFF75269"/>
      <color rgb="FFC2C2A1"/>
      <color rgb="FFEC4E64"/>
      <color rgb="FFEB354A"/>
      <color rgb="FFF59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130629</xdr:colOff>
          <xdr:row>7</xdr:row>
          <xdr:rowOff>87086</xdr:rowOff>
        </xdr:from>
        <xdr:to>
          <xdr:col>13</xdr:col>
          <xdr:colOff>647700</xdr:colOff>
          <xdr:row>10</xdr:row>
          <xdr:rowOff>48986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ickGuitarRiffs%20e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WIP"/>
      <sheetName val="QuickGuitarRiffs"/>
      <sheetName val="T_DATABASE"/>
    </sheetNames>
    <sheetDataSet>
      <sheetData sheetId="0" refreshError="1">
        <row r="1">
          <cell r="E1" t="str">
            <v>Genre Color Code</v>
          </cell>
        </row>
        <row r="2">
          <cell r="E2" t="str">
            <v>Hard Rock</v>
          </cell>
          <cell r="F2" t="str">
            <v>#FFD966</v>
          </cell>
        </row>
        <row r="3">
          <cell r="E3" t="str">
            <v>Alt Rock</v>
          </cell>
          <cell r="F3" t="str">
            <v>#F4B084</v>
          </cell>
        </row>
        <row r="4">
          <cell r="E4" t="str">
            <v>Grunge</v>
          </cell>
          <cell r="F4" t="str">
            <v>#CDA076</v>
          </cell>
        </row>
        <row r="5">
          <cell r="E5" t="str">
            <v>Rock N Roll</v>
          </cell>
          <cell r="F5" t="str">
            <v>#FFF2CC</v>
          </cell>
        </row>
        <row r="6">
          <cell r="E6" t="str">
            <v>Rock</v>
          </cell>
          <cell r="F6" t="str">
            <v>#E49898</v>
          </cell>
        </row>
        <row r="7">
          <cell r="E7" t="str">
            <v>Glam Rock</v>
          </cell>
          <cell r="F7" t="str">
            <v>#DBD5EB</v>
          </cell>
        </row>
        <row r="8">
          <cell r="E8" t="str">
            <v>Latin Rock</v>
          </cell>
          <cell r="F8" t="str">
            <v>#FFBD5D</v>
          </cell>
        </row>
        <row r="9">
          <cell r="E9" t="str">
            <v>Blues Rock</v>
          </cell>
          <cell r="F9" t="str">
            <v>#CCFFFF</v>
          </cell>
        </row>
        <row r="10">
          <cell r="E10" t="str">
            <v>Surf Rock</v>
          </cell>
          <cell r="F10" t="str">
            <v>#FFFFCC</v>
          </cell>
        </row>
        <row r="11">
          <cell r="E11" t="str">
            <v>Soft Rock</v>
          </cell>
          <cell r="F11" t="str">
            <v>#FFD966</v>
          </cell>
        </row>
        <row r="12">
          <cell r="E12" t="str">
            <v>Psychedellic Rock</v>
          </cell>
          <cell r="F12" t="str">
            <v>#A699CE</v>
          </cell>
        </row>
        <row r="13">
          <cell r="A13">
            <v>1</v>
          </cell>
          <cell r="B13" t="str">
            <v>Beginner</v>
          </cell>
          <cell r="E13" t="str">
            <v>Classic Rock</v>
          </cell>
          <cell r="F13" t="str">
            <v>#F1C232</v>
          </cell>
        </row>
        <row r="14">
          <cell r="A14">
            <v>2</v>
          </cell>
          <cell r="B14" t="str">
            <v>Intermediate</v>
          </cell>
          <cell r="E14" t="str">
            <v>Southern Rock</v>
          </cell>
          <cell r="F14" t="str">
            <v>#F1C232</v>
          </cell>
        </row>
        <row r="15">
          <cell r="A15">
            <v>3</v>
          </cell>
          <cell r="B15" t="str">
            <v>Advanced</v>
          </cell>
          <cell r="E15" t="str">
            <v>Punk Rock</v>
          </cell>
          <cell r="F15" t="str">
            <v>#A9D08E</v>
          </cell>
        </row>
        <row r="16">
          <cell r="E16" t="str">
            <v>Pop Rock</v>
          </cell>
          <cell r="F16" t="str">
            <v>#B6D7A8</v>
          </cell>
        </row>
        <row r="17">
          <cell r="E17" t="str">
            <v>Heavy Metal</v>
          </cell>
          <cell r="F17" t="str">
            <v>#C8C8C8</v>
          </cell>
        </row>
        <row r="18">
          <cell r="E18" t="str">
            <v>Thrash Metal</v>
          </cell>
          <cell r="F18" t="str">
            <v>#C8C8C8</v>
          </cell>
        </row>
        <row r="19">
          <cell r="E19" t="str">
            <v>Alt Metal</v>
          </cell>
          <cell r="F19" t="str">
            <v>#C8C8C8</v>
          </cell>
        </row>
        <row r="20">
          <cell r="E20" t="str">
            <v>Neo Classical</v>
          </cell>
          <cell r="F20" t="str">
            <v>#1A95A4</v>
          </cell>
        </row>
        <row r="21">
          <cell r="E21" t="str">
            <v>Progressive</v>
          </cell>
          <cell r="F21" t="str">
            <v>#FFD966</v>
          </cell>
        </row>
        <row r="22">
          <cell r="E22" t="str">
            <v>New Wave</v>
          </cell>
          <cell r="F22" t="str">
            <v>#5BB76E</v>
          </cell>
        </row>
        <row r="23">
          <cell r="E23" t="str">
            <v>Disco</v>
          </cell>
          <cell r="F23" t="str">
            <v>#5BB76E</v>
          </cell>
        </row>
        <row r="24">
          <cell r="E24" t="str">
            <v>Dance</v>
          </cell>
          <cell r="F24" t="str">
            <v>#5BB76E</v>
          </cell>
        </row>
        <row r="25">
          <cell r="E25" t="str">
            <v>Synth Pop</v>
          </cell>
          <cell r="F25" t="str">
            <v>#5BB76E</v>
          </cell>
        </row>
      </sheetData>
      <sheetData sheetId="1" refreshError="1">
        <row r="102">
          <cell r="B102">
            <v>1</v>
          </cell>
          <cell r="J102" t="str">
            <v>New wave</v>
          </cell>
        </row>
        <row r="103">
          <cell r="B103">
            <v>3</v>
          </cell>
          <cell r="J103" t="str">
            <v>Hard Rock</v>
          </cell>
        </row>
        <row r="104">
          <cell r="B104">
            <v>3</v>
          </cell>
          <cell r="J104" t="str">
            <v>Rock N Roll</v>
          </cell>
        </row>
        <row r="105">
          <cell r="B105">
            <v>3</v>
          </cell>
          <cell r="J105" t="str">
            <v>Classic Rock</v>
          </cell>
        </row>
        <row r="106">
          <cell r="B106">
            <v>3</v>
          </cell>
          <cell r="J106" t="str">
            <v>Heavy Metal</v>
          </cell>
        </row>
        <row r="107">
          <cell r="B107">
            <v>3</v>
          </cell>
          <cell r="J107" t="str">
            <v>Heavy Metal</v>
          </cell>
        </row>
        <row r="108">
          <cell r="B108">
            <v>3</v>
          </cell>
          <cell r="J108" t="str">
            <v>Heavy Metal</v>
          </cell>
        </row>
        <row r="109">
          <cell r="B109">
            <v>2</v>
          </cell>
          <cell r="J109" t="str">
            <v>Progressive</v>
          </cell>
        </row>
        <row r="110">
          <cell r="B110">
            <v>3</v>
          </cell>
          <cell r="J110" t="str">
            <v>Heavy Metal</v>
          </cell>
        </row>
        <row r="111">
          <cell r="B111">
            <v>3</v>
          </cell>
          <cell r="J111" t="str">
            <v>Progressive</v>
          </cell>
        </row>
        <row r="112">
          <cell r="B112">
            <v>3</v>
          </cell>
          <cell r="J112" t="str">
            <v>Latin Rock</v>
          </cell>
        </row>
        <row r="113">
          <cell r="B113">
            <v>3</v>
          </cell>
          <cell r="J113" t="str">
            <v>Surf ROck</v>
          </cell>
        </row>
        <row r="114">
          <cell r="B114">
            <v>3</v>
          </cell>
          <cell r="J114" t="str">
            <v>Hard Rock</v>
          </cell>
        </row>
        <row r="115">
          <cell r="B115">
            <v>3</v>
          </cell>
          <cell r="J115" t="str">
            <v>Rock N Roll</v>
          </cell>
        </row>
        <row r="116">
          <cell r="B116">
            <v>3</v>
          </cell>
          <cell r="J116" t="str">
            <v>Progressive</v>
          </cell>
        </row>
        <row r="117">
          <cell r="B117">
            <v>3</v>
          </cell>
          <cell r="J117" t="str">
            <v>Progressive</v>
          </cell>
        </row>
        <row r="118">
          <cell r="B118">
            <v>3</v>
          </cell>
          <cell r="J118" t="str">
            <v>Heavy Metal</v>
          </cell>
        </row>
        <row r="119">
          <cell r="B119">
            <v>2</v>
          </cell>
          <cell r="J119" t="str">
            <v>Psychedellic Rock</v>
          </cell>
        </row>
        <row r="120">
          <cell r="B120">
            <v>3</v>
          </cell>
          <cell r="J120" t="str">
            <v>Alt Rock</v>
          </cell>
        </row>
        <row r="121">
          <cell r="B121">
            <v>3</v>
          </cell>
          <cell r="J121" t="str">
            <v>Neo Classical</v>
          </cell>
        </row>
        <row r="122">
          <cell r="B122">
            <v>2</v>
          </cell>
          <cell r="J122" t="str">
            <v>Heavy Metal</v>
          </cell>
        </row>
        <row r="123">
          <cell r="B123">
            <v>3</v>
          </cell>
          <cell r="J123" t="str">
            <v>Heavy Metal</v>
          </cell>
        </row>
        <row r="124">
          <cell r="B124">
            <v>3</v>
          </cell>
          <cell r="J124" t="str">
            <v>Alt Rock</v>
          </cell>
        </row>
        <row r="125">
          <cell r="B125">
            <v>1</v>
          </cell>
          <cell r="J125" t="str">
            <v>Alt Rock</v>
          </cell>
        </row>
        <row r="126">
          <cell r="B126">
            <v>1</v>
          </cell>
          <cell r="J126" t="str">
            <v>Alt Rock</v>
          </cell>
        </row>
        <row r="127">
          <cell r="B127">
            <v>1</v>
          </cell>
          <cell r="J127" t="str">
            <v>Psychedellic Rock</v>
          </cell>
        </row>
        <row r="128">
          <cell r="B128">
            <v>1</v>
          </cell>
          <cell r="J128" t="str">
            <v>Alt Rock</v>
          </cell>
        </row>
        <row r="129">
          <cell r="B129">
            <v>1</v>
          </cell>
          <cell r="J129" t="str">
            <v>Alt Rock</v>
          </cell>
        </row>
        <row r="130">
          <cell r="B130">
            <v>1</v>
          </cell>
          <cell r="J130" t="str">
            <v>Alt Rock</v>
          </cell>
        </row>
        <row r="131">
          <cell r="B131">
            <v>1</v>
          </cell>
          <cell r="J131" t="str">
            <v>Rock N Roll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22" Type="http://schemas.openxmlformats.org/officeDocument/2006/relationships/hyperlink" Target="http://tabs.ultimate-guitar.com/tab/bon_jovi/wanted_dead_or_alive_tabs_24420" TargetMode="External"/><Relationship Id="rId27" Type="http://schemas.openxmlformats.org/officeDocument/2006/relationships/hyperlink" Target="http://tabs.ultimate-guitar.com/tab/metallica/seek_and_destroy_tabs_24413" TargetMode="External"/><Relationship Id="rId43" Type="http://schemas.openxmlformats.org/officeDocument/2006/relationships/hyperlink" Target="http://tabs.ultimate-guitar.com/tab/santana/smooth_tabs_2111" TargetMode="External"/><Relationship Id="rId48" Type="http://schemas.openxmlformats.org/officeDocument/2006/relationships/hyperlink" Target="http://tabs.ultimate-guitar.com/tab/slayer/raining_blood_tabs_29266" TargetMode="External"/><Relationship Id="rId64" Type="http://schemas.openxmlformats.org/officeDocument/2006/relationships/hyperlink" Target="http://tabs.ultimate-guitar.com/tab/jimi_hendrix/purple_haze_tabs_11715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18" Type="http://schemas.openxmlformats.org/officeDocument/2006/relationships/hyperlink" Target="https://tabs.ultimate-guitar.com/tab/arctic_monkeys/do_i_wanna_know_tabs_1251886" TargetMode="External"/><Relationship Id="rId134" Type="http://schemas.openxmlformats.org/officeDocument/2006/relationships/hyperlink" Target="https://tabs.ultimate-guitar.com/tab/rise_against/savior_tabs_746060" TargetMode="External"/><Relationship Id="rId139" Type="http://schemas.openxmlformats.org/officeDocument/2006/relationships/hyperlink" Target="https://tabs.ultimate-guitar.com/tab/queens_of_the_stone_age/no_one_knows_tabs_37580" TargetMode="External"/><Relationship Id="rId80" Type="http://schemas.openxmlformats.org/officeDocument/2006/relationships/hyperlink" Target="http://tabs.ultimate-guitar.com/tab/jimi_hendrix/foxy_lady_tabs_28416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55" Type="http://schemas.openxmlformats.org/officeDocument/2006/relationships/hyperlink" Target="https://tabs.ultimate-guitar.com/tab/rammstein/engel_tabs_26284" TargetMode="External"/><Relationship Id="rId12" Type="http://schemas.openxmlformats.org/officeDocument/2006/relationships/hyperlink" Target="http://tabs.ultimate-guitar.com/tab/blur/song_2_tabs_99059" TargetMode="External"/><Relationship Id="rId17" Type="http://schemas.openxmlformats.org/officeDocument/2006/relationships/hyperlink" Target="http://tabs.ultimate-guitar.com/tab/europe/the_final_countdown_tabs_67384" TargetMode="External"/><Relationship Id="rId33" Type="http://schemas.openxmlformats.org/officeDocument/2006/relationships/hyperlink" Target="http://tabs.ultimate-guitar.com/tab/steppenwolf/born_to_be_wild_tabs_19803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08" Type="http://schemas.openxmlformats.org/officeDocument/2006/relationships/hyperlink" Target="https://tabs.ultimate-guitar.com/tab/santana/samba_pa_ti_tabs_2121" TargetMode="External"/><Relationship Id="rId124" Type="http://schemas.openxmlformats.org/officeDocument/2006/relationships/hyperlink" Target="https://tabs.ultimate-guitar.com/tab/the_beatles/come_together_tabs_3008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0" Type="http://schemas.openxmlformats.org/officeDocument/2006/relationships/hyperlink" Target="http://tabs.ultimate-guitar.com/tab/bob_dylan/knockin_on_heavens_door_chords_6658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1" Type="http://schemas.openxmlformats.org/officeDocument/2006/relationships/hyperlink" Target="http://tabs.ultimate-guitar.com/tab/red_hot_chili_peppers/give_it_away_tabs_32196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45" Type="http://schemas.openxmlformats.org/officeDocument/2006/relationships/hyperlink" Target="https://tabs.ultimate-guitar.com/tab/van_halen/panama_tabs_170836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9" Type="http://schemas.openxmlformats.org/officeDocument/2006/relationships/hyperlink" Target="http://tabs.ultimate-guitar.com/tab/red_hot_chili_peppers/under_the_bridge_tabs_3832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3" Type="http://schemas.openxmlformats.org/officeDocument/2006/relationships/hyperlink" Target="http://tabs.ultimate-guitar.com/tab/michael_jackson/beat_it_tabs_35178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26" Type="http://schemas.openxmlformats.org/officeDocument/2006/relationships/hyperlink" Target="http://tabs.ultimate-guitar.com/tab/queen/tie_your_mother_down_tabs_4718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6" Type="http://schemas.openxmlformats.org/officeDocument/2006/relationships/hyperlink" Target="http://tabs.ultimate-guitar.com/tab/eric_clapton/tears_in_heaven_tabs_16131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27"/>
  <sheetViews>
    <sheetView tabSelected="1" workbookViewId="0">
      <selection activeCell="O8" sqref="O8"/>
    </sheetView>
  </sheetViews>
  <sheetFormatPr defaultColWidth="8.84375" defaultRowHeight="14.6" x14ac:dyDescent="0.4"/>
  <cols>
    <col min="1" max="1" width="6.15234375" customWidth="1"/>
    <col min="2" max="2" width="23.4609375" bestFit="1" customWidth="1"/>
    <col min="3" max="3" width="36.07421875" bestFit="1" customWidth="1"/>
    <col min="5" max="5" width="15.3046875" customWidth="1"/>
    <col min="6" max="6" width="10.3046875" customWidth="1"/>
    <col min="7" max="7" width="10.23046875" bestFit="1" customWidth="1"/>
    <col min="8" max="8" width="9.69140625" bestFit="1" customWidth="1"/>
    <col min="14" max="14" width="11.61328125" bestFit="1" customWidth="1"/>
    <col min="16" max="16" width="11.69140625" bestFit="1" customWidth="1"/>
    <col min="20" max="20" width="9.53515625" bestFit="1" customWidth="1"/>
  </cols>
  <sheetData>
    <row r="1" spans="1:14" x14ac:dyDescent="0.4">
      <c r="A1" s="41" t="s">
        <v>9</v>
      </c>
      <c r="B1" s="48"/>
      <c r="C1" s="42"/>
      <c r="E1" s="41" t="s">
        <v>30</v>
      </c>
      <c r="F1" s="48"/>
      <c r="G1" s="49"/>
      <c r="H1" s="50" t="s">
        <v>1150</v>
      </c>
      <c r="I1" s="44" t="s">
        <v>1151</v>
      </c>
      <c r="J1" s="50" t="s">
        <v>1153</v>
      </c>
      <c r="K1" s="50" t="s">
        <v>1152</v>
      </c>
      <c r="M1" s="41" t="s">
        <v>1</v>
      </c>
      <c r="N1" s="42"/>
    </row>
    <row r="2" spans="1:14" x14ac:dyDescent="0.4">
      <c r="A2" s="2">
        <v>1</v>
      </c>
      <c r="B2" s="2" t="s">
        <v>76</v>
      </c>
      <c r="C2" s="2" t="s">
        <v>611</v>
      </c>
      <c r="E2" s="2" t="s">
        <v>10</v>
      </c>
      <c r="F2" s="2" t="s">
        <v>840</v>
      </c>
      <c r="G2" s="35"/>
      <c r="H2" s="2">
        <f>COUNTIF(WIP!J:J, Helper!E2)</f>
        <v>49</v>
      </c>
      <c r="I2" s="2">
        <f>COUNTIFS(WIP!J:J, E2, WIP!F:F, 0)</f>
        <v>21</v>
      </c>
      <c r="J2" s="2">
        <v>21</v>
      </c>
      <c r="K2" s="2">
        <f>I2-J2</f>
        <v>0</v>
      </c>
      <c r="M2" s="2">
        <v>1</v>
      </c>
      <c r="N2" s="2" t="s">
        <v>31</v>
      </c>
    </row>
    <row r="3" spans="1:14" x14ac:dyDescent="0.4">
      <c r="A3" s="2">
        <v>2</v>
      </c>
      <c r="B3" s="2" t="s">
        <v>77</v>
      </c>
      <c r="C3" s="2" t="s">
        <v>612</v>
      </c>
      <c r="E3" s="2" t="s">
        <v>13</v>
      </c>
      <c r="F3" s="2" t="s">
        <v>896</v>
      </c>
      <c r="G3" s="38"/>
      <c r="H3" s="2">
        <f>COUNTIF(WIP!J:J, Helper!E3)</f>
        <v>48</v>
      </c>
      <c r="I3" s="2">
        <f>COUNTIFS(WIP!J:J, E3, WIP!F:F, 0)</f>
        <v>21</v>
      </c>
      <c r="J3" s="2">
        <v>21</v>
      </c>
      <c r="K3" s="2">
        <f t="shared" ref="K3:K25" si="0">I3-J3</f>
        <v>0</v>
      </c>
      <c r="M3" s="2">
        <v>2</v>
      </c>
      <c r="N3" s="2" t="s">
        <v>32</v>
      </c>
    </row>
    <row r="4" spans="1:14" x14ac:dyDescent="0.4">
      <c r="A4" s="2">
        <v>3</v>
      </c>
      <c r="B4" s="2" t="s">
        <v>622</v>
      </c>
      <c r="C4" s="2" t="s">
        <v>621</v>
      </c>
      <c r="E4" s="2" t="s">
        <v>17</v>
      </c>
      <c r="F4" s="2" t="s">
        <v>895</v>
      </c>
      <c r="G4" s="37"/>
      <c r="H4" s="2">
        <f>COUNTIF(WIP!J:J, Helper!E4)</f>
        <v>3</v>
      </c>
      <c r="I4" s="2">
        <f>COUNTIFS(WIP!J:J, E4, WIP!F:F,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</row>
    <row r="5" spans="1:14" x14ac:dyDescent="0.4">
      <c r="A5" s="2">
        <v>4</v>
      </c>
      <c r="B5" s="2" t="s">
        <v>626</v>
      </c>
      <c r="C5" s="2" t="s">
        <v>627</v>
      </c>
      <c r="E5" s="2" t="s">
        <v>14</v>
      </c>
      <c r="F5" s="2" t="s">
        <v>834</v>
      </c>
      <c r="G5" s="29"/>
      <c r="H5" s="2">
        <f>COUNTIF(WIP!J:J, Helper!E5)</f>
        <v>8</v>
      </c>
      <c r="I5" s="2">
        <f>COUNTIFS(WIP!J:J, E5, WIP!F:F, 0)</f>
        <v>4</v>
      </c>
      <c r="J5" s="2">
        <v>4</v>
      </c>
      <c r="K5" s="2">
        <f t="shared" si="0"/>
        <v>0</v>
      </c>
    </row>
    <row r="6" spans="1:14" x14ac:dyDescent="0.4">
      <c r="A6" s="2">
        <v>5</v>
      </c>
      <c r="B6" s="2" t="s">
        <v>629</v>
      </c>
      <c r="C6" s="2" t="s">
        <v>630</v>
      </c>
      <c r="E6" s="2" t="s">
        <v>11</v>
      </c>
      <c r="F6" s="2" t="s">
        <v>835</v>
      </c>
      <c r="G6" s="30"/>
      <c r="H6" s="2">
        <f>COUNTIF(WIP!J:J, Helper!E6)</f>
        <v>14</v>
      </c>
      <c r="I6" s="2">
        <f>COUNTIFS(WIP!J:J, E6, WIP!F:F, 0)</f>
        <v>6</v>
      </c>
      <c r="J6" s="2">
        <v>6</v>
      </c>
      <c r="K6" s="2">
        <f t="shared" si="0"/>
        <v>0</v>
      </c>
      <c r="M6">
        <v>100</v>
      </c>
      <c r="N6" t="s">
        <v>1148</v>
      </c>
    </row>
    <row r="7" spans="1:14" x14ac:dyDescent="0.4">
      <c r="A7" s="10">
        <v>6</v>
      </c>
      <c r="B7" s="10" t="s">
        <v>633</v>
      </c>
      <c r="C7" s="10" t="s">
        <v>634</v>
      </c>
      <c r="E7" s="2" t="s">
        <v>20</v>
      </c>
      <c r="F7" s="2" t="s">
        <v>836</v>
      </c>
      <c r="G7" s="31"/>
      <c r="H7" s="2">
        <f>COUNTIF(WIP!J:J, Helper!E7)</f>
        <v>1</v>
      </c>
      <c r="I7" s="2">
        <f>COUNTIFS(WIP!J:J, E7, WIP!F:F, 0)</f>
        <v>1</v>
      </c>
      <c r="J7" s="2">
        <v>1</v>
      </c>
      <c r="K7" s="2">
        <f t="shared" si="0"/>
        <v>0</v>
      </c>
      <c r="M7">
        <v>130</v>
      </c>
      <c r="N7" t="s">
        <v>1149</v>
      </c>
    </row>
    <row r="8" spans="1:14" x14ac:dyDescent="0.4">
      <c r="A8" s="10">
        <v>7</v>
      </c>
      <c r="B8" s="10" t="s">
        <v>637</v>
      </c>
      <c r="C8" s="10" t="s">
        <v>638</v>
      </c>
      <c r="E8" s="2" t="s">
        <v>12</v>
      </c>
      <c r="F8" s="2" t="s">
        <v>837</v>
      </c>
      <c r="G8" s="32"/>
      <c r="H8" s="2">
        <f>COUNTIF(WIP!J:J, Helper!E8)</f>
        <v>4</v>
      </c>
      <c r="I8" s="2">
        <f>COUNTIFS(WIP!J:J, E8, WIP!F:F, 0)</f>
        <v>2</v>
      </c>
      <c r="J8" s="2">
        <v>2</v>
      </c>
      <c r="K8" s="2">
        <f t="shared" si="0"/>
        <v>0</v>
      </c>
    </row>
    <row r="9" spans="1:14" x14ac:dyDescent="0.4">
      <c r="A9" s="10">
        <v>8</v>
      </c>
      <c r="B9" s="10" t="s">
        <v>640</v>
      </c>
      <c r="C9" s="10" t="s">
        <v>641</v>
      </c>
      <c r="E9" s="2" t="s">
        <v>21</v>
      </c>
      <c r="F9" s="2" t="s">
        <v>838</v>
      </c>
      <c r="G9" s="33"/>
      <c r="H9" s="2">
        <f>COUNTIF(WIP!J:J, Helper!E9)</f>
        <v>6</v>
      </c>
      <c r="I9" s="2">
        <f>COUNTIFS(WIP!J:J, E9, WIP!F:F, 0)</f>
        <v>3</v>
      </c>
      <c r="J9" s="2">
        <v>3</v>
      </c>
      <c r="K9" s="2">
        <f t="shared" si="0"/>
        <v>0</v>
      </c>
    </row>
    <row r="10" spans="1:14" x14ac:dyDescent="0.4">
      <c r="A10" s="2">
        <v>9</v>
      </c>
      <c r="B10" s="2" t="s">
        <v>961</v>
      </c>
      <c r="C10" s="2" t="s">
        <v>1178</v>
      </c>
      <c r="E10" s="2" t="s">
        <v>26</v>
      </c>
      <c r="F10" s="2" t="s">
        <v>74</v>
      </c>
      <c r="G10" s="9"/>
      <c r="H10" s="2">
        <f>COUNTIF(WIP!J:J, Helper!E10)</f>
        <v>2</v>
      </c>
      <c r="I10" s="2">
        <f>COUNTIFS(WIP!J:J, E10, WIP!F:F, 0)</f>
        <v>1</v>
      </c>
      <c r="J10" s="2">
        <v>1</v>
      </c>
      <c r="K10" s="2">
        <f t="shared" si="0"/>
        <v>0</v>
      </c>
    </row>
    <row r="11" spans="1:14" x14ac:dyDescent="0.4">
      <c r="A11" s="2">
        <v>10</v>
      </c>
      <c r="B11" s="2" t="s">
        <v>81</v>
      </c>
      <c r="C11" s="2" t="s">
        <v>970</v>
      </c>
      <c r="E11" s="2" t="s">
        <v>22</v>
      </c>
      <c r="F11" s="2" t="s">
        <v>839</v>
      </c>
      <c r="G11" s="34"/>
      <c r="H11" s="2">
        <f>COUNTIF(WIP!J:J, Helper!E11)</f>
        <v>5</v>
      </c>
      <c r="I11" s="2">
        <f>COUNTIFS(WIP!J:J, E11, WIP!F:F, 0)</f>
        <v>2</v>
      </c>
      <c r="J11" s="2">
        <v>2</v>
      </c>
      <c r="K11" s="2">
        <f t="shared" si="0"/>
        <v>0</v>
      </c>
    </row>
    <row r="12" spans="1:14" x14ac:dyDescent="0.4">
      <c r="A12" s="2">
        <v>11</v>
      </c>
      <c r="B12" s="2" t="s">
        <v>1052</v>
      </c>
      <c r="C12" s="2" t="s">
        <v>1053</v>
      </c>
      <c r="E12" s="2" t="s">
        <v>373</v>
      </c>
      <c r="F12" s="2" t="s">
        <v>897</v>
      </c>
      <c r="G12" s="39"/>
      <c r="H12" s="2">
        <f>COUNTIF(WIP!J:J, Helper!E12)</f>
        <v>11</v>
      </c>
      <c r="I12" s="2">
        <f>COUNTIFS(WIP!J:J, E12, WIP!F:F, 0)</f>
        <v>6</v>
      </c>
      <c r="J12" s="2">
        <v>6</v>
      </c>
      <c r="K12" s="2">
        <f t="shared" si="0"/>
        <v>0</v>
      </c>
    </row>
    <row r="13" spans="1:14" x14ac:dyDescent="0.4">
      <c r="A13" s="10">
        <v>12</v>
      </c>
      <c r="B13" s="10" t="s">
        <v>1064</v>
      </c>
      <c r="C13" s="10" t="s">
        <v>1065</v>
      </c>
      <c r="E13" s="2" t="s">
        <v>23</v>
      </c>
      <c r="F13" s="2" t="s">
        <v>828</v>
      </c>
      <c r="G13" s="23"/>
      <c r="H13" s="2">
        <f>COUNTIF(WIP!J:J, Helper!E13)</f>
        <v>2</v>
      </c>
      <c r="I13" s="2">
        <f>COUNTIFS(WIP!J:J, E13, WIP!F:F, 0)</f>
        <v>1</v>
      </c>
      <c r="J13" s="2">
        <v>1</v>
      </c>
      <c r="K13" s="2">
        <f t="shared" si="0"/>
        <v>0</v>
      </c>
    </row>
    <row r="14" spans="1:14" x14ac:dyDescent="0.4">
      <c r="A14" s="10">
        <v>13</v>
      </c>
      <c r="B14" s="10" t="s">
        <v>1102</v>
      </c>
      <c r="C14" s="10" t="s">
        <v>1103</v>
      </c>
      <c r="E14" s="2" t="s">
        <v>24</v>
      </c>
      <c r="F14" s="2" t="s">
        <v>828</v>
      </c>
      <c r="G14" s="23"/>
      <c r="H14" s="2">
        <f>COUNTIF(WIP!J:J, Helper!E14)</f>
        <v>3</v>
      </c>
      <c r="I14" s="2">
        <f>COUNTIFS(WIP!J:J, E14, WIP!F:F, 0)</f>
        <v>1</v>
      </c>
      <c r="J14" s="2">
        <v>1</v>
      </c>
      <c r="K14" s="2">
        <f t="shared" si="0"/>
        <v>0</v>
      </c>
    </row>
    <row r="15" spans="1:14" x14ac:dyDescent="0.4">
      <c r="A15" s="10">
        <v>14</v>
      </c>
      <c r="B15" s="10" t="s">
        <v>1122</v>
      </c>
      <c r="C15" s="10" t="s">
        <v>1122</v>
      </c>
      <c r="E15" s="2" t="s">
        <v>27</v>
      </c>
      <c r="F15" s="2" t="s">
        <v>829</v>
      </c>
      <c r="G15" s="24"/>
      <c r="H15" s="2">
        <f>COUNTIF(WIP!J:J, Helper!E15)</f>
        <v>11</v>
      </c>
      <c r="I15" s="2">
        <f>COUNTIFS(WIP!J:J, E15, WIP!F:F, 0)</f>
        <v>5</v>
      </c>
      <c r="J15" s="2">
        <v>5</v>
      </c>
      <c r="K15" s="2">
        <f t="shared" si="0"/>
        <v>0</v>
      </c>
    </row>
    <row r="16" spans="1:14" x14ac:dyDescent="0.4">
      <c r="E16" s="2" t="s">
        <v>29</v>
      </c>
      <c r="F16" s="2" t="s">
        <v>830</v>
      </c>
      <c r="G16" s="25"/>
      <c r="H16" s="2">
        <f>COUNTIF(WIP!J:J, Helper!E16)</f>
        <v>4</v>
      </c>
      <c r="I16" s="2">
        <f>COUNTIFS(WIP!J:J, E16, WIP!F:F, 0)</f>
        <v>2</v>
      </c>
      <c r="J16" s="2">
        <v>2</v>
      </c>
      <c r="K16" s="2">
        <f t="shared" si="0"/>
        <v>0</v>
      </c>
    </row>
    <row r="17" spans="5:11" x14ac:dyDescent="0.4">
      <c r="E17" s="2" t="s">
        <v>15</v>
      </c>
      <c r="F17" s="2" t="s">
        <v>841</v>
      </c>
      <c r="G17" s="36"/>
      <c r="H17" s="2">
        <f>COUNTIF(WIP!J:J, Helper!E17)</f>
        <v>38</v>
      </c>
      <c r="I17" s="2">
        <f>COUNTIFS(WIP!J:J, E17, WIP!F:F, 0)</f>
        <v>16</v>
      </c>
      <c r="J17" s="2">
        <v>16</v>
      </c>
      <c r="K17" s="2">
        <f t="shared" si="0"/>
        <v>0</v>
      </c>
    </row>
    <row r="18" spans="5:11" x14ac:dyDescent="0.4">
      <c r="E18" s="2" t="s">
        <v>25</v>
      </c>
      <c r="F18" s="2" t="s">
        <v>841</v>
      </c>
      <c r="G18" s="36"/>
      <c r="H18" s="2">
        <f>COUNTIF(WIP!J:J, Helper!E18)</f>
        <v>2</v>
      </c>
      <c r="I18" s="2">
        <f>COUNTIFS(WIP!J:J, E18, WIP!F:F, 0)</f>
        <v>1</v>
      </c>
      <c r="J18" s="2">
        <v>1</v>
      </c>
      <c r="K18" s="2">
        <f t="shared" si="0"/>
        <v>0</v>
      </c>
    </row>
    <row r="19" spans="5:11" x14ac:dyDescent="0.4">
      <c r="E19" s="2" t="s">
        <v>16</v>
      </c>
      <c r="F19" s="2" t="s">
        <v>841</v>
      </c>
      <c r="G19" s="36"/>
      <c r="H19" s="2">
        <f>COUNTIF(WIP!J:J, Helper!E19)</f>
        <v>1</v>
      </c>
      <c r="I19" s="2">
        <f>COUNTIFS(WIP!J:J, E19, WIP!F:F, 0)</f>
        <v>0</v>
      </c>
      <c r="J19" s="2">
        <v>0</v>
      </c>
      <c r="K19" s="2">
        <f t="shared" si="0"/>
        <v>0</v>
      </c>
    </row>
    <row r="20" spans="5:11" x14ac:dyDescent="0.4">
      <c r="E20" s="2" t="s">
        <v>18</v>
      </c>
      <c r="F20" s="2" t="s">
        <v>831</v>
      </c>
      <c r="G20" s="26"/>
      <c r="H20" s="2">
        <f>COUNTIF(WIP!J:J, Helper!E20)</f>
        <v>1</v>
      </c>
      <c r="I20" s="2">
        <f>COUNTIFS(WIP!J:J, E20, WIP!F:F, 0)</f>
        <v>0</v>
      </c>
      <c r="J20" s="2">
        <v>0</v>
      </c>
      <c r="K20" s="2">
        <f t="shared" si="0"/>
        <v>0</v>
      </c>
    </row>
    <row r="21" spans="5:11" x14ac:dyDescent="0.4">
      <c r="E21" s="2" t="s">
        <v>19</v>
      </c>
      <c r="F21" s="2" t="s">
        <v>832</v>
      </c>
      <c r="G21" s="27"/>
      <c r="H21" s="2">
        <f>COUNTIF(WIP!J:J, Helper!E21)</f>
        <v>10</v>
      </c>
      <c r="I21" s="2">
        <f>COUNTIFS(WIP!J:J, E21, WIP!F:F, 0)</f>
        <v>4</v>
      </c>
      <c r="J21" s="2">
        <v>4</v>
      </c>
      <c r="K21" s="2">
        <f t="shared" si="0"/>
        <v>0</v>
      </c>
    </row>
    <row r="22" spans="5:11" x14ac:dyDescent="0.4">
      <c r="E22" s="2" t="s">
        <v>28</v>
      </c>
      <c r="F22" s="2" t="s">
        <v>833</v>
      </c>
      <c r="G22" s="28"/>
      <c r="H22" s="2">
        <f>COUNTIF(WIP!J:J, Helper!E22)</f>
        <v>2</v>
      </c>
      <c r="I22" s="2">
        <f>COUNTIFS(WIP!J:J, E22, WIP!F:F, 0)</f>
        <v>1</v>
      </c>
      <c r="J22" s="2">
        <v>1</v>
      </c>
      <c r="K22" s="2">
        <f t="shared" si="0"/>
        <v>0</v>
      </c>
    </row>
    <row r="23" spans="5:11" x14ac:dyDescent="0.4">
      <c r="E23" s="10" t="s">
        <v>372</v>
      </c>
      <c r="F23" s="2" t="s">
        <v>833</v>
      </c>
      <c r="G23" s="28"/>
      <c r="H23" s="2">
        <f>COUNTIF(WIP!J:J, Helper!E23)</f>
        <v>3</v>
      </c>
      <c r="I23" s="2">
        <f>COUNTIFS(WIP!J:J, E23, WIP!F:F, 0)</f>
        <v>1</v>
      </c>
      <c r="J23" s="2">
        <v>1</v>
      </c>
      <c r="K23" s="2">
        <f t="shared" si="0"/>
        <v>0</v>
      </c>
    </row>
    <row r="24" spans="5:11" x14ac:dyDescent="0.4">
      <c r="E24" s="10" t="s">
        <v>371</v>
      </c>
      <c r="F24" s="2" t="s">
        <v>833</v>
      </c>
      <c r="G24" s="28"/>
      <c r="H24" s="2">
        <f>COUNTIF(WIP!J:J, Helper!E24)</f>
        <v>1</v>
      </c>
      <c r="I24" s="2">
        <f>COUNTIFS(WIP!J:J, E24, WIP!F:F, 0)</f>
        <v>0</v>
      </c>
      <c r="J24" s="2">
        <v>0</v>
      </c>
      <c r="K24" s="2">
        <f t="shared" si="0"/>
        <v>0</v>
      </c>
    </row>
    <row r="25" spans="5:11" x14ac:dyDescent="0.4">
      <c r="E25" s="10" t="s">
        <v>374</v>
      </c>
      <c r="F25" s="2" t="s">
        <v>833</v>
      </c>
      <c r="G25" s="28"/>
      <c r="H25" s="2">
        <f>COUNTIF(WIP!J:J, Helper!E25)</f>
        <v>1</v>
      </c>
      <c r="I25" s="2">
        <f>COUNTIFS(WIP!J:J, E25, WIP!F:F, 0)</f>
        <v>0</v>
      </c>
      <c r="J25" s="2">
        <v>0</v>
      </c>
      <c r="K25" s="2">
        <f t="shared" si="0"/>
        <v>0</v>
      </c>
    </row>
    <row r="27" spans="5:11" x14ac:dyDescent="0.4">
      <c r="H27">
        <f>SUM(H2:H25)</f>
        <v>230</v>
      </c>
      <c r="I27">
        <f>SUM(I2:I26)</f>
        <v>100</v>
      </c>
    </row>
  </sheetData>
  <sortState ref="F32:F78">
    <sortCondition ref="F31"/>
  </sortState>
  <conditionalFormatting sqref="K2:K2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130629</xdr:colOff>
                    <xdr:row>7</xdr:row>
                    <xdr:rowOff>87086</xdr:rowOff>
                  </from>
                  <to>
                    <xdr:col>13</xdr:col>
                    <xdr:colOff>647700</xdr:colOff>
                    <xdr:row>10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workbookViewId="0">
      <selection activeCell="E7" sqref="E7"/>
    </sheetView>
  </sheetViews>
  <sheetFormatPr defaultRowHeight="14.6" x14ac:dyDescent="0.4"/>
  <cols>
    <col min="1" max="1" width="15.3828125" bestFit="1" customWidth="1"/>
    <col min="2" max="9" width="6.3046875" customWidth="1"/>
  </cols>
  <sheetData>
    <row r="1" spans="1:18" x14ac:dyDescent="0.4">
      <c r="B1">
        <v>0</v>
      </c>
      <c r="G1">
        <v>1</v>
      </c>
      <c r="J1">
        <f>SUM(J5:J28)</f>
        <v>230</v>
      </c>
    </row>
    <row r="2" spans="1:18" x14ac:dyDescent="0.4">
      <c r="A2" s="53"/>
      <c r="B2" s="105" t="s">
        <v>1151</v>
      </c>
      <c r="C2" s="105"/>
      <c r="D2" s="105"/>
      <c r="E2" s="106"/>
      <c r="F2" s="102" t="s">
        <v>1154</v>
      </c>
      <c r="G2" s="103"/>
      <c r="H2" s="103"/>
      <c r="I2" s="104"/>
      <c r="J2" s="93" t="s">
        <v>1159</v>
      </c>
      <c r="K2" s="94"/>
      <c r="L2" s="95"/>
      <c r="M2" s="107" t="s">
        <v>1</v>
      </c>
      <c r="N2" s="107"/>
      <c r="O2" s="107"/>
      <c r="P2" s="107"/>
      <c r="Q2" s="107"/>
      <c r="R2" s="107"/>
    </row>
    <row r="3" spans="1:18" x14ac:dyDescent="0.4">
      <c r="A3" s="50"/>
      <c r="B3" s="56" t="s">
        <v>375</v>
      </c>
      <c r="C3" s="56" t="s">
        <v>376</v>
      </c>
      <c r="D3" s="55" t="s">
        <v>377</v>
      </c>
      <c r="E3" s="98" t="s">
        <v>1155</v>
      </c>
      <c r="F3" s="54" t="s">
        <v>375</v>
      </c>
      <c r="G3" s="54" t="s">
        <v>376</v>
      </c>
      <c r="H3" s="54" t="s">
        <v>377</v>
      </c>
      <c r="I3" s="100" t="s">
        <v>1155</v>
      </c>
      <c r="J3" s="96" t="s">
        <v>1155</v>
      </c>
      <c r="K3" s="96" t="s">
        <v>1156</v>
      </c>
      <c r="L3" s="96" t="s">
        <v>1157</v>
      </c>
      <c r="M3" s="108" t="s">
        <v>1158</v>
      </c>
      <c r="N3" s="108" t="s">
        <v>1160</v>
      </c>
      <c r="O3" s="108" t="s">
        <v>1161</v>
      </c>
      <c r="P3" s="108" t="s">
        <v>1162</v>
      </c>
      <c r="Q3" s="108" t="s">
        <v>1163</v>
      </c>
      <c r="R3" s="108" t="s">
        <v>1164</v>
      </c>
    </row>
    <row r="4" spans="1:18" x14ac:dyDescent="0.4">
      <c r="A4" s="2"/>
      <c r="B4" s="56">
        <v>1</v>
      </c>
      <c r="C4" s="56">
        <v>2</v>
      </c>
      <c r="D4" s="56">
        <v>3</v>
      </c>
      <c r="E4" s="99"/>
      <c r="F4" s="54">
        <v>1</v>
      </c>
      <c r="G4" s="54">
        <v>2</v>
      </c>
      <c r="H4" s="54">
        <v>3</v>
      </c>
      <c r="I4" s="101"/>
      <c r="J4" s="97"/>
      <c r="K4" s="97"/>
      <c r="L4" s="97"/>
      <c r="M4" s="108"/>
      <c r="N4" s="108"/>
      <c r="O4" s="108"/>
      <c r="P4" s="108"/>
      <c r="Q4" s="108"/>
      <c r="R4" s="108"/>
    </row>
    <row r="5" spans="1:18" x14ac:dyDescent="0.4">
      <c r="A5" s="51" t="s">
        <v>10</v>
      </c>
      <c r="B5" s="57">
        <f>COUNTIFS(WIP!$J:$J, $A5, WIP!$F:$F, $B$1, WIP!$B:$B, B$4)</f>
        <v>7</v>
      </c>
      <c r="C5" s="57">
        <f>COUNTIFS(WIP!$J:$J, $A5, WIP!$F:$F, $B$1, WIP!$B:$B, C$4)</f>
        <v>10</v>
      </c>
      <c r="D5" s="57">
        <f>COUNTIFS(WIP!$J:$J, $A5, WIP!$F:$F, $B$1, WIP!$B:$B, D$4)</f>
        <v>4</v>
      </c>
      <c r="E5" s="57">
        <f>SUM(B5:D5)</f>
        <v>21</v>
      </c>
      <c r="F5" s="9">
        <f>COUNTIFS(WIP!$J:$J, $A5, WIP!$F:$F, $G$1, WIP!$B:$B, F$4)</f>
        <v>12</v>
      </c>
      <c r="G5" s="9">
        <f>COUNTIFS(WIP!$J:$J, $A5, WIP!$F:$F, $G$1, WIP!$B:$B, G$4)</f>
        <v>11</v>
      </c>
      <c r="H5" s="9">
        <f>COUNTIFS(WIP!$J:$J, $A5, WIP!$F:$F, $G$1, WIP!$B:$B, H$4)</f>
        <v>5</v>
      </c>
      <c r="I5" s="9">
        <f>SUM(F5:H5)</f>
        <v>28</v>
      </c>
      <c r="J5" s="58">
        <f>E5+I5</f>
        <v>49</v>
      </c>
      <c r="K5" s="58">
        <f>IF(J5=0, 0, E5/J5)</f>
        <v>0.42857142857142855</v>
      </c>
      <c r="L5" s="58">
        <f>IF(I5=0, 0, E5/I5)</f>
        <v>0.75</v>
      </c>
      <c r="M5" s="59">
        <f>B5+F5</f>
        <v>19</v>
      </c>
      <c r="N5" s="59">
        <f t="shared" ref="N5" si="0">C5+G5</f>
        <v>21</v>
      </c>
      <c r="O5" s="59">
        <f>D5+H5</f>
        <v>9</v>
      </c>
      <c r="P5" s="59">
        <f>IF(M5=0, 0, B5/M5)</f>
        <v>0.36842105263157893</v>
      </c>
      <c r="Q5" s="59">
        <f>IF(N5=0, 0, C5/N5)</f>
        <v>0.47619047619047616</v>
      </c>
      <c r="R5" s="59">
        <f>IF(O5=0, 0, D5/O5)</f>
        <v>0.44444444444444442</v>
      </c>
    </row>
    <row r="6" spans="1:18" x14ac:dyDescent="0.4">
      <c r="A6" s="51" t="s">
        <v>13</v>
      </c>
      <c r="B6" s="57">
        <f>COUNTIFS(WIP!$J:$J, $A6, WIP!$F:$F, $B$1, WIP!$B:$B, B$4)</f>
        <v>8</v>
      </c>
      <c r="C6" s="57">
        <f>COUNTIFS(WIP!$J:$J, $A6, WIP!$F:$F, $B$1, WIP!$B:$B, C$4)</f>
        <v>10</v>
      </c>
      <c r="D6" s="57">
        <f>COUNTIFS(WIP!$J:$J, $A6, WIP!$F:$F, $B$1, WIP!$B:$B, D$4)</f>
        <v>3</v>
      </c>
      <c r="E6" s="57">
        <f t="shared" ref="E6:E28" si="1">SUM(B6:D6)</f>
        <v>21</v>
      </c>
      <c r="F6" s="9">
        <f>COUNTIFS(WIP!$J:$J, $A6, WIP!$F:$F, $G$1, WIP!$B:$B, F$4)</f>
        <v>12</v>
      </c>
      <c r="G6" s="9">
        <f>COUNTIFS(WIP!$J:$J, $A6, WIP!$F:$F, $G$1, WIP!$B:$B, G$4)</f>
        <v>13</v>
      </c>
      <c r="H6" s="9">
        <f>COUNTIFS(WIP!$J:$J, $A6, WIP!$F:$F, $G$1, WIP!$B:$B, H$4)</f>
        <v>2</v>
      </c>
      <c r="I6" s="9">
        <f t="shared" ref="I6:I28" si="2">SUM(F6:H6)</f>
        <v>27</v>
      </c>
      <c r="J6" s="58">
        <f t="shared" ref="J6:J28" si="3">E6+I6</f>
        <v>48</v>
      </c>
      <c r="K6" s="58">
        <f t="shared" ref="K6:K28" si="4">IF(J6=0, 0, E6/J6)</f>
        <v>0.4375</v>
      </c>
      <c r="L6" s="58">
        <f t="shared" ref="L6:L28" si="5">IF(I6=0, 0, E6/I6)</f>
        <v>0.77777777777777779</v>
      </c>
      <c r="M6" s="59">
        <f t="shared" ref="M6:M28" si="6">B6+F6</f>
        <v>20</v>
      </c>
      <c r="N6" s="59">
        <f t="shared" ref="N6:N28" si="7">C6+G6</f>
        <v>23</v>
      </c>
      <c r="O6" s="59">
        <f t="shared" ref="O6:O28" si="8">D6+H6</f>
        <v>5</v>
      </c>
      <c r="P6" s="59">
        <f t="shared" ref="P6:P28" si="9">IF(M6=0, 0, B6/M6)</f>
        <v>0.4</v>
      </c>
      <c r="Q6" s="59">
        <f t="shared" ref="Q6:Q28" si="10">IF(N6=0, 0, C6/N6)</f>
        <v>0.43478260869565216</v>
      </c>
      <c r="R6" s="59">
        <f t="shared" ref="R6:R28" si="11">IF(O6=0, 0, D6/O6)</f>
        <v>0.6</v>
      </c>
    </row>
    <row r="7" spans="1:18" x14ac:dyDescent="0.4">
      <c r="A7" s="51" t="s">
        <v>17</v>
      </c>
      <c r="B7" s="57">
        <f>COUNTIFS(WIP!$J:$J, $A7, WIP!$F:$F, $B$1, WIP!$B:$B, B$4)</f>
        <v>1</v>
      </c>
      <c r="C7" s="57">
        <f>COUNTIFS(WIP!$J:$J, $A7, WIP!$F:$F, $B$1, WIP!$B:$B, C$4)</f>
        <v>0</v>
      </c>
      <c r="D7" s="57">
        <f>COUNTIFS(WIP!$J:$J, $A7, WIP!$F:$F, $B$1, WIP!$B:$B, D$4)</f>
        <v>0</v>
      </c>
      <c r="E7" s="57">
        <f t="shared" si="1"/>
        <v>1</v>
      </c>
      <c r="F7" s="9">
        <f>COUNTIFS(WIP!$J:$J, $A7, WIP!$F:$F, $G$1, WIP!$B:$B, F$4)</f>
        <v>1</v>
      </c>
      <c r="G7" s="9">
        <f>COUNTIFS(WIP!$J:$J, $A7, WIP!$F:$F, $G$1, WIP!$B:$B, G$4)</f>
        <v>1</v>
      </c>
      <c r="H7" s="9">
        <f>COUNTIFS(WIP!$J:$J, $A7, WIP!$F:$F, $G$1, WIP!$B:$B, H$4)</f>
        <v>0</v>
      </c>
      <c r="I7" s="9">
        <f t="shared" si="2"/>
        <v>2</v>
      </c>
      <c r="J7" s="58">
        <f t="shared" si="3"/>
        <v>3</v>
      </c>
      <c r="K7" s="58">
        <f t="shared" si="4"/>
        <v>0.33333333333333331</v>
      </c>
      <c r="L7" s="58">
        <f t="shared" si="5"/>
        <v>0.5</v>
      </c>
      <c r="M7" s="59">
        <f t="shared" si="6"/>
        <v>2</v>
      </c>
      <c r="N7" s="59">
        <f t="shared" si="7"/>
        <v>1</v>
      </c>
      <c r="O7" s="59">
        <f t="shared" si="8"/>
        <v>0</v>
      </c>
      <c r="P7" s="59">
        <f t="shared" si="9"/>
        <v>0.5</v>
      </c>
      <c r="Q7" s="59">
        <f t="shared" si="10"/>
        <v>0</v>
      </c>
      <c r="R7" s="59">
        <f t="shared" si="11"/>
        <v>0</v>
      </c>
    </row>
    <row r="8" spans="1:18" x14ac:dyDescent="0.4">
      <c r="A8" s="51" t="s">
        <v>14</v>
      </c>
      <c r="B8" s="57">
        <f>COUNTIFS(WIP!$J:$J, $A8, WIP!$F:$F, $B$1, WIP!$B:$B, B$4)</f>
        <v>3</v>
      </c>
      <c r="C8" s="57">
        <f>COUNTIFS(WIP!$J:$J, $A8, WIP!$F:$F, $B$1, WIP!$B:$B, C$4)</f>
        <v>0</v>
      </c>
      <c r="D8" s="57">
        <f>COUNTIFS(WIP!$J:$J, $A8, WIP!$F:$F, $B$1, WIP!$B:$B, D$4)</f>
        <v>1</v>
      </c>
      <c r="E8" s="57">
        <f t="shared" si="1"/>
        <v>4</v>
      </c>
      <c r="F8" s="9">
        <f>COUNTIFS(WIP!$J:$J, $A8, WIP!$F:$F, $G$1, WIP!$B:$B, F$4)</f>
        <v>3</v>
      </c>
      <c r="G8" s="9">
        <f>COUNTIFS(WIP!$J:$J, $A8, WIP!$F:$F, $G$1, WIP!$B:$B, G$4)</f>
        <v>0</v>
      </c>
      <c r="H8" s="9">
        <f>COUNTIFS(WIP!$J:$J, $A8, WIP!$F:$F, $G$1, WIP!$B:$B, H$4)</f>
        <v>1</v>
      </c>
      <c r="I8" s="9">
        <f t="shared" si="2"/>
        <v>4</v>
      </c>
      <c r="J8" s="58">
        <f t="shared" si="3"/>
        <v>8</v>
      </c>
      <c r="K8" s="58">
        <f t="shared" si="4"/>
        <v>0.5</v>
      </c>
      <c r="L8" s="58">
        <f t="shared" si="5"/>
        <v>1</v>
      </c>
      <c r="M8" s="59">
        <f t="shared" si="6"/>
        <v>6</v>
      </c>
      <c r="N8" s="59">
        <f t="shared" si="7"/>
        <v>0</v>
      </c>
      <c r="O8" s="59">
        <f t="shared" si="8"/>
        <v>2</v>
      </c>
      <c r="P8" s="59">
        <f t="shared" si="9"/>
        <v>0.5</v>
      </c>
      <c r="Q8" s="59">
        <f t="shared" si="10"/>
        <v>0</v>
      </c>
      <c r="R8" s="59">
        <f t="shared" si="11"/>
        <v>0.5</v>
      </c>
    </row>
    <row r="9" spans="1:18" x14ac:dyDescent="0.4">
      <c r="A9" s="51" t="s">
        <v>11</v>
      </c>
      <c r="B9" s="57">
        <f>COUNTIFS(WIP!$J:$J, $A9, WIP!$F:$F, $B$1, WIP!$B:$B, B$4)</f>
        <v>3</v>
      </c>
      <c r="C9" s="57">
        <f>COUNTIFS(WIP!$J:$J, $A9, WIP!$F:$F, $B$1, WIP!$B:$B, C$4)</f>
        <v>3</v>
      </c>
      <c r="D9" s="57">
        <f>COUNTIFS(WIP!$J:$J, $A9, WIP!$F:$F, $B$1, WIP!$B:$B, D$4)</f>
        <v>0</v>
      </c>
      <c r="E9" s="57">
        <f t="shared" si="1"/>
        <v>6</v>
      </c>
      <c r="F9" s="9">
        <f>COUNTIFS(WIP!$J:$J, $A9, WIP!$F:$F, $G$1, WIP!$B:$B, F$4)</f>
        <v>6</v>
      </c>
      <c r="G9" s="9">
        <f>COUNTIFS(WIP!$J:$J, $A9, WIP!$F:$F, $G$1, WIP!$B:$B, G$4)</f>
        <v>2</v>
      </c>
      <c r="H9" s="9">
        <f>COUNTIFS(WIP!$J:$J, $A9, WIP!$F:$F, $G$1, WIP!$B:$B, H$4)</f>
        <v>0</v>
      </c>
      <c r="I9" s="9">
        <f t="shared" si="2"/>
        <v>8</v>
      </c>
      <c r="J9" s="58">
        <f t="shared" si="3"/>
        <v>14</v>
      </c>
      <c r="K9" s="58">
        <f t="shared" si="4"/>
        <v>0.42857142857142855</v>
      </c>
      <c r="L9" s="58">
        <f t="shared" si="5"/>
        <v>0.75</v>
      </c>
      <c r="M9" s="59">
        <f t="shared" si="6"/>
        <v>9</v>
      </c>
      <c r="N9" s="59">
        <f t="shared" si="7"/>
        <v>5</v>
      </c>
      <c r="O9" s="59">
        <f t="shared" si="8"/>
        <v>0</v>
      </c>
      <c r="P9" s="59">
        <f t="shared" si="9"/>
        <v>0.33333333333333331</v>
      </c>
      <c r="Q9" s="59">
        <f t="shared" si="10"/>
        <v>0.6</v>
      </c>
      <c r="R9" s="59">
        <f t="shared" si="11"/>
        <v>0</v>
      </c>
    </row>
    <row r="10" spans="1:18" x14ac:dyDescent="0.4">
      <c r="A10" s="51" t="s">
        <v>20</v>
      </c>
      <c r="B10" s="57">
        <f>COUNTIFS(WIP!$J:$J, $A10, WIP!$F:$F, $B$1, WIP!$B:$B, B$4)</f>
        <v>0</v>
      </c>
      <c r="C10" s="57">
        <f>COUNTIFS(WIP!$J:$J, $A10, WIP!$F:$F, $B$1, WIP!$B:$B, C$4)</f>
        <v>1</v>
      </c>
      <c r="D10" s="57">
        <f>COUNTIFS(WIP!$J:$J, $A10, WIP!$F:$F, $B$1, WIP!$B:$B, D$4)</f>
        <v>0</v>
      </c>
      <c r="E10" s="57">
        <f t="shared" si="1"/>
        <v>1</v>
      </c>
      <c r="F10" s="9">
        <f>COUNTIFS(WIP!$J:$J, $A10, WIP!$F:$F, $G$1, WIP!$B:$B, F$4)</f>
        <v>0</v>
      </c>
      <c r="G10" s="9">
        <f>COUNTIFS(WIP!$J:$J, $A10, WIP!$F:$F, $G$1, WIP!$B:$B, G$4)</f>
        <v>0</v>
      </c>
      <c r="H10" s="9">
        <f>COUNTIFS(WIP!$J:$J, $A10, WIP!$F:$F, $G$1, WIP!$B:$B, H$4)</f>
        <v>0</v>
      </c>
      <c r="I10" s="9">
        <f t="shared" si="2"/>
        <v>0</v>
      </c>
      <c r="J10" s="58">
        <f t="shared" si="3"/>
        <v>1</v>
      </c>
      <c r="K10" s="58">
        <f t="shared" si="4"/>
        <v>1</v>
      </c>
      <c r="L10" s="58">
        <f t="shared" si="5"/>
        <v>0</v>
      </c>
      <c r="M10" s="59">
        <f t="shared" si="6"/>
        <v>0</v>
      </c>
      <c r="N10" s="59">
        <f t="shared" si="7"/>
        <v>1</v>
      </c>
      <c r="O10" s="59">
        <f t="shared" si="8"/>
        <v>0</v>
      </c>
      <c r="P10" s="59">
        <f t="shared" si="9"/>
        <v>0</v>
      </c>
      <c r="Q10" s="59">
        <f t="shared" si="10"/>
        <v>1</v>
      </c>
      <c r="R10" s="59">
        <f t="shared" si="11"/>
        <v>0</v>
      </c>
    </row>
    <row r="11" spans="1:18" x14ac:dyDescent="0.4">
      <c r="A11" s="51" t="s">
        <v>12</v>
      </c>
      <c r="B11" s="57">
        <f>COUNTIFS(WIP!$J:$J, $A11, WIP!$F:$F, $B$1, WIP!$B:$B, B$4)</f>
        <v>1</v>
      </c>
      <c r="C11" s="57">
        <f>COUNTIFS(WIP!$J:$J, $A11, WIP!$F:$F, $B$1, WIP!$B:$B, C$4)</f>
        <v>1</v>
      </c>
      <c r="D11" s="57">
        <f>COUNTIFS(WIP!$J:$J, $A11, WIP!$F:$F, $B$1, WIP!$B:$B, D$4)</f>
        <v>0</v>
      </c>
      <c r="E11" s="57">
        <f t="shared" si="1"/>
        <v>2</v>
      </c>
      <c r="F11" s="9">
        <f>COUNTIFS(WIP!$J:$J, $A11, WIP!$F:$F, $G$1, WIP!$B:$B, F$4)</f>
        <v>1</v>
      </c>
      <c r="G11" s="9">
        <f>COUNTIFS(WIP!$J:$J, $A11, WIP!$F:$F, $G$1, WIP!$B:$B, G$4)</f>
        <v>0</v>
      </c>
      <c r="H11" s="9">
        <f>COUNTIFS(WIP!$J:$J, $A11, WIP!$F:$F, $G$1, WIP!$B:$B, H$4)</f>
        <v>1</v>
      </c>
      <c r="I11" s="9">
        <f t="shared" si="2"/>
        <v>2</v>
      </c>
      <c r="J11" s="58">
        <f t="shared" si="3"/>
        <v>4</v>
      </c>
      <c r="K11" s="58">
        <f t="shared" si="4"/>
        <v>0.5</v>
      </c>
      <c r="L11" s="58">
        <f t="shared" si="5"/>
        <v>1</v>
      </c>
      <c r="M11" s="59">
        <f t="shared" si="6"/>
        <v>2</v>
      </c>
      <c r="N11" s="59">
        <f t="shared" si="7"/>
        <v>1</v>
      </c>
      <c r="O11" s="59">
        <f t="shared" si="8"/>
        <v>1</v>
      </c>
      <c r="P11" s="59">
        <f t="shared" si="9"/>
        <v>0.5</v>
      </c>
      <c r="Q11" s="59">
        <f t="shared" si="10"/>
        <v>1</v>
      </c>
      <c r="R11" s="59">
        <f t="shared" si="11"/>
        <v>0</v>
      </c>
    </row>
    <row r="12" spans="1:18" x14ac:dyDescent="0.4">
      <c r="A12" s="51" t="s">
        <v>21</v>
      </c>
      <c r="B12" s="57">
        <f>COUNTIFS(WIP!$J:$J, $A12, WIP!$F:$F, $B$1, WIP!$B:$B, B$4)</f>
        <v>1</v>
      </c>
      <c r="C12" s="57">
        <f>COUNTIFS(WIP!$J:$J, $A12, WIP!$F:$F, $B$1, WIP!$B:$B, C$4)</f>
        <v>1</v>
      </c>
      <c r="D12" s="57">
        <f>COUNTIFS(WIP!$J:$J, $A12, WIP!$F:$F, $B$1, WIP!$B:$B, D$4)</f>
        <v>1</v>
      </c>
      <c r="E12" s="57">
        <f t="shared" si="1"/>
        <v>3</v>
      </c>
      <c r="F12" s="9">
        <f>COUNTIFS(WIP!$J:$J, $A12, WIP!$F:$F, $G$1, WIP!$B:$B, F$4)</f>
        <v>1</v>
      </c>
      <c r="G12" s="9">
        <f>COUNTIFS(WIP!$J:$J, $A12, WIP!$F:$F, $G$1, WIP!$B:$B, G$4)</f>
        <v>0</v>
      </c>
      <c r="H12" s="9">
        <f>COUNTIFS(WIP!$J:$J, $A12, WIP!$F:$F, $G$1, WIP!$B:$B, H$4)</f>
        <v>2</v>
      </c>
      <c r="I12" s="9">
        <f t="shared" si="2"/>
        <v>3</v>
      </c>
      <c r="J12" s="58">
        <f t="shared" si="3"/>
        <v>6</v>
      </c>
      <c r="K12" s="58">
        <f t="shared" si="4"/>
        <v>0.5</v>
      </c>
      <c r="L12" s="58">
        <f t="shared" si="5"/>
        <v>1</v>
      </c>
      <c r="M12" s="59">
        <f t="shared" si="6"/>
        <v>2</v>
      </c>
      <c r="N12" s="59">
        <f t="shared" si="7"/>
        <v>1</v>
      </c>
      <c r="O12" s="59">
        <f t="shared" si="8"/>
        <v>3</v>
      </c>
      <c r="P12" s="59">
        <f t="shared" si="9"/>
        <v>0.5</v>
      </c>
      <c r="Q12" s="59">
        <f t="shared" si="10"/>
        <v>1</v>
      </c>
      <c r="R12" s="59">
        <f t="shared" si="11"/>
        <v>0.33333333333333331</v>
      </c>
    </row>
    <row r="13" spans="1:18" x14ac:dyDescent="0.4">
      <c r="A13" s="51" t="s">
        <v>26</v>
      </c>
      <c r="B13" s="57">
        <f>COUNTIFS(WIP!$J:$J, $A13, WIP!$F:$F, $B$1, WIP!$B:$B, B$4)</f>
        <v>0</v>
      </c>
      <c r="C13" s="57">
        <f>COUNTIFS(WIP!$J:$J, $A13, WIP!$F:$F, $B$1, WIP!$B:$B, C$4)</f>
        <v>0</v>
      </c>
      <c r="D13" s="57">
        <f>COUNTIFS(WIP!$J:$J, $A13, WIP!$F:$F, $B$1, WIP!$B:$B, D$4)</f>
        <v>1</v>
      </c>
      <c r="E13" s="57">
        <f t="shared" si="1"/>
        <v>1</v>
      </c>
      <c r="F13" s="9">
        <f>COUNTIFS(WIP!$J:$J, $A13, WIP!$F:$F, $G$1, WIP!$B:$B, F$4)</f>
        <v>0</v>
      </c>
      <c r="G13" s="9">
        <f>COUNTIFS(WIP!$J:$J, $A13, WIP!$F:$F, $G$1, WIP!$B:$B, G$4)</f>
        <v>1</v>
      </c>
      <c r="H13" s="9">
        <f>COUNTIFS(WIP!$J:$J, $A13, WIP!$F:$F, $G$1, WIP!$B:$B, H$4)</f>
        <v>0</v>
      </c>
      <c r="I13" s="9">
        <f t="shared" si="2"/>
        <v>1</v>
      </c>
      <c r="J13" s="58">
        <f t="shared" si="3"/>
        <v>2</v>
      </c>
      <c r="K13" s="58">
        <f t="shared" si="4"/>
        <v>0.5</v>
      </c>
      <c r="L13" s="58">
        <f t="shared" si="5"/>
        <v>1</v>
      </c>
      <c r="M13" s="59">
        <f t="shared" si="6"/>
        <v>0</v>
      </c>
      <c r="N13" s="59">
        <f t="shared" si="7"/>
        <v>1</v>
      </c>
      <c r="O13" s="59">
        <f t="shared" si="8"/>
        <v>1</v>
      </c>
      <c r="P13" s="59">
        <f t="shared" si="9"/>
        <v>0</v>
      </c>
      <c r="Q13" s="59">
        <f t="shared" si="10"/>
        <v>0</v>
      </c>
      <c r="R13" s="59">
        <f t="shared" si="11"/>
        <v>1</v>
      </c>
    </row>
    <row r="14" spans="1:18" x14ac:dyDescent="0.4">
      <c r="A14" s="51" t="s">
        <v>22</v>
      </c>
      <c r="B14" s="57">
        <f>COUNTIFS(WIP!$J:$J, $A14, WIP!$F:$F, $B$1, WIP!$B:$B, B$4)</f>
        <v>0</v>
      </c>
      <c r="C14" s="57">
        <f>COUNTIFS(WIP!$J:$J, $A14, WIP!$F:$F, $B$1, WIP!$B:$B, C$4)</f>
        <v>2</v>
      </c>
      <c r="D14" s="57">
        <f>COUNTIFS(WIP!$J:$J, $A14, WIP!$F:$F, $B$1, WIP!$B:$B, D$4)</f>
        <v>0</v>
      </c>
      <c r="E14" s="57">
        <f t="shared" si="1"/>
        <v>2</v>
      </c>
      <c r="F14" s="9">
        <f>COUNTIFS(WIP!$J:$J, $A14, WIP!$F:$F, $G$1, WIP!$B:$B, F$4)</f>
        <v>1</v>
      </c>
      <c r="G14" s="9">
        <f>COUNTIFS(WIP!$J:$J, $A14, WIP!$F:$F, $G$1, WIP!$B:$B, G$4)</f>
        <v>2</v>
      </c>
      <c r="H14" s="9">
        <f>COUNTIFS(WIP!$J:$J, $A14, WIP!$F:$F, $G$1, WIP!$B:$B, H$4)</f>
        <v>0</v>
      </c>
      <c r="I14" s="9">
        <f t="shared" si="2"/>
        <v>3</v>
      </c>
      <c r="J14" s="58">
        <f t="shared" si="3"/>
        <v>5</v>
      </c>
      <c r="K14" s="58">
        <f t="shared" si="4"/>
        <v>0.4</v>
      </c>
      <c r="L14" s="58">
        <f t="shared" si="5"/>
        <v>0.66666666666666663</v>
      </c>
      <c r="M14" s="59">
        <f t="shared" si="6"/>
        <v>1</v>
      </c>
      <c r="N14" s="59">
        <f t="shared" si="7"/>
        <v>4</v>
      </c>
      <c r="O14" s="59">
        <f t="shared" si="8"/>
        <v>0</v>
      </c>
      <c r="P14" s="59">
        <f t="shared" si="9"/>
        <v>0</v>
      </c>
      <c r="Q14" s="59">
        <f t="shared" si="10"/>
        <v>0.5</v>
      </c>
      <c r="R14" s="59">
        <f t="shared" si="11"/>
        <v>0</v>
      </c>
    </row>
    <row r="15" spans="1:18" x14ac:dyDescent="0.4">
      <c r="A15" s="51" t="s">
        <v>373</v>
      </c>
      <c r="B15" s="57">
        <f>COUNTIFS(WIP!$J:$J, $A15, WIP!$F:$F, $B$1, WIP!$B:$B, B$4)</f>
        <v>3</v>
      </c>
      <c r="C15" s="57">
        <f>COUNTIFS(WIP!$J:$J, $A15, WIP!$F:$F, $B$1, WIP!$B:$B, C$4)</f>
        <v>3</v>
      </c>
      <c r="D15" s="57">
        <f>COUNTIFS(WIP!$J:$J, $A15, WIP!$F:$F, $B$1, WIP!$B:$B, D$4)</f>
        <v>0</v>
      </c>
      <c r="E15" s="57">
        <f t="shared" si="1"/>
        <v>6</v>
      </c>
      <c r="F15" s="9">
        <f>COUNTIFS(WIP!$J:$J, $A15, WIP!$F:$F, $G$1, WIP!$B:$B, F$4)</f>
        <v>1</v>
      </c>
      <c r="G15" s="9">
        <f>COUNTIFS(WIP!$J:$J, $A15, WIP!$F:$F, $G$1, WIP!$B:$B, G$4)</f>
        <v>4</v>
      </c>
      <c r="H15" s="9">
        <f>COUNTIFS(WIP!$J:$J, $A15, WIP!$F:$F, $G$1, WIP!$B:$B, H$4)</f>
        <v>0</v>
      </c>
      <c r="I15" s="9">
        <f t="shared" si="2"/>
        <v>5</v>
      </c>
      <c r="J15" s="58">
        <f t="shared" si="3"/>
        <v>11</v>
      </c>
      <c r="K15" s="58">
        <f t="shared" si="4"/>
        <v>0.54545454545454541</v>
      </c>
      <c r="L15" s="58">
        <f t="shared" si="5"/>
        <v>1.2</v>
      </c>
      <c r="M15" s="59">
        <f t="shared" si="6"/>
        <v>4</v>
      </c>
      <c r="N15" s="59">
        <f t="shared" si="7"/>
        <v>7</v>
      </c>
      <c r="O15" s="59">
        <f t="shared" si="8"/>
        <v>0</v>
      </c>
      <c r="P15" s="59">
        <f t="shared" si="9"/>
        <v>0.75</v>
      </c>
      <c r="Q15" s="59">
        <f t="shared" si="10"/>
        <v>0.42857142857142855</v>
      </c>
      <c r="R15" s="59">
        <f t="shared" si="11"/>
        <v>0</v>
      </c>
    </row>
    <row r="16" spans="1:18" x14ac:dyDescent="0.4">
      <c r="A16" s="51" t="s">
        <v>23</v>
      </c>
      <c r="B16" s="57">
        <f>COUNTIFS(WIP!$J:$J, $A16, WIP!$F:$F, $B$1, WIP!$B:$B, B$4)</f>
        <v>0</v>
      </c>
      <c r="C16" s="57">
        <f>COUNTIFS(WIP!$J:$J, $A16, WIP!$F:$F, $B$1, WIP!$B:$B, C$4)</f>
        <v>1</v>
      </c>
      <c r="D16" s="57">
        <f>COUNTIFS(WIP!$J:$J, $A16, WIP!$F:$F, $B$1, WIP!$B:$B, D$4)</f>
        <v>0</v>
      </c>
      <c r="E16" s="57">
        <f t="shared" si="1"/>
        <v>1</v>
      </c>
      <c r="F16" s="9">
        <f>COUNTIFS(WIP!$J:$J, $A16, WIP!$F:$F, $G$1, WIP!$B:$B, F$4)</f>
        <v>0</v>
      </c>
      <c r="G16" s="9">
        <f>COUNTIFS(WIP!$J:$J, $A16, WIP!$F:$F, $G$1, WIP!$B:$B, G$4)</f>
        <v>0</v>
      </c>
      <c r="H16" s="9">
        <f>COUNTIFS(WIP!$J:$J, $A16, WIP!$F:$F, $G$1, WIP!$B:$B, H$4)</f>
        <v>1</v>
      </c>
      <c r="I16" s="9">
        <f t="shared" si="2"/>
        <v>1</v>
      </c>
      <c r="J16" s="58">
        <f t="shared" si="3"/>
        <v>2</v>
      </c>
      <c r="K16" s="58">
        <f t="shared" si="4"/>
        <v>0.5</v>
      </c>
      <c r="L16" s="58">
        <f t="shared" si="5"/>
        <v>1</v>
      </c>
      <c r="M16" s="59">
        <f t="shared" si="6"/>
        <v>0</v>
      </c>
      <c r="N16" s="59">
        <f t="shared" si="7"/>
        <v>1</v>
      </c>
      <c r="O16" s="59">
        <f t="shared" si="8"/>
        <v>1</v>
      </c>
      <c r="P16" s="59">
        <f t="shared" si="9"/>
        <v>0</v>
      </c>
      <c r="Q16" s="59">
        <f t="shared" si="10"/>
        <v>1</v>
      </c>
      <c r="R16" s="59">
        <f t="shared" si="11"/>
        <v>0</v>
      </c>
    </row>
    <row r="17" spans="1:18" x14ac:dyDescent="0.4">
      <c r="A17" s="51" t="s">
        <v>24</v>
      </c>
      <c r="B17" s="57">
        <f>COUNTIFS(WIP!$J:$J, $A17, WIP!$F:$F, $B$1, WIP!$B:$B, B$4)</f>
        <v>0</v>
      </c>
      <c r="C17" s="57">
        <f>COUNTIFS(WIP!$J:$J, $A17, WIP!$F:$F, $B$1, WIP!$B:$B, C$4)</f>
        <v>1</v>
      </c>
      <c r="D17" s="57">
        <f>COUNTIFS(WIP!$J:$J, $A17, WIP!$F:$F, $B$1, WIP!$B:$B, D$4)</f>
        <v>0</v>
      </c>
      <c r="E17" s="57">
        <f t="shared" si="1"/>
        <v>1</v>
      </c>
      <c r="F17" s="9">
        <f>COUNTIFS(WIP!$J:$J, $A17, WIP!$F:$F, $G$1, WIP!$B:$B, F$4)</f>
        <v>0</v>
      </c>
      <c r="G17" s="9">
        <f>COUNTIFS(WIP!$J:$J, $A17, WIP!$F:$F, $G$1, WIP!$B:$B, G$4)</f>
        <v>2</v>
      </c>
      <c r="H17" s="9">
        <f>COUNTIFS(WIP!$J:$J, $A17, WIP!$F:$F, $G$1, WIP!$B:$B, H$4)</f>
        <v>0</v>
      </c>
      <c r="I17" s="9">
        <f t="shared" si="2"/>
        <v>2</v>
      </c>
      <c r="J17" s="58">
        <f t="shared" si="3"/>
        <v>3</v>
      </c>
      <c r="K17" s="58">
        <f t="shared" si="4"/>
        <v>0.33333333333333331</v>
      </c>
      <c r="L17" s="58">
        <f t="shared" si="5"/>
        <v>0.5</v>
      </c>
      <c r="M17" s="59">
        <f t="shared" si="6"/>
        <v>0</v>
      </c>
      <c r="N17" s="59">
        <f t="shared" si="7"/>
        <v>3</v>
      </c>
      <c r="O17" s="59">
        <f t="shared" si="8"/>
        <v>0</v>
      </c>
      <c r="P17" s="59">
        <f t="shared" si="9"/>
        <v>0</v>
      </c>
      <c r="Q17" s="59">
        <f t="shared" si="10"/>
        <v>0.33333333333333331</v>
      </c>
      <c r="R17" s="59">
        <f t="shared" si="11"/>
        <v>0</v>
      </c>
    </row>
    <row r="18" spans="1:18" x14ac:dyDescent="0.4">
      <c r="A18" s="51" t="s">
        <v>27</v>
      </c>
      <c r="B18" s="57">
        <f>COUNTIFS(WIP!$J:$J, $A18, WIP!$F:$F, $B$1, WIP!$B:$B, B$4)</f>
        <v>3</v>
      </c>
      <c r="C18" s="57">
        <f>COUNTIFS(WIP!$J:$J, $A18, WIP!$F:$F, $B$1, WIP!$B:$B, C$4)</f>
        <v>1</v>
      </c>
      <c r="D18" s="57">
        <f>COUNTIFS(WIP!$J:$J, $A18, WIP!$F:$F, $B$1, WIP!$B:$B, D$4)</f>
        <v>1</v>
      </c>
      <c r="E18" s="57">
        <f t="shared" si="1"/>
        <v>5</v>
      </c>
      <c r="F18" s="9">
        <f>COUNTIFS(WIP!$J:$J, $A18, WIP!$F:$F, $G$1, WIP!$B:$B, F$4)</f>
        <v>4</v>
      </c>
      <c r="G18" s="9">
        <f>COUNTIFS(WIP!$J:$J, $A18, WIP!$F:$F, $G$1, WIP!$B:$B, G$4)</f>
        <v>2</v>
      </c>
      <c r="H18" s="9">
        <f>COUNTIFS(WIP!$J:$J, $A18, WIP!$F:$F, $G$1, WIP!$B:$B, H$4)</f>
        <v>0</v>
      </c>
      <c r="I18" s="9">
        <f t="shared" si="2"/>
        <v>6</v>
      </c>
      <c r="J18" s="58">
        <f t="shared" si="3"/>
        <v>11</v>
      </c>
      <c r="K18" s="58">
        <f t="shared" si="4"/>
        <v>0.45454545454545453</v>
      </c>
      <c r="L18" s="58">
        <f t="shared" si="5"/>
        <v>0.83333333333333337</v>
      </c>
      <c r="M18" s="59">
        <f t="shared" si="6"/>
        <v>7</v>
      </c>
      <c r="N18" s="59">
        <f t="shared" si="7"/>
        <v>3</v>
      </c>
      <c r="O18" s="59">
        <f t="shared" si="8"/>
        <v>1</v>
      </c>
      <c r="P18" s="59">
        <f t="shared" si="9"/>
        <v>0.42857142857142855</v>
      </c>
      <c r="Q18" s="59">
        <f t="shared" si="10"/>
        <v>0.33333333333333331</v>
      </c>
      <c r="R18" s="59">
        <f t="shared" si="11"/>
        <v>1</v>
      </c>
    </row>
    <row r="19" spans="1:18" x14ac:dyDescent="0.4">
      <c r="A19" s="51" t="s">
        <v>29</v>
      </c>
      <c r="B19" s="57">
        <f>COUNTIFS(WIP!$J:$J, $A19, WIP!$F:$F, $B$1, WIP!$B:$B, B$4)</f>
        <v>1</v>
      </c>
      <c r="C19" s="57">
        <f>COUNTIFS(WIP!$J:$J, $A19, WIP!$F:$F, $B$1, WIP!$B:$B, C$4)</f>
        <v>1</v>
      </c>
      <c r="D19" s="57">
        <f>COUNTIFS(WIP!$J:$J, $A19, WIP!$F:$F, $B$1, WIP!$B:$B, D$4)</f>
        <v>0</v>
      </c>
      <c r="E19" s="57">
        <f t="shared" si="1"/>
        <v>2</v>
      </c>
      <c r="F19" s="9">
        <f>COUNTIFS(WIP!$J:$J, $A19, WIP!$F:$F, $G$1, WIP!$B:$B, F$4)</f>
        <v>0</v>
      </c>
      <c r="G19" s="9">
        <f>COUNTIFS(WIP!$J:$J, $A19, WIP!$F:$F, $G$1, WIP!$B:$B, G$4)</f>
        <v>2</v>
      </c>
      <c r="H19" s="9">
        <f>COUNTIFS(WIP!$J:$J, $A19, WIP!$F:$F, $G$1, WIP!$B:$B, H$4)</f>
        <v>0</v>
      </c>
      <c r="I19" s="9">
        <f t="shared" si="2"/>
        <v>2</v>
      </c>
      <c r="J19" s="58">
        <f t="shared" si="3"/>
        <v>4</v>
      </c>
      <c r="K19" s="58">
        <f t="shared" si="4"/>
        <v>0.5</v>
      </c>
      <c r="L19" s="58">
        <f t="shared" si="5"/>
        <v>1</v>
      </c>
      <c r="M19" s="59">
        <f t="shared" si="6"/>
        <v>1</v>
      </c>
      <c r="N19" s="59">
        <f t="shared" si="7"/>
        <v>3</v>
      </c>
      <c r="O19" s="59">
        <f t="shared" si="8"/>
        <v>0</v>
      </c>
      <c r="P19" s="59">
        <f t="shared" si="9"/>
        <v>1</v>
      </c>
      <c r="Q19" s="59">
        <f t="shared" si="10"/>
        <v>0.33333333333333331</v>
      </c>
      <c r="R19" s="59">
        <f t="shared" si="11"/>
        <v>0</v>
      </c>
    </row>
    <row r="20" spans="1:18" x14ac:dyDescent="0.4">
      <c r="A20" s="51" t="s">
        <v>15</v>
      </c>
      <c r="B20" s="57">
        <f>COUNTIFS(WIP!$J:$J, $A20, WIP!$F:$F, $B$1, WIP!$B:$B, B$4)</f>
        <v>6</v>
      </c>
      <c r="C20" s="57">
        <f>COUNTIFS(WIP!$J:$J, $A20, WIP!$F:$F, $B$1, WIP!$B:$B, C$4)</f>
        <v>4</v>
      </c>
      <c r="D20" s="57">
        <f>COUNTIFS(WIP!$J:$J, $A20, WIP!$F:$F, $B$1, WIP!$B:$B, D$4)</f>
        <v>6</v>
      </c>
      <c r="E20" s="57">
        <f t="shared" si="1"/>
        <v>16</v>
      </c>
      <c r="F20" s="9">
        <f>COUNTIFS(WIP!$J:$J, $A20, WIP!$F:$F, $G$1, WIP!$B:$B, F$4)</f>
        <v>9</v>
      </c>
      <c r="G20" s="9">
        <f>COUNTIFS(WIP!$J:$J, $A20, WIP!$F:$F, $G$1, WIP!$B:$B, G$4)</f>
        <v>6</v>
      </c>
      <c r="H20" s="9">
        <f>COUNTIFS(WIP!$J:$J, $A20, WIP!$F:$F, $G$1, WIP!$B:$B, H$4)</f>
        <v>7</v>
      </c>
      <c r="I20" s="9">
        <f t="shared" si="2"/>
        <v>22</v>
      </c>
      <c r="J20" s="58">
        <f t="shared" si="3"/>
        <v>38</v>
      </c>
      <c r="K20" s="58">
        <f t="shared" si="4"/>
        <v>0.42105263157894735</v>
      </c>
      <c r="L20" s="58">
        <f t="shared" si="5"/>
        <v>0.72727272727272729</v>
      </c>
      <c r="M20" s="59">
        <f t="shared" si="6"/>
        <v>15</v>
      </c>
      <c r="N20" s="59">
        <f t="shared" si="7"/>
        <v>10</v>
      </c>
      <c r="O20" s="59">
        <f t="shared" si="8"/>
        <v>13</v>
      </c>
      <c r="P20" s="59">
        <f t="shared" si="9"/>
        <v>0.4</v>
      </c>
      <c r="Q20" s="59">
        <f t="shared" si="10"/>
        <v>0.4</v>
      </c>
      <c r="R20" s="59">
        <f t="shared" si="11"/>
        <v>0.46153846153846156</v>
      </c>
    </row>
    <row r="21" spans="1:18" x14ac:dyDescent="0.4">
      <c r="A21" s="51" t="s">
        <v>25</v>
      </c>
      <c r="B21" s="57">
        <f>COUNTIFS(WIP!$J:$J, $A21, WIP!$F:$F, $B$1, WIP!$B:$B, B$4)</f>
        <v>0</v>
      </c>
      <c r="C21" s="57">
        <f>COUNTIFS(WIP!$J:$J, $A21, WIP!$F:$F, $B$1, WIP!$B:$B, C$4)</f>
        <v>0</v>
      </c>
      <c r="D21" s="57">
        <f>COUNTIFS(WIP!$J:$J, $A21, WIP!$F:$F, $B$1, WIP!$B:$B, D$4)</f>
        <v>1</v>
      </c>
      <c r="E21" s="57">
        <f t="shared" si="1"/>
        <v>1</v>
      </c>
      <c r="F21" s="9">
        <f>COUNTIFS(WIP!$J:$J, $A21, WIP!$F:$F, $G$1, WIP!$B:$B, F$4)</f>
        <v>1</v>
      </c>
      <c r="G21" s="9">
        <f>COUNTIFS(WIP!$J:$J, $A21, WIP!$F:$F, $G$1, WIP!$B:$B, G$4)</f>
        <v>0</v>
      </c>
      <c r="H21" s="9">
        <f>COUNTIFS(WIP!$J:$J, $A21, WIP!$F:$F, $G$1, WIP!$B:$B, H$4)</f>
        <v>0</v>
      </c>
      <c r="I21" s="9">
        <f t="shared" si="2"/>
        <v>1</v>
      </c>
      <c r="J21" s="58">
        <f t="shared" si="3"/>
        <v>2</v>
      </c>
      <c r="K21" s="58">
        <f t="shared" si="4"/>
        <v>0.5</v>
      </c>
      <c r="L21" s="58">
        <f t="shared" si="5"/>
        <v>1</v>
      </c>
      <c r="M21" s="59">
        <f t="shared" si="6"/>
        <v>1</v>
      </c>
      <c r="N21" s="59">
        <f t="shared" si="7"/>
        <v>0</v>
      </c>
      <c r="O21" s="59">
        <f t="shared" si="8"/>
        <v>1</v>
      </c>
      <c r="P21" s="59">
        <f t="shared" si="9"/>
        <v>0</v>
      </c>
      <c r="Q21" s="59">
        <f t="shared" si="10"/>
        <v>0</v>
      </c>
      <c r="R21" s="59">
        <f t="shared" si="11"/>
        <v>1</v>
      </c>
    </row>
    <row r="22" spans="1:18" x14ac:dyDescent="0.4">
      <c r="A22" s="51" t="s">
        <v>16</v>
      </c>
      <c r="B22" s="57">
        <f>COUNTIFS(WIP!$J:$J, $A22, WIP!$F:$F, $B$1, WIP!$B:$B, B$4)</f>
        <v>0</v>
      </c>
      <c r="C22" s="57">
        <f>COUNTIFS(WIP!$J:$J, $A22, WIP!$F:$F, $B$1, WIP!$B:$B, C$4)</f>
        <v>0</v>
      </c>
      <c r="D22" s="57">
        <f>COUNTIFS(WIP!$J:$J, $A22, WIP!$F:$F, $B$1, WIP!$B:$B, D$4)</f>
        <v>0</v>
      </c>
      <c r="E22" s="57">
        <f t="shared" si="1"/>
        <v>0</v>
      </c>
      <c r="F22" s="9">
        <f>COUNTIFS(WIP!$J:$J, $A22, WIP!$F:$F, $G$1, WIP!$B:$B, F$4)</f>
        <v>0</v>
      </c>
      <c r="G22" s="9">
        <f>COUNTIFS(WIP!$J:$J, $A22, WIP!$F:$F, $G$1, WIP!$B:$B, G$4)</f>
        <v>1</v>
      </c>
      <c r="H22" s="9">
        <f>COUNTIFS(WIP!$J:$J, $A22, WIP!$F:$F, $G$1, WIP!$B:$B, H$4)</f>
        <v>0</v>
      </c>
      <c r="I22" s="9">
        <f t="shared" si="2"/>
        <v>1</v>
      </c>
      <c r="J22" s="58">
        <f t="shared" si="3"/>
        <v>1</v>
      </c>
      <c r="K22" s="58">
        <f t="shared" si="4"/>
        <v>0</v>
      </c>
      <c r="L22" s="58">
        <f t="shared" si="5"/>
        <v>0</v>
      </c>
      <c r="M22" s="59">
        <f t="shared" si="6"/>
        <v>0</v>
      </c>
      <c r="N22" s="59">
        <f t="shared" si="7"/>
        <v>1</v>
      </c>
      <c r="O22" s="59">
        <f t="shared" si="8"/>
        <v>0</v>
      </c>
      <c r="P22" s="59">
        <f t="shared" si="9"/>
        <v>0</v>
      </c>
      <c r="Q22" s="59">
        <f t="shared" si="10"/>
        <v>0</v>
      </c>
      <c r="R22" s="59">
        <f t="shared" si="11"/>
        <v>0</v>
      </c>
    </row>
    <row r="23" spans="1:18" x14ac:dyDescent="0.4">
      <c r="A23" s="51" t="s">
        <v>18</v>
      </c>
      <c r="B23" s="57">
        <f>COUNTIFS(WIP!$J:$J, $A23, WIP!$F:$F, $B$1, WIP!$B:$B, B$4)</f>
        <v>0</v>
      </c>
      <c r="C23" s="57">
        <f>COUNTIFS(WIP!$J:$J, $A23, WIP!$F:$F, $B$1, WIP!$B:$B, C$4)</f>
        <v>0</v>
      </c>
      <c r="D23" s="57">
        <f>COUNTIFS(WIP!$J:$J, $A23, WIP!$F:$F, $B$1, WIP!$B:$B, D$4)</f>
        <v>0</v>
      </c>
      <c r="E23" s="57">
        <f t="shared" si="1"/>
        <v>0</v>
      </c>
      <c r="F23" s="9">
        <f>COUNTIFS(WIP!$J:$J, $A23, WIP!$F:$F, $G$1, WIP!$B:$B, F$4)</f>
        <v>0</v>
      </c>
      <c r="G23" s="9">
        <f>COUNTIFS(WIP!$J:$J, $A23, WIP!$F:$F, $G$1, WIP!$B:$B, G$4)</f>
        <v>0</v>
      </c>
      <c r="H23" s="9">
        <f>COUNTIFS(WIP!$J:$J, $A23, WIP!$F:$F, $G$1, WIP!$B:$B, H$4)</f>
        <v>1</v>
      </c>
      <c r="I23" s="9">
        <f t="shared" si="2"/>
        <v>1</v>
      </c>
      <c r="J23" s="58">
        <f t="shared" si="3"/>
        <v>1</v>
      </c>
      <c r="K23" s="58">
        <f t="shared" si="4"/>
        <v>0</v>
      </c>
      <c r="L23" s="58">
        <f t="shared" si="5"/>
        <v>0</v>
      </c>
      <c r="M23" s="59">
        <f t="shared" si="6"/>
        <v>0</v>
      </c>
      <c r="N23" s="59">
        <f t="shared" si="7"/>
        <v>0</v>
      </c>
      <c r="O23" s="59">
        <f t="shared" si="8"/>
        <v>1</v>
      </c>
      <c r="P23" s="59">
        <f t="shared" si="9"/>
        <v>0</v>
      </c>
      <c r="Q23" s="59">
        <f t="shared" si="10"/>
        <v>0</v>
      </c>
      <c r="R23" s="59">
        <f t="shared" si="11"/>
        <v>0</v>
      </c>
    </row>
    <row r="24" spans="1:18" x14ac:dyDescent="0.4">
      <c r="A24" s="51" t="s">
        <v>19</v>
      </c>
      <c r="B24" s="57">
        <f>COUNTIFS(WIP!$J:$J, $A24, WIP!$F:$F, $B$1, WIP!$B:$B, B$4)</f>
        <v>0</v>
      </c>
      <c r="C24" s="57">
        <f>COUNTIFS(WIP!$J:$J, $A24, WIP!$F:$F, $B$1, WIP!$B:$B, C$4)</f>
        <v>2</v>
      </c>
      <c r="D24" s="57">
        <f>COUNTIFS(WIP!$J:$J, $A24, WIP!$F:$F, $B$1, WIP!$B:$B, D$4)</f>
        <v>2</v>
      </c>
      <c r="E24" s="57">
        <f t="shared" si="1"/>
        <v>4</v>
      </c>
      <c r="F24" s="9">
        <f>COUNTIFS(WIP!$J:$J, $A24, WIP!$F:$F, $G$1, WIP!$B:$B, F$4)</f>
        <v>0</v>
      </c>
      <c r="G24" s="9">
        <f>COUNTIFS(WIP!$J:$J, $A24, WIP!$F:$F, $G$1, WIP!$B:$B, G$4)</f>
        <v>3</v>
      </c>
      <c r="H24" s="9">
        <f>COUNTIFS(WIP!$J:$J, $A24, WIP!$F:$F, $G$1, WIP!$B:$B, H$4)</f>
        <v>3</v>
      </c>
      <c r="I24" s="9">
        <f t="shared" si="2"/>
        <v>6</v>
      </c>
      <c r="J24" s="58">
        <f t="shared" si="3"/>
        <v>10</v>
      </c>
      <c r="K24" s="58">
        <f t="shared" si="4"/>
        <v>0.4</v>
      </c>
      <c r="L24" s="58">
        <f t="shared" si="5"/>
        <v>0.66666666666666663</v>
      </c>
      <c r="M24" s="59">
        <f t="shared" si="6"/>
        <v>0</v>
      </c>
      <c r="N24" s="59">
        <f t="shared" si="7"/>
        <v>5</v>
      </c>
      <c r="O24" s="59">
        <f t="shared" si="8"/>
        <v>5</v>
      </c>
      <c r="P24" s="59">
        <f t="shared" si="9"/>
        <v>0</v>
      </c>
      <c r="Q24" s="59">
        <f t="shared" si="10"/>
        <v>0.4</v>
      </c>
      <c r="R24" s="59">
        <f t="shared" si="11"/>
        <v>0.4</v>
      </c>
    </row>
    <row r="25" spans="1:18" x14ac:dyDescent="0.4">
      <c r="A25" s="51" t="s">
        <v>28</v>
      </c>
      <c r="B25" s="57">
        <f>COUNTIFS(WIP!$J:$J, $A25, WIP!$F:$F, $B$1, WIP!$B:$B, B$4)</f>
        <v>0</v>
      </c>
      <c r="C25" s="57">
        <f>COUNTIFS(WIP!$J:$J, $A25, WIP!$F:$F, $B$1, WIP!$B:$B, C$4)</f>
        <v>1</v>
      </c>
      <c r="D25" s="57">
        <f>COUNTIFS(WIP!$J:$J, $A25, WIP!$F:$F, $B$1, WIP!$B:$B, D$4)</f>
        <v>0</v>
      </c>
      <c r="E25" s="57">
        <f t="shared" si="1"/>
        <v>1</v>
      </c>
      <c r="F25" s="9">
        <f>COUNTIFS(WIP!$J:$J, $A25, WIP!$F:$F, $G$1, WIP!$B:$B, F$4)</f>
        <v>1</v>
      </c>
      <c r="G25" s="9">
        <f>COUNTIFS(WIP!$J:$J, $A25, WIP!$F:$F, $G$1, WIP!$B:$B, G$4)</f>
        <v>0</v>
      </c>
      <c r="H25" s="9">
        <f>COUNTIFS(WIP!$J:$J, $A25, WIP!$F:$F, $G$1, WIP!$B:$B, H$4)</f>
        <v>0</v>
      </c>
      <c r="I25" s="9">
        <f t="shared" si="2"/>
        <v>1</v>
      </c>
      <c r="J25" s="58">
        <f t="shared" si="3"/>
        <v>2</v>
      </c>
      <c r="K25" s="58">
        <f t="shared" si="4"/>
        <v>0.5</v>
      </c>
      <c r="L25" s="58">
        <f t="shared" si="5"/>
        <v>1</v>
      </c>
      <c r="M25" s="59">
        <f t="shared" si="6"/>
        <v>1</v>
      </c>
      <c r="N25" s="59">
        <f t="shared" si="7"/>
        <v>1</v>
      </c>
      <c r="O25" s="59">
        <f t="shared" si="8"/>
        <v>0</v>
      </c>
      <c r="P25" s="59">
        <f t="shared" si="9"/>
        <v>0</v>
      </c>
      <c r="Q25" s="59">
        <f t="shared" si="10"/>
        <v>1</v>
      </c>
      <c r="R25" s="59">
        <f t="shared" si="11"/>
        <v>0</v>
      </c>
    </row>
    <row r="26" spans="1:18" x14ac:dyDescent="0.4">
      <c r="A26" s="52" t="s">
        <v>372</v>
      </c>
      <c r="B26" s="57">
        <f>COUNTIFS(WIP!$J:$J, $A26, WIP!$F:$F, $B$1, WIP!$B:$B, B$4)</f>
        <v>1</v>
      </c>
      <c r="C26" s="57">
        <f>COUNTIFS(WIP!$J:$J, $A26, WIP!$F:$F, $B$1, WIP!$B:$B, C$4)</f>
        <v>0</v>
      </c>
      <c r="D26" s="57">
        <f>COUNTIFS(WIP!$J:$J, $A26, WIP!$F:$F, $B$1, WIP!$B:$B, D$4)</f>
        <v>0</v>
      </c>
      <c r="E26" s="57">
        <f t="shared" si="1"/>
        <v>1</v>
      </c>
      <c r="F26" s="9">
        <f>COUNTIFS(WIP!$J:$J, $A26, WIP!$F:$F, $G$1, WIP!$B:$B, F$4)</f>
        <v>1</v>
      </c>
      <c r="G26" s="9">
        <f>COUNTIFS(WIP!$J:$J, $A26, WIP!$F:$F, $G$1, WIP!$B:$B, G$4)</f>
        <v>1</v>
      </c>
      <c r="H26" s="9">
        <f>COUNTIFS(WIP!$J:$J, $A26, WIP!$F:$F, $G$1, WIP!$B:$B, H$4)</f>
        <v>0</v>
      </c>
      <c r="I26" s="9">
        <f t="shared" si="2"/>
        <v>2</v>
      </c>
      <c r="J26" s="58">
        <f t="shared" si="3"/>
        <v>3</v>
      </c>
      <c r="K26" s="58">
        <f t="shared" si="4"/>
        <v>0.33333333333333331</v>
      </c>
      <c r="L26" s="58">
        <f t="shared" si="5"/>
        <v>0.5</v>
      </c>
      <c r="M26" s="59">
        <f t="shared" si="6"/>
        <v>2</v>
      </c>
      <c r="N26" s="59">
        <f t="shared" si="7"/>
        <v>1</v>
      </c>
      <c r="O26" s="59">
        <f t="shared" si="8"/>
        <v>0</v>
      </c>
      <c r="P26" s="59">
        <f t="shared" si="9"/>
        <v>0.5</v>
      </c>
      <c r="Q26" s="59">
        <f t="shared" si="10"/>
        <v>0</v>
      </c>
      <c r="R26" s="59">
        <f t="shared" si="11"/>
        <v>0</v>
      </c>
    </row>
    <row r="27" spans="1:18" x14ac:dyDescent="0.4">
      <c r="A27" s="52" t="s">
        <v>371</v>
      </c>
      <c r="B27" s="57">
        <f>COUNTIFS(WIP!$J:$J, $A27, WIP!$F:$F, $B$1, WIP!$B:$B, B$4)</f>
        <v>0</v>
      </c>
      <c r="C27" s="57">
        <f>COUNTIFS(WIP!$J:$J, $A27, WIP!$F:$F, $B$1, WIP!$B:$B, C$4)</f>
        <v>0</v>
      </c>
      <c r="D27" s="57">
        <f>COUNTIFS(WIP!$J:$J, $A27, WIP!$F:$F, $B$1, WIP!$B:$B, D$4)</f>
        <v>0</v>
      </c>
      <c r="E27" s="57">
        <f t="shared" si="1"/>
        <v>0</v>
      </c>
      <c r="F27" s="9">
        <f>COUNTIFS(WIP!$J:$J, $A27, WIP!$F:$F, $G$1, WIP!$B:$B, F$4)</f>
        <v>1</v>
      </c>
      <c r="G27" s="9">
        <f>COUNTIFS(WIP!$J:$J, $A27, WIP!$F:$F, $G$1, WIP!$B:$B, G$4)</f>
        <v>0</v>
      </c>
      <c r="H27" s="9">
        <f>COUNTIFS(WIP!$J:$J, $A27, WIP!$F:$F, $G$1, WIP!$B:$B, H$4)</f>
        <v>0</v>
      </c>
      <c r="I27" s="9">
        <f t="shared" si="2"/>
        <v>1</v>
      </c>
      <c r="J27" s="58">
        <f t="shared" si="3"/>
        <v>1</v>
      </c>
      <c r="K27" s="58">
        <f t="shared" si="4"/>
        <v>0</v>
      </c>
      <c r="L27" s="58">
        <f t="shared" si="5"/>
        <v>0</v>
      </c>
      <c r="M27" s="59">
        <f t="shared" si="6"/>
        <v>1</v>
      </c>
      <c r="N27" s="59">
        <f t="shared" si="7"/>
        <v>0</v>
      </c>
      <c r="O27" s="59">
        <f t="shared" si="8"/>
        <v>0</v>
      </c>
      <c r="P27" s="59">
        <f t="shared" si="9"/>
        <v>0</v>
      </c>
      <c r="Q27" s="59">
        <f t="shared" si="10"/>
        <v>0</v>
      </c>
      <c r="R27" s="59">
        <f t="shared" si="11"/>
        <v>0</v>
      </c>
    </row>
    <row r="28" spans="1:18" x14ac:dyDescent="0.4">
      <c r="A28" s="52" t="s">
        <v>374</v>
      </c>
      <c r="B28" s="57">
        <f>COUNTIFS(WIP!$J:$J, $A28, WIP!$F:$F, $B$1, WIP!$B:$B, B$4)</f>
        <v>0</v>
      </c>
      <c r="C28" s="57">
        <f>COUNTIFS(WIP!$J:$J, $A28, WIP!$F:$F, $B$1, WIP!$B:$B, C$4)</f>
        <v>0</v>
      </c>
      <c r="D28" s="57">
        <f>COUNTIFS(WIP!$J:$J, $A28, WIP!$F:$F, $B$1, WIP!$B:$B, D$4)</f>
        <v>0</v>
      </c>
      <c r="E28" s="57">
        <f t="shared" si="1"/>
        <v>0</v>
      </c>
      <c r="F28" s="9">
        <f>COUNTIFS(WIP!$J:$J, $A28, WIP!$F:$F, $G$1, WIP!$B:$B, F$4)</f>
        <v>0</v>
      </c>
      <c r="G28" s="9">
        <f>COUNTIFS(WIP!$J:$J, $A28, WIP!$F:$F, $G$1, WIP!$B:$B, G$4)</f>
        <v>1</v>
      </c>
      <c r="H28" s="9">
        <f>COUNTIFS(WIP!$J:$J, $A28, WIP!$F:$F, $G$1, WIP!$B:$B, H$4)</f>
        <v>0</v>
      </c>
      <c r="I28" s="9">
        <f t="shared" si="2"/>
        <v>1</v>
      </c>
      <c r="J28" s="58">
        <f t="shared" si="3"/>
        <v>1</v>
      </c>
      <c r="K28" s="58">
        <f t="shared" si="4"/>
        <v>0</v>
      </c>
      <c r="L28" s="58">
        <f t="shared" si="5"/>
        <v>0</v>
      </c>
      <c r="M28" s="59">
        <f t="shared" si="6"/>
        <v>0</v>
      </c>
      <c r="N28" s="59">
        <f t="shared" si="7"/>
        <v>1</v>
      </c>
      <c r="O28" s="59">
        <f t="shared" si="8"/>
        <v>0</v>
      </c>
      <c r="P28" s="59">
        <f t="shared" si="9"/>
        <v>0</v>
      </c>
      <c r="Q28" s="59">
        <f t="shared" si="10"/>
        <v>0</v>
      </c>
      <c r="R28" s="59">
        <f t="shared" si="11"/>
        <v>0</v>
      </c>
    </row>
    <row r="29" spans="1:18" x14ac:dyDescent="0.4">
      <c r="P29" t="s">
        <v>1165</v>
      </c>
    </row>
  </sheetData>
  <mergeCells count="15">
    <mergeCell ref="M2:R2"/>
    <mergeCell ref="M3:M4"/>
    <mergeCell ref="N3:N4"/>
    <mergeCell ref="O3:O4"/>
    <mergeCell ref="P3:P4"/>
    <mergeCell ref="Q3:Q4"/>
    <mergeCell ref="R3:R4"/>
    <mergeCell ref="J2:L2"/>
    <mergeCell ref="J3:J4"/>
    <mergeCell ref="K3:K4"/>
    <mergeCell ref="L3:L4"/>
    <mergeCell ref="E3:E4"/>
    <mergeCell ref="I3:I4"/>
    <mergeCell ref="F2:I2"/>
    <mergeCell ref="B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3"/>
  <sheetViews>
    <sheetView topLeftCell="A113" zoomScale="81" zoomScaleNormal="81" workbookViewId="0">
      <selection activeCell="C129" sqref="C129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style="20" customWidth="1"/>
    <col min="8" max="8" width="26.3046875" customWidth="1"/>
    <col min="9" max="9" width="6.3046875" style="20" customWidth="1"/>
    <col min="10" max="10" width="16" customWidth="1"/>
    <col min="12" max="12" width="18" customWidth="1"/>
    <col min="13" max="13" width="16.3046875" customWidth="1"/>
    <col min="14" max="14" width="19.3046875" customWidth="1"/>
    <col min="15" max="15" width="88.53515625" style="1" customWidth="1"/>
  </cols>
  <sheetData>
    <row r="1" spans="1:15" x14ac:dyDescent="0.4">
      <c r="A1" s="12"/>
      <c r="B1" s="109" t="s">
        <v>1</v>
      </c>
      <c r="C1" s="109"/>
      <c r="D1" s="12"/>
      <c r="E1" s="12"/>
      <c r="F1" s="12"/>
      <c r="G1" s="109" t="s">
        <v>9</v>
      </c>
      <c r="H1" s="109"/>
      <c r="I1" s="18"/>
      <c r="J1" s="109" t="s">
        <v>4</v>
      </c>
      <c r="K1" s="109"/>
      <c r="L1" s="12"/>
      <c r="M1" s="18"/>
      <c r="N1" s="15"/>
      <c r="O1" s="12"/>
    </row>
    <row r="2" spans="1:15" x14ac:dyDescent="0.4">
      <c r="A2" s="13" t="s">
        <v>0</v>
      </c>
      <c r="B2" s="11" t="s">
        <v>57</v>
      </c>
      <c r="C2" s="11" t="s">
        <v>6</v>
      </c>
      <c r="D2" s="13" t="s">
        <v>2</v>
      </c>
      <c r="E2" s="13" t="s">
        <v>3</v>
      </c>
      <c r="F2" s="13" t="s">
        <v>75</v>
      </c>
      <c r="G2" s="17" t="s">
        <v>57</v>
      </c>
      <c r="H2" s="11" t="s">
        <v>58</v>
      </c>
      <c r="I2" s="19" t="s">
        <v>8</v>
      </c>
      <c r="J2" s="11" t="s">
        <v>6</v>
      </c>
      <c r="K2" s="11" t="s">
        <v>5</v>
      </c>
      <c r="L2" s="13" t="s">
        <v>7</v>
      </c>
      <c r="M2" s="19" t="s">
        <v>618</v>
      </c>
      <c r="N2" s="16" t="s">
        <v>613</v>
      </c>
      <c r="O2" s="45" t="s">
        <v>71</v>
      </c>
    </row>
    <row r="3" spans="1:15" x14ac:dyDescent="0.4">
      <c r="A3" s="14" t="str">
        <f t="shared" ref="A3:O3" si="0">SUBSTITUTE(ADDRESS(ROW(),COLUMN(),4),ROW(),"")</f>
        <v>A</v>
      </c>
      <c r="B3" s="14" t="str">
        <f t="shared" si="0"/>
        <v>B</v>
      </c>
      <c r="C3" s="14" t="str">
        <f t="shared" si="0"/>
        <v>C</v>
      </c>
      <c r="D3" s="14" t="str">
        <f t="shared" si="0"/>
        <v>D</v>
      </c>
      <c r="E3" s="14" t="str">
        <f t="shared" si="0"/>
        <v>E</v>
      </c>
      <c r="F3" s="14" t="str">
        <f t="shared" si="0"/>
        <v>F</v>
      </c>
      <c r="G3" s="14" t="str">
        <f t="shared" si="0"/>
        <v>G</v>
      </c>
      <c r="H3" s="14" t="str">
        <f t="shared" si="0"/>
        <v>H</v>
      </c>
      <c r="I3" s="14" t="str">
        <f t="shared" si="0"/>
        <v>I</v>
      </c>
      <c r="J3" s="14" t="str">
        <f t="shared" si="0"/>
        <v>J</v>
      </c>
      <c r="K3" s="14" t="str">
        <f t="shared" si="0"/>
        <v>K</v>
      </c>
      <c r="L3" s="14" t="str">
        <f t="shared" si="0"/>
        <v>L</v>
      </c>
      <c r="M3" s="14" t="str">
        <f t="shared" si="0"/>
        <v>M</v>
      </c>
      <c r="N3" s="14" t="str">
        <f t="shared" si="0"/>
        <v>N</v>
      </c>
      <c r="O3" s="14" t="str">
        <f t="shared" si="0"/>
        <v>O</v>
      </c>
    </row>
    <row r="4" spans="1:15" x14ac:dyDescent="0.4">
      <c r="A4" s="60">
        <v>1</v>
      </c>
      <c r="B4" s="60">
        <v>2</v>
      </c>
      <c r="C4" s="61" t="str">
        <f>INDEX(Helper!$N$2:$N$4, MATCH(WIP!B4,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MATCH(WIP!G4, Helper!$A:$A, 0))</f>
        <v>Standard (EADGBE)</v>
      </c>
      <c r="I4" s="60" t="s">
        <v>62</v>
      </c>
      <c r="J4" s="73" t="s">
        <v>21</v>
      </c>
      <c r="K4" s="60" t="str">
        <f>INDEX(Helper!$F:$F, MATCH(WIP!J4, Helper!$E:$E, 0))</f>
        <v>#45F0E2</v>
      </c>
      <c r="L4" s="61" t="s">
        <v>808</v>
      </c>
      <c r="M4" s="61" t="s">
        <v>619</v>
      </c>
      <c r="N4" s="62" t="s">
        <v>649</v>
      </c>
      <c r="O4" s="21" t="s">
        <v>642</v>
      </c>
    </row>
    <row r="5" spans="1:15" x14ac:dyDescent="0.4">
      <c r="A5" s="60">
        <v>2</v>
      </c>
      <c r="B5" s="60">
        <v>1</v>
      </c>
      <c r="C5" s="61" t="str">
        <f>INDEX(Helper!$N$2:$N$4, MATCH(WIP!B5,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MATCH(WIP!G5, Helper!$A:$A, 0))</f>
        <v>Standard (EADGBE)</v>
      </c>
      <c r="I5" s="60" t="s">
        <v>59</v>
      </c>
      <c r="J5" s="75" t="s">
        <v>10</v>
      </c>
      <c r="K5" s="60" t="str">
        <f>INDEX(Helper!$F:$F, MATCH(WIP!J5, Helper!$E:$E, 0))</f>
        <v>#F5943C</v>
      </c>
      <c r="L5" s="61" t="s">
        <v>399</v>
      </c>
      <c r="M5" s="61" t="s">
        <v>619</v>
      </c>
      <c r="N5" s="62" t="s">
        <v>650</v>
      </c>
      <c r="O5" s="21" t="s">
        <v>800</v>
      </c>
    </row>
    <row r="6" spans="1:15" x14ac:dyDescent="0.4">
      <c r="A6" s="60">
        <v>3</v>
      </c>
      <c r="B6" s="60">
        <v>1</v>
      </c>
      <c r="C6" s="61" t="str">
        <f>INDEX(Helper!$N$2:$N$4, MATCH(WIP!B6,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MATCH(WIP!G6, Helper!$A:$A, 0))</f>
        <v>Standard (EADGBE)</v>
      </c>
      <c r="I6" s="60" t="s">
        <v>65</v>
      </c>
      <c r="J6" s="75" t="s">
        <v>10</v>
      </c>
      <c r="K6" s="60" t="str">
        <f>INDEX(Helper!$F:$F, MATCH(WIP!J6, Helper!$E:$E, 0))</f>
        <v>#F5943C</v>
      </c>
      <c r="L6" s="61" t="s">
        <v>393</v>
      </c>
      <c r="M6" s="61" t="s">
        <v>619</v>
      </c>
      <c r="N6" s="62" t="s">
        <v>653</v>
      </c>
      <c r="O6" s="21" t="s">
        <v>643</v>
      </c>
    </row>
    <row r="7" spans="1:15" x14ac:dyDescent="0.4">
      <c r="A7" s="60">
        <v>4</v>
      </c>
      <c r="B7" s="60">
        <v>1</v>
      </c>
      <c r="C7" s="61" t="str">
        <f>INDEX(Helper!$N$2:$N$4, MATCH(WIP!B7,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MATCH(WIP!G7, Helper!$A:$A, 0))</f>
        <v>Standard (EADGBE)</v>
      </c>
      <c r="I7" s="60" t="s">
        <v>67</v>
      </c>
      <c r="J7" s="73" t="s">
        <v>21</v>
      </c>
      <c r="K7" s="60" t="str">
        <f>INDEX(Helper!$F:$F, MATCH(WIP!J7, Helper!$E:$E, 0))</f>
        <v>#45F0E2</v>
      </c>
      <c r="L7" s="61" t="s">
        <v>400</v>
      </c>
      <c r="M7" s="61" t="s">
        <v>619</v>
      </c>
      <c r="N7" s="62" t="s">
        <v>654</v>
      </c>
      <c r="O7" s="21" t="s">
        <v>798</v>
      </c>
    </row>
    <row r="8" spans="1:15" x14ac:dyDescent="0.4">
      <c r="A8" s="60">
        <v>5</v>
      </c>
      <c r="B8" s="60">
        <v>1</v>
      </c>
      <c r="C8" s="61" t="str">
        <f>INDEX(Helper!$N$2:$N$4, MATCH(WIP!B8,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MATCH(WIP!G8, Helper!$A:$A, 0))</f>
        <v>Standard (EADGBE)</v>
      </c>
      <c r="I8" s="60" t="s">
        <v>395</v>
      </c>
      <c r="J8" s="75" t="s">
        <v>10</v>
      </c>
      <c r="K8" s="60" t="str">
        <f>INDEX(Helper!$F:$F, MATCH(WIP!J8, Helper!$E:$E, 0))</f>
        <v>#F5943C</v>
      </c>
      <c r="L8" s="61" t="s">
        <v>402</v>
      </c>
      <c r="M8" s="61" t="s">
        <v>619</v>
      </c>
      <c r="N8" s="62" t="s">
        <v>655</v>
      </c>
      <c r="O8" s="21" t="s">
        <v>746</v>
      </c>
    </row>
    <row r="9" spans="1:15" x14ac:dyDescent="0.4">
      <c r="A9" s="60">
        <v>6</v>
      </c>
      <c r="B9" s="60">
        <v>1</v>
      </c>
      <c r="C9" s="61" t="str">
        <f>INDEX(Helper!$N$2:$N$4, MATCH(WIP!B9,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MATCH(WIP!G9, Helper!$A:$A, 0))</f>
        <v>Standard (EADGBE)</v>
      </c>
      <c r="I9" s="60" t="s">
        <v>624</v>
      </c>
      <c r="J9" s="76" t="s">
        <v>29</v>
      </c>
      <c r="K9" s="60" t="str">
        <f>INDEX(Helper!$F:$F, MATCH(WIP!J9, Helper!$E:$E, 0))</f>
        <v>#66E586</v>
      </c>
      <c r="L9" s="61" t="s">
        <v>403</v>
      </c>
      <c r="M9" s="61" t="s">
        <v>619</v>
      </c>
      <c r="N9" s="62" t="s">
        <v>656</v>
      </c>
      <c r="O9" s="21" t="s">
        <v>826</v>
      </c>
    </row>
    <row r="10" spans="1:15" x14ac:dyDescent="0.4">
      <c r="A10" s="60">
        <v>7</v>
      </c>
      <c r="B10" s="60">
        <v>1</v>
      </c>
      <c r="C10" s="61" t="str">
        <f>INDEX(Helper!$N$2:$N$4, MATCH(WIP!B10,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MATCH(WIP!G10, Helper!$A:$A, 0))</f>
        <v>Standard (EADGBE)</v>
      </c>
      <c r="I10" s="60" t="s">
        <v>63</v>
      </c>
      <c r="J10" s="75" t="s">
        <v>10</v>
      </c>
      <c r="K10" s="60" t="str">
        <f>INDEX(Helper!$F:$F, MATCH(WIP!J10, Helper!$E:$E, 0))</f>
        <v>#F5943C</v>
      </c>
      <c r="L10" s="61" t="s">
        <v>394</v>
      </c>
      <c r="M10" s="61" t="s">
        <v>619</v>
      </c>
      <c r="N10" s="62" t="s">
        <v>657</v>
      </c>
      <c r="O10" s="21" t="s">
        <v>1110</v>
      </c>
    </row>
    <row r="11" spans="1:15" x14ac:dyDescent="0.4">
      <c r="A11" s="60">
        <v>8</v>
      </c>
      <c r="B11" s="60">
        <v>1</v>
      </c>
      <c r="C11" s="61" t="str">
        <f>INDEX(Helper!$N$2:$N$4, MATCH(WIP!B11,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MATCH(WIP!G11, Helper!$A:$A, 0))</f>
        <v>Half Step Down (D#G#C#F#A#D#)</v>
      </c>
      <c r="I11" s="60" t="s">
        <v>623</v>
      </c>
      <c r="J11" s="77" t="s">
        <v>11</v>
      </c>
      <c r="K11" s="60" t="str">
        <f>INDEX(Helper!$F:$F, MATCH(WIP!J11, Helper!$E:$E, 0))</f>
        <v>#E8AD1D</v>
      </c>
      <c r="L11" s="61" t="s">
        <v>387</v>
      </c>
      <c r="M11" s="61" t="s">
        <v>619</v>
      </c>
      <c r="N11" s="62" t="s">
        <v>658</v>
      </c>
      <c r="O11" s="21" t="s">
        <v>818</v>
      </c>
    </row>
    <row r="12" spans="1:15" x14ac:dyDescent="0.4">
      <c r="A12" s="60">
        <v>9</v>
      </c>
      <c r="B12" s="60">
        <v>1</v>
      </c>
      <c r="C12" s="61" t="str">
        <f>INDEX(Helper!$N$2:$N$4, MATCH(WIP!B12,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MATCH(WIP!G12, Helper!$A:$A, 0))</f>
        <v>Standard (EADGBE)</v>
      </c>
      <c r="I12" s="60" t="s">
        <v>63</v>
      </c>
      <c r="J12" s="75" t="s">
        <v>10</v>
      </c>
      <c r="K12" s="60" t="str">
        <f>INDEX(Helper!$F:$F, MATCH(WIP!J12, Helper!$E:$E, 0))</f>
        <v>#F5943C</v>
      </c>
      <c r="L12" s="61" t="s">
        <v>404</v>
      </c>
      <c r="M12" s="61" t="s">
        <v>619</v>
      </c>
      <c r="N12" s="62" t="s">
        <v>659</v>
      </c>
      <c r="O12" s="21" t="s">
        <v>1111</v>
      </c>
    </row>
    <row r="13" spans="1:15" x14ac:dyDescent="0.4">
      <c r="A13" s="60">
        <v>10</v>
      </c>
      <c r="B13" s="60">
        <v>1</v>
      </c>
      <c r="C13" s="61" t="str">
        <f>INDEX(Helper!$N$2:$N$4, MATCH(WIP!B13,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MATCH(WIP!G13, Helper!$A:$A, 0))</f>
        <v>Standard (EADGBE)</v>
      </c>
      <c r="I13" s="60" t="s">
        <v>63</v>
      </c>
      <c r="J13" s="75" t="s">
        <v>10</v>
      </c>
      <c r="K13" s="60" t="str">
        <f>INDEX(Helper!$F:$F, MATCH(WIP!J13, Helper!$E:$E, 0))</f>
        <v>#F5943C</v>
      </c>
      <c r="L13" s="61" t="s">
        <v>405</v>
      </c>
      <c r="M13" s="61" t="s">
        <v>619</v>
      </c>
      <c r="N13" s="62" t="s">
        <v>660</v>
      </c>
      <c r="O13" s="21" t="s">
        <v>747</v>
      </c>
    </row>
    <row r="14" spans="1:15" x14ac:dyDescent="0.4">
      <c r="A14" s="60">
        <v>11</v>
      </c>
      <c r="B14" s="60">
        <v>1</v>
      </c>
      <c r="C14" s="61" t="str">
        <f>INDEX(Helper!$N$2:$N$4, MATCH(WIP!B14,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MATCH(WIP!G14, Helper!$A:$A, 0))</f>
        <v>Standard (EADGBE)</v>
      </c>
      <c r="I14" s="60" t="s">
        <v>395</v>
      </c>
      <c r="J14" s="77" t="s">
        <v>11</v>
      </c>
      <c r="K14" s="60" t="str">
        <f>INDEX(Helper!$F:$F, MATCH(WIP!J14, Helper!$E:$E, 0))</f>
        <v>#E8AD1D</v>
      </c>
      <c r="L14" s="61" t="s">
        <v>406</v>
      </c>
      <c r="M14" s="61" t="s">
        <v>619</v>
      </c>
      <c r="N14" s="62" t="s">
        <v>661</v>
      </c>
      <c r="O14" s="21" t="s">
        <v>748</v>
      </c>
    </row>
    <row r="15" spans="1:15" x14ac:dyDescent="0.4">
      <c r="A15" s="60">
        <v>12</v>
      </c>
      <c r="B15" s="60">
        <v>2</v>
      </c>
      <c r="C15" s="61" t="str">
        <f>INDEX(Helper!$N$2:$N$4, MATCH(WIP!B15,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MATCH(WIP!G15, Helper!$A:$A, 0))</f>
        <v>Standard (EADGBE)</v>
      </c>
      <c r="I15" s="60" t="s">
        <v>61</v>
      </c>
      <c r="J15" s="75" t="s">
        <v>10</v>
      </c>
      <c r="K15" s="60" t="str">
        <f>INDEX(Helper!$F:$F, MATCH(WIP!J15, Helper!$E:$E, 0))</f>
        <v>#F5943C</v>
      </c>
      <c r="L15" s="61" t="s">
        <v>407</v>
      </c>
      <c r="M15" s="61" t="s">
        <v>619</v>
      </c>
      <c r="N15" s="62" t="s">
        <v>662</v>
      </c>
      <c r="O15" s="21" t="s">
        <v>799</v>
      </c>
    </row>
    <row r="16" spans="1:15" x14ac:dyDescent="0.4">
      <c r="A16" s="60">
        <v>13</v>
      </c>
      <c r="B16" s="60">
        <v>1</v>
      </c>
      <c r="C16" s="61" t="str">
        <f>INDEX(Helper!$N$2:$N$4, MATCH(WIP!B16,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MATCH(WIP!G16, Helper!$A:$A, 0))</f>
        <v>Standard (EADGBE)</v>
      </c>
      <c r="I16" s="60" t="s">
        <v>67</v>
      </c>
      <c r="J16" s="75" t="s">
        <v>10</v>
      </c>
      <c r="K16" s="60" t="str">
        <f>INDEX(Helper!$F:$F, MATCH(WIP!J16, Helper!$E:$E, 0))</f>
        <v>#F5943C</v>
      </c>
      <c r="L16" s="61" t="s">
        <v>408</v>
      </c>
      <c r="M16" s="61" t="s">
        <v>619</v>
      </c>
      <c r="N16" s="62" t="s">
        <v>663</v>
      </c>
      <c r="O16" s="21" t="s">
        <v>749</v>
      </c>
    </row>
    <row r="17" spans="1:15" x14ac:dyDescent="0.4">
      <c r="A17" s="60">
        <v>14</v>
      </c>
      <c r="B17" s="60">
        <v>1</v>
      </c>
      <c r="C17" s="61" t="str">
        <f>INDEX(Helper!$N$2:$N$4, MATCH(WIP!B17,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MATCH(WIP!G17, Helper!$A:$A, 0))</f>
        <v>Standard (EADGBE)</v>
      </c>
      <c r="I17" s="60" t="s">
        <v>65</v>
      </c>
      <c r="J17" s="79" t="s">
        <v>22</v>
      </c>
      <c r="K17" s="60" t="str">
        <f>INDEX(Helper!$F:$F, MATCH(WIP!J17, Helper!$E:$E, 0))</f>
        <v>#FFDF66</v>
      </c>
      <c r="L17" s="61" t="s">
        <v>409</v>
      </c>
      <c r="M17" s="61" t="s">
        <v>619</v>
      </c>
      <c r="N17" s="62" t="s">
        <v>664</v>
      </c>
      <c r="O17" s="21" t="s">
        <v>750</v>
      </c>
    </row>
    <row r="18" spans="1:15" x14ac:dyDescent="0.4">
      <c r="A18" s="60">
        <v>15</v>
      </c>
      <c r="B18" s="60">
        <v>1</v>
      </c>
      <c r="C18" s="61" t="str">
        <f>INDEX(Helper!$N$2:$N$4, MATCH(WIP!B18,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MATCH(WIP!G18, Helper!$A:$A, 0))</f>
        <v>Standard (EADGBE)</v>
      </c>
      <c r="I18" s="60" t="s">
        <v>623</v>
      </c>
      <c r="J18" s="80" t="s">
        <v>15</v>
      </c>
      <c r="K18" s="60" t="str">
        <f>INDEX(Helper!$F:$F, MATCH(WIP!J18, Helper!$E:$E, 0))</f>
        <v>#C2C2A1</v>
      </c>
      <c r="L18" s="61" t="s">
        <v>410</v>
      </c>
      <c r="M18" s="61" t="s">
        <v>619</v>
      </c>
      <c r="N18" s="62" t="s">
        <v>665</v>
      </c>
      <c r="O18" s="21" t="s">
        <v>751</v>
      </c>
    </row>
    <row r="19" spans="1:15" x14ac:dyDescent="0.4">
      <c r="A19" s="60">
        <v>16</v>
      </c>
      <c r="B19" s="60">
        <v>1</v>
      </c>
      <c r="C19" s="61" t="str">
        <f>INDEX(Helper!$N$2:$N$4, MATCH(WIP!B19,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MATCH(WIP!G19, Helper!$A:$A, 0))</f>
        <v>Standard (EADGBE)</v>
      </c>
      <c r="I19" s="60" t="s">
        <v>623</v>
      </c>
      <c r="J19" s="81" t="s">
        <v>13</v>
      </c>
      <c r="K19" s="60" t="str">
        <f>INDEX(Helper!$F:$F, MATCH(WIP!J19, Helper!$E:$E, 0))</f>
        <v>#FF4F53</v>
      </c>
      <c r="L19" s="61" t="s">
        <v>411</v>
      </c>
      <c r="M19" s="61" t="s">
        <v>619</v>
      </c>
      <c r="N19" s="62" t="s">
        <v>666</v>
      </c>
      <c r="O19" s="21" t="s">
        <v>819</v>
      </c>
    </row>
    <row r="20" spans="1:15" x14ac:dyDescent="0.4">
      <c r="A20" s="60">
        <v>17</v>
      </c>
      <c r="B20" s="60">
        <v>1</v>
      </c>
      <c r="C20" s="61" t="str">
        <f>INDEX(Helper!$N$2:$N$4, MATCH(WIP!B20,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MATCH(WIP!G20, Helper!$A:$A, 0))</f>
        <v>Standard (EADGBE)</v>
      </c>
      <c r="I20" s="60" t="s">
        <v>624</v>
      </c>
      <c r="J20" s="82" t="s">
        <v>371</v>
      </c>
      <c r="K20" s="60" t="str">
        <f>INDEX(Helper!$F:$F, MATCH(WIP!J20, Helper!$E:$E, 0))</f>
        <v>#B3F141</v>
      </c>
      <c r="L20" s="61" t="s">
        <v>412</v>
      </c>
      <c r="M20" s="61" t="s">
        <v>619</v>
      </c>
      <c r="N20" s="62" t="s">
        <v>667</v>
      </c>
      <c r="O20" s="21" t="s">
        <v>752</v>
      </c>
    </row>
    <row r="21" spans="1:15" x14ac:dyDescent="0.4">
      <c r="A21" s="60">
        <v>18</v>
      </c>
      <c r="B21" s="60">
        <v>1</v>
      </c>
      <c r="C21" s="61" t="str">
        <f>INDEX(Helper!$N$2:$N$4, MATCH(WIP!B21,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MATCH(WIP!G21, Helper!$A:$A, 0))</f>
        <v>Standard (EADGBE)</v>
      </c>
      <c r="I21" s="60" t="s">
        <v>625</v>
      </c>
      <c r="J21" s="76" t="s">
        <v>372</v>
      </c>
      <c r="K21" s="60" t="str">
        <f>INDEX(Helper!$F:$F, MATCH(WIP!J21, Helper!$E:$E, 0))</f>
        <v>#B3F141</v>
      </c>
      <c r="L21" s="61" t="s">
        <v>414</v>
      </c>
      <c r="M21" s="61" t="s">
        <v>619</v>
      </c>
      <c r="N21" s="63" t="s">
        <v>668</v>
      </c>
      <c r="O21" s="21" t="s">
        <v>753</v>
      </c>
    </row>
    <row r="22" spans="1:15" x14ac:dyDescent="0.4">
      <c r="A22" s="60">
        <v>19</v>
      </c>
      <c r="B22" s="60">
        <v>1</v>
      </c>
      <c r="C22" s="61" t="str">
        <f>INDEX(Helper!$N$2:$N$4, MATCH(WIP!B22,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MATCH(WIP!G22, Helper!$A:$A, 0))</f>
        <v>Open A (EAC#EAE)</v>
      </c>
      <c r="I22" s="60" t="s">
        <v>63</v>
      </c>
      <c r="J22" s="81" t="s">
        <v>13</v>
      </c>
      <c r="K22" s="60" t="str">
        <f>INDEX(Helper!$F:$F, MATCH(WIP!J22, Helper!$E:$E, 0))</f>
        <v>#FF4F53</v>
      </c>
      <c r="L22" s="61" t="s">
        <v>415</v>
      </c>
      <c r="M22" s="61" t="s">
        <v>619</v>
      </c>
      <c r="N22" s="63" t="s">
        <v>669</v>
      </c>
      <c r="O22" s="21" t="s">
        <v>754</v>
      </c>
    </row>
    <row r="23" spans="1:15" x14ac:dyDescent="0.4">
      <c r="A23" s="60">
        <v>20</v>
      </c>
      <c r="B23" s="60">
        <v>1</v>
      </c>
      <c r="C23" s="61" t="str">
        <f>INDEX(Helper!$N$2:$N$4, MATCH(WIP!B23,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MATCH(WIP!G23, Helper!$A:$A, 0))</f>
        <v>Standard (EADGBE)</v>
      </c>
      <c r="I23" s="60" t="s">
        <v>395</v>
      </c>
      <c r="J23" s="73" t="s">
        <v>21</v>
      </c>
      <c r="K23" s="60" t="str">
        <f>INDEX(Helper!$F:$F, MATCH(WIP!J23, Helper!$E:$E, 0))</f>
        <v>#45F0E2</v>
      </c>
      <c r="L23" s="61" t="s">
        <v>416</v>
      </c>
      <c r="M23" s="61" t="s">
        <v>619</v>
      </c>
      <c r="N23" s="62" t="s">
        <v>670</v>
      </c>
      <c r="O23" s="21" t="s">
        <v>755</v>
      </c>
    </row>
    <row r="24" spans="1:15" x14ac:dyDescent="0.4">
      <c r="A24" s="60">
        <v>21</v>
      </c>
      <c r="B24" s="60">
        <v>1</v>
      </c>
      <c r="C24" s="61" t="str">
        <f>INDEX(Helper!$N$2:$N$4, MATCH(WIP!B24,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MATCH(WIP!G24, Helper!$A:$A, 0))</f>
        <v>Standard (EADGBE)</v>
      </c>
      <c r="I24" s="60" t="s">
        <v>623</v>
      </c>
      <c r="J24" s="80" t="s">
        <v>15</v>
      </c>
      <c r="K24" s="60" t="str">
        <f>INDEX(Helper!$F:$F, MATCH(WIP!J24, Helper!$E:$E, 0))</f>
        <v>#C2C2A1</v>
      </c>
      <c r="L24" s="61" t="s">
        <v>417</v>
      </c>
      <c r="M24" s="61" t="s">
        <v>619</v>
      </c>
      <c r="N24" s="62" t="s">
        <v>671</v>
      </c>
      <c r="O24" s="21" t="s">
        <v>801</v>
      </c>
    </row>
    <row r="25" spans="1:15" x14ac:dyDescent="0.4">
      <c r="A25" s="60">
        <v>22</v>
      </c>
      <c r="B25" s="60">
        <v>1</v>
      </c>
      <c r="C25" s="61" t="str">
        <f>INDEX(Helper!$N$2:$N$4, MATCH(WIP!B25,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MATCH(WIP!G25, Helper!$A:$A, 0))</f>
        <v>Standard (EADGBE)</v>
      </c>
      <c r="I25" s="60" t="s">
        <v>395</v>
      </c>
      <c r="J25" s="75" t="s">
        <v>10</v>
      </c>
      <c r="K25" s="60" t="str">
        <f>INDEX(Helper!$F:$F, MATCH(WIP!J25, Helper!$E:$E, 0))</f>
        <v>#F5943C</v>
      </c>
      <c r="L25" s="61" t="s">
        <v>418</v>
      </c>
      <c r="M25" s="61" t="s">
        <v>619</v>
      </c>
      <c r="N25" s="62" t="s">
        <v>672</v>
      </c>
      <c r="O25" s="21" t="s">
        <v>802</v>
      </c>
    </row>
    <row r="26" spans="1:15" x14ac:dyDescent="0.4">
      <c r="A26" s="60">
        <v>23</v>
      </c>
      <c r="B26" s="60">
        <v>1</v>
      </c>
      <c r="C26" s="61" t="str">
        <f>INDEX(Helper!$N$2:$N$4, MATCH(WIP!B26,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MATCH(WIP!G26, Helper!$A:$A, 0))</f>
        <v>Standard (EADGBE)</v>
      </c>
      <c r="I26" s="60" t="s">
        <v>59</v>
      </c>
      <c r="J26" s="80" t="s">
        <v>15</v>
      </c>
      <c r="K26" s="60" t="str">
        <f>INDEX(Helper!$F:$F, MATCH(WIP!J26, Helper!$E:$E, 0))</f>
        <v>#C2C2A1</v>
      </c>
      <c r="L26" s="61" t="s">
        <v>419</v>
      </c>
      <c r="M26" s="61" t="s">
        <v>619</v>
      </c>
      <c r="N26" s="62" t="s">
        <v>673</v>
      </c>
      <c r="O26" s="21" t="s">
        <v>756</v>
      </c>
    </row>
    <row r="27" spans="1:15" x14ac:dyDescent="0.4">
      <c r="A27" s="60">
        <v>24</v>
      </c>
      <c r="B27" s="60">
        <v>1</v>
      </c>
      <c r="C27" s="61" t="str">
        <f>INDEX(Helper!$N$2:$N$4, MATCH(WIP!B27,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MATCH(WIP!G27, Helper!$A:$A, 0))</f>
        <v>Standard (EADGBE)</v>
      </c>
      <c r="I27" s="60" t="s">
        <v>395</v>
      </c>
      <c r="J27" s="83" t="s">
        <v>12</v>
      </c>
      <c r="K27" s="60" t="str">
        <f>INDEX(Helper!$F:$F, MATCH(WIP!J27, Helper!$E:$E, 0))</f>
        <v>#FFE129</v>
      </c>
      <c r="L27" s="61" t="s">
        <v>420</v>
      </c>
      <c r="M27" s="61" t="s">
        <v>619</v>
      </c>
      <c r="N27" s="62" t="s">
        <v>674</v>
      </c>
      <c r="O27" s="21" t="s">
        <v>757</v>
      </c>
    </row>
    <row r="28" spans="1:15" x14ac:dyDescent="0.4">
      <c r="A28" s="60">
        <v>25</v>
      </c>
      <c r="B28" s="60">
        <v>1</v>
      </c>
      <c r="C28" s="61" t="str">
        <f>INDEX(Helper!$N$2:$N$4, MATCH(WIP!B28,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MATCH(WIP!G28, Helper!$A:$A, 0))</f>
        <v>Standard (EADGBE)</v>
      </c>
      <c r="I28" s="60" t="s">
        <v>65</v>
      </c>
      <c r="J28" s="75" t="s">
        <v>10</v>
      </c>
      <c r="K28" s="60" t="str">
        <f>INDEX(Helper!$F:$F, MATCH(WIP!J28, Helper!$E:$E, 0))</f>
        <v>#F5943C</v>
      </c>
      <c r="L28" s="61" t="s">
        <v>421</v>
      </c>
      <c r="M28" s="61" t="s">
        <v>619</v>
      </c>
      <c r="N28" s="62" t="s">
        <v>674</v>
      </c>
      <c r="O28" s="21" t="s">
        <v>809</v>
      </c>
    </row>
    <row r="29" spans="1:15" x14ac:dyDescent="0.4">
      <c r="A29" s="60">
        <v>26</v>
      </c>
      <c r="B29" s="60">
        <v>1</v>
      </c>
      <c r="C29" s="61" t="str">
        <f>INDEX(Helper!$N$2:$N$4, MATCH(WIP!B29,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MATCH(WIP!G29, Helper!$A:$A, 0))</f>
        <v>Standard (EADGBE)</v>
      </c>
      <c r="I29" s="60" t="s">
        <v>63</v>
      </c>
      <c r="J29" s="77" t="s">
        <v>11</v>
      </c>
      <c r="K29" s="60" t="str">
        <f>INDEX(Helper!$F:$F, MATCH(WIP!J29, Helper!$E:$E, 0))</f>
        <v>#E8AD1D</v>
      </c>
      <c r="L29" s="61" t="s">
        <v>422</v>
      </c>
      <c r="M29" s="61" t="s">
        <v>619</v>
      </c>
      <c r="N29" s="62" t="s">
        <v>675</v>
      </c>
      <c r="O29" s="21" t="s">
        <v>758</v>
      </c>
    </row>
    <row r="30" spans="1:15" x14ac:dyDescent="0.4">
      <c r="A30" s="60">
        <v>27</v>
      </c>
      <c r="B30" s="60">
        <v>1</v>
      </c>
      <c r="C30" s="61" t="str">
        <f>INDEX(Helper!$N$2:$N$4, MATCH(WIP!B30,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MATCH(WIP!G30, Helper!$A:$A, 0))</f>
        <v>Half Step Down (D#G#C#F#A#D#)</v>
      </c>
      <c r="I30" s="60" t="s">
        <v>65</v>
      </c>
      <c r="J30" s="84" t="s">
        <v>14</v>
      </c>
      <c r="K30" s="60" t="str">
        <f>INDEX(Helper!$F:$F, MATCH(WIP!J30, Helper!$E:$E, 0))</f>
        <v>#FFE000</v>
      </c>
      <c r="L30" s="61" t="s">
        <v>423</v>
      </c>
      <c r="M30" s="61" t="s">
        <v>619</v>
      </c>
      <c r="N30" s="62" t="s">
        <v>676</v>
      </c>
      <c r="O30" s="21" t="s">
        <v>759</v>
      </c>
    </row>
    <row r="31" spans="1:15" x14ac:dyDescent="0.4">
      <c r="A31" s="60">
        <v>28</v>
      </c>
      <c r="B31" s="60">
        <v>1</v>
      </c>
      <c r="C31" s="61" t="str">
        <f>INDEX(Helper!$N$2:$N$4, MATCH(WIP!B31,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MATCH(WIP!G31, Helper!$A:$A, 0))</f>
        <v>Standard (EADGBE)</v>
      </c>
      <c r="I31" s="60" t="s">
        <v>623</v>
      </c>
      <c r="J31" s="76" t="s">
        <v>372</v>
      </c>
      <c r="K31" s="60" t="str">
        <f>INDEX(Helper!$F:$F, MATCH(WIP!J31, Helper!$E:$E, 0))</f>
        <v>#B3F141</v>
      </c>
      <c r="L31" s="61" t="s">
        <v>424</v>
      </c>
      <c r="M31" s="61" t="s">
        <v>619</v>
      </c>
      <c r="N31" s="62" t="s">
        <v>677</v>
      </c>
      <c r="O31" s="21" t="s">
        <v>825</v>
      </c>
    </row>
    <row r="32" spans="1:15" x14ac:dyDescent="0.4">
      <c r="A32" s="60">
        <v>29</v>
      </c>
      <c r="B32" s="60">
        <v>1</v>
      </c>
      <c r="C32" s="61" t="str">
        <f>INDEX(Helper!$N$2:$N$4, MATCH(WIP!B32,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MATCH(WIP!G32, Helper!$A:$A, 0))</f>
        <v>Standard (EADGBE)</v>
      </c>
      <c r="I32" s="60" t="s">
        <v>623</v>
      </c>
      <c r="J32" s="81" t="s">
        <v>13</v>
      </c>
      <c r="K32" s="60" t="str">
        <f>INDEX(Helper!$F:$F, MATCH(WIP!J32, Helper!$E:$E, 0))</f>
        <v>#FF4F53</v>
      </c>
      <c r="L32" s="61" t="s">
        <v>425</v>
      </c>
      <c r="M32" s="61" t="s">
        <v>619</v>
      </c>
      <c r="N32" s="62" t="s">
        <v>678</v>
      </c>
      <c r="O32" s="21" t="s">
        <v>760</v>
      </c>
    </row>
    <row r="33" spans="1:15" x14ac:dyDescent="0.4">
      <c r="A33" s="60">
        <v>30</v>
      </c>
      <c r="B33" s="60">
        <v>1</v>
      </c>
      <c r="C33" s="61" t="str">
        <f>INDEX(Helper!$N$2:$N$4, MATCH(WIP!B33,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MATCH(WIP!G33, Helper!$A:$A, 0))</f>
        <v>Standard (EADGBE)</v>
      </c>
      <c r="I33" s="60" t="s">
        <v>63</v>
      </c>
      <c r="J33" s="75" t="s">
        <v>10</v>
      </c>
      <c r="K33" s="60" t="str">
        <f>INDEX(Helper!$F:$F, MATCH(WIP!J33, Helper!$E:$E, 0))</f>
        <v>#F5943C</v>
      </c>
      <c r="L33" s="61" t="s">
        <v>426</v>
      </c>
      <c r="M33" s="61" t="s">
        <v>619</v>
      </c>
      <c r="N33" s="62" t="s">
        <v>679</v>
      </c>
      <c r="O33" s="21" t="s">
        <v>824</v>
      </c>
    </row>
    <row r="34" spans="1:15" x14ac:dyDescent="0.4">
      <c r="A34" s="60">
        <v>31</v>
      </c>
      <c r="B34" s="60">
        <v>3</v>
      </c>
      <c r="C34" s="61" t="str">
        <f>INDEX(Helper!$N$2:$N$4, MATCH(WIP!B34,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MATCH(WIP!G34, Helper!$A:$A, 0))</f>
        <v>Half Step Down (D#G#C#F#A#D#)</v>
      </c>
      <c r="I34" s="60" t="s">
        <v>69</v>
      </c>
      <c r="J34" s="80" t="s">
        <v>25</v>
      </c>
      <c r="K34" s="60" t="str">
        <f>INDEX(Helper!$F:$F, MATCH(WIP!J34, Helper!$E:$E, 0))</f>
        <v>#C2C2A1</v>
      </c>
      <c r="L34" s="61" t="s">
        <v>427</v>
      </c>
      <c r="M34" s="61" t="s">
        <v>619</v>
      </c>
      <c r="N34" s="62" t="s">
        <v>680</v>
      </c>
      <c r="O34" s="21" t="s">
        <v>1137</v>
      </c>
    </row>
    <row r="35" spans="1:15" x14ac:dyDescent="0.4">
      <c r="A35" s="60">
        <v>32</v>
      </c>
      <c r="B35" s="60">
        <v>1</v>
      </c>
      <c r="C35" s="61" t="str">
        <f>INDEX(Helper!$N$2:$N$4, MATCH(WIP!B35,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MATCH(WIP!G35, Helper!$A:$A, 0))</f>
        <v>Standard (EADGBE)</v>
      </c>
      <c r="I35" s="60" t="s">
        <v>644</v>
      </c>
      <c r="J35" s="80" t="s">
        <v>25</v>
      </c>
      <c r="K35" s="60" t="str">
        <f>INDEX(Helper!$F:$F, MATCH(WIP!J35, Helper!$E:$E, 0))</f>
        <v>#C2C2A1</v>
      </c>
      <c r="L35" s="61" t="s">
        <v>428</v>
      </c>
      <c r="M35" s="61" t="s">
        <v>619</v>
      </c>
      <c r="N35" s="62" t="s">
        <v>681</v>
      </c>
      <c r="O35" s="21" t="s">
        <v>1112</v>
      </c>
    </row>
    <row r="36" spans="1:15" x14ac:dyDescent="0.4">
      <c r="A36" s="60">
        <v>33</v>
      </c>
      <c r="B36" s="60">
        <v>1</v>
      </c>
      <c r="C36" s="61" t="str">
        <f>INDEX(Helper!$N$2:$N$4, MATCH(WIP!B36,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MATCH(WIP!G36, Helper!$A:$A, 0))</f>
        <v>Standard (EADGBE)</v>
      </c>
      <c r="I36" s="60" t="s">
        <v>623</v>
      </c>
      <c r="J36" s="80" t="s">
        <v>15</v>
      </c>
      <c r="K36" s="60" t="str">
        <f>INDEX(Helper!$F:$F, MATCH(WIP!J36, Helper!$E:$E, 0))</f>
        <v>#C2C2A1</v>
      </c>
      <c r="L36" s="61" t="s">
        <v>429</v>
      </c>
      <c r="M36" s="61" t="s">
        <v>619</v>
      </c>
      <c r="N36" s="62" t="s">
        <v>682</v>
      </c>
      <c r="O36" s="21" t="s">
        <v>807</v>
      </c>
    </row>
    <row r="37" spans="1:15" x14ac:dyDescent="0.4">
      <c r="A37" s="60">
        <v>34</v>
      </c>
      <c r="B37" s="60">
        <v>1</v>
      </c>
      <c r="C37" s="61" t="str">
        <f>INDEX(Helper!$N$2:$N$4, MATCH(WIP!B37,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MATCH(WIP!G37, Helper!$A:$A, 0))</f>
        <v>Standard (EADGBE)</v>
      </c>
      <c r="I37" s="60" t="s">
        <v>61</v>
      </c>
      <c r="J37" s="75" t="s">
        <v>10</v>
      </c>
      <c r="K37" s="60" t="str">
        <f>INDEX(Helper!$F:$F, MATCH(WIP!J37, Helper!$E:$E, 0))</f>
        <v>#F5943C</v>
      </c>
      <c r="L37" s="61" t="s">
        <v>430</v>
      </c>
      <c r="M37" s="61" t="s">
        <v>619</v>
      </c>
      <c r="N37" s="62" t="s">
        <v>683</v>
      </c>
      <c r="O37" s="21" t="s">
        <v>761</v>
      </c>
    </row>
    <row r="38" spans="1:15" x14ac:dyDescent="0.4">
      <c r="A38" s="60">
        <v>35</v>
      </c>
      <c r="B38" s="60">
        <v>1</v>
      </c>
      <c r="C38" s="61" t="str">
        <f>INDEX(Helper!$N$2:$N$4, MATCH(WIP!B38,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MATCH(WIP!G38, Helper!$A:$A, 0))</f>
        <v>Half Step Down (D#G#C#F#A#D#)</v>
      </c>
      <c r="I38" s="60" t="s">
        <v>68</v>
      </c>
      <c r="J38" s="85" t="s">
        <v>17</v>
      </c>
      <c r="K38" s="60" t="str">
        <f>INDEX(Helper!$F:$F, MATCH(WIP!J38, Helper!$E:$E, 0))</f>
        <v>#F75269</v>
      </c>
      <c r="L38" s="61" t="s">
        <v>431</v>
      </c>
      <c r="M38" s="61" t="s">
        <v>619</v>
      </c>
      <c r="N38" s="62" t="s">
        <v>684</v>
      </c>
      <c r="O38" s="21" t="s">
        <v>762</v>
      </c>
    </row>
    <row r="39" spans="1:15" x14ac:dyDescent="0.4">
      <c r="A39" s="60">
        <v>36</v>
      </c>
      <c r="B39" s="60">
        <v>1</v>
      </c>
      <c r="C39" s="61" t="str">
        <f>INDEX(Helper!$N$2:$N$4, MATCH(WIP!B39,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MATCH(WIP!G39, Helper!$A:$A, 0))</f>
        <v>Drop D (DADGBE)</v>
      </c>
      <c r="I39" s="60" t="s">
        <v>628</v>
      </c>
      <c r="J39" s="81" t="s">
        <v>13</v>
      </c>
      <c r="K39" s="60" t="str">
        <f>INDEX(Helper!$F:$F, MATCH(WIP!J39, Helper!$E:$E, 0))</f>
        <v>#FF4F53</v>
      </c>
      <c r="L39" s="61" t="s">
        <v>432</v>
      </c>
      <c r="M39" s="61" t="s">
        <v>619</v>
      </c>
      <c r="N39" s="62" t="s">
        <v>685</v>
      </c>
      <c r="O39" s="21" t="s">
        <v>763</v>
      </c>
    </row>
    <row r="40" spans="1:15" x14ac:dyDescent="0.4">
      <c r="A40" s="60">
        <v>37</v>
      </c>
      <c r="B40" s="60">
        <v>1</v>
      </c>
      <c r="C40" s="61" t="str">
        <f>INDEX(Helper!$N$2:$N$4, MATCH(WIP!B40,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MATCH(WIP!G40, Helper!$A:$A, 0))</f>
        <v>Whole Step Down (DGCFAD)</v>
      </c>
      <c r="I40" s="60" t="s">
        <v>631</v>
      </c>
      <c r="J40" s="85" t="s">
        <v>17</v>
      </c>
      <c r="K40" s="60" t="str">
        <f>INDEX(Helper!$F:$F, MATCH(WIP!J40, Helper!$E:$E, 0))</f>
        <v>#F75269</v>
      </c>
      <c r="L40" s="61" t="s">
        <v>433</v>
      </c>
      <c r="M40" s="61" t="s">
        <v>619</v>
      </c>
      <c r="N40" s="62" t="s">
        <v>686</v>
      </c>
      <c r="O40" s="21" t="s">
        <v>764</v>
      </c>
    </row>
    <row r="41" spans="1:15" x14ac:dyDescent="0.4">
      <c r="A41" s="60">
        <v>38</v>
      </c>
      <c r="B41" s="60">
        <v>1</v>
      </c>
      <c r="C41" s="61" t="str">
        <f>INDEX(Helper!$N$2:$N$4, MATCH(WIP!B41,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MATCH(WIP!G41, Helper!$A:$A, 0))</f>
        <v>Standard (EADGBE)</v>
      </c>
      <c r="I41" s="60" t="s">
        <v>395</v>
      </c>
      <c r="J41" s="75" t="s">
        <v>10</v>
      </c>
      <c r="K41" s="60" t="str">
        <f>INDEX(Helper!$F:$F, MATCH(WIP!J41, Helper!$E:$E, 0))</f>
        <v>#F5943C</v>
      </c>
      <c r="L41" s="61" t="s">
        <v>434</v>
      </c>
      <c r="M41" s="61" t="s">
        <v>619</v>
      </c>
      <c r="N41" s="62" t="s">
        <v>687</v>
      </c>
      <c r="O41" s="21" t="s">
        <v>765</v>
      </c>
    </row>
    <row r="42" spans="1:15" x14ac:dyDescent="0.4">
      <c r="A42" s="60">
        <v>39</v>
      </c>
      <c r="B42" s="60">
        <v>1</v>
      </c>
      <c r="C42" s="61" t="str">
        <f>INDEX(Helper!$N$2:$N$4, MATCH(WIP!B42,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MATCH(WIP!G42, Helper!$A:$A, 0))</f>
        <v>Standard (EADGBE)</v>
      </c>
      <c r="I42" s="60" t="s">
        <v>645</v>
      </c>
      <c r="J42" s="80" t="s">
        <v>15</v>
      </c>
      <c r="K42" s="60" t="str">
        <f>INDEX(Helper!$F:$F, MATCH(WIP!J42, Helper!$E:$E, 0))</f>
        <v>#C2C2A1</v>
      </c>
      <c r="L42" s="61" t="s">
        <v>435</v>
      </c>
      <c r="M42" s="61" t="s">
        <v>619</v>
      </c>
      <c r="N42" s="62" t="s">
        <v>688</v>
      </c>
      <c r="O42" s="21" t="s">
        <v>766</v>
      </c>
    </row>
    <row r="43" spans="1:15" x14ac:dyDescent="0.4">
      <c r="A43" s="60">
        <v>40</v>
      </c>
      <c r="B43" s="60">
        <v>1</v>
      </c>
      <c r="C43" s="61" t="str">
        <f>INDEX(Helper!$N$2:$N$4, MATCH(WIP!B43,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MATCH(WIP!G43, Helper!$A:$A, 0))</f>
        <v>Standard (EADGBE)</v>
      </c>
      <c r="I43" s="60" t="s">
        <v>395</v>
      </c>
      <c r="J43" s="77" t="s">
        <v>11</v>
      </c>
      <c r="K43" s="60" t="str">
        <f>INDEX(Helper!$F:$F, MATCH(WIP!J43, Helper!$E:$E, 0))</f>
        <v>#E8AD1D</v>
      </c>
      <c r="L43" s="61" t="s">
        <v>436</v>
      </c>
      <c r="M43" s="61" t="s">
        <v>619</v>
      </c>
      <c r="N43" s="62" t="s">
        <v>689</v>
      </c>
      <c r="O43" s="21" t="s">
        <v>767</v>
      </c>
    </row>
    <row r="44" spans="1:15" x14ac:dyDescent="0.4">
      <c r="A44" s="60">
        <v>41</v>
      </c>
      <c r="B44" s="60">
        <v>1</v>
      </c>
      <c r="C44" s="61" t="str">
        <f>INDEX(Helper!$N$2:$N$4, MATCH(WIP!B44,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MATCH(WIP!G44, Helper!$A:$A, 0))</f>
        <v>Drop D (DADGBE)</v>
      </c>
      <c r="I44" s="60" t="s">
        <v>631</v>
      </c>
      <c r="J44" s="81" t="s">
        <v>13</v>
      </c>
      <c r="K44" s="60" t="str">
        <f>INDEX(Helper!$F:$F, MATCH(WIP!J44, Helper!$E:$E, 0))</f>
        <v>#FF4F53</v>
      </c>
      <c r="L44" s="61" t="s">
        <v>437</v>
      </c>
      <c r="M44" s="61" t="s">
        <v>619</v>
      </c>
      <c r="N44" s="62" t="s">
        <v>690</v>
      </c>
      <c r="O44" s="21" t="s">
        <v>1127</v>
      </c>
    </row>
    <row r="45" spans="1:15" x14ac:dyDescent="0.4">
      <c r="A45" s="60">
        <v>42</v>
      </c>
      <c r="B45" s="60">
        <v>1</v>
      </c>
      <c r="C45" s="61" t="str">
        <f>INDEX(Helper!$N$2:$N$4, MATCH(WIP!B45,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MATCH(WIP!G45, Helper!$A:$A, 0))</f>
        <v>Drop DG (DGDGBE)</v>
      </c>
      <c r="I45" s="60" t="s">
        <v>62</v>
      </c>
      <c r="J45" s="81" t="s">
        <v>13</v>
      </c>
      <c r="K45" s="60" t="str">
        <f>INDEX(Helper!$F:$F, MATCH(WIP!J45, Helper!$E:$E, 0))</f>
        <v>#FF4F53</v>
      </c>
      <c r="L45" s="61" t="s">
        <v>438</v>
      </c>
      <c r="M45" s="61" t="s">
        <v>619</v>
      </c>
      <c r="N45" s="62" t="s">
        <v>691</v>
      </c>
      <c r="O45" s="21" t="s">
        <v>768</v>
      </c>
    </row>
    <row r="46" spans="1:15" x14ac:dyDescent="0.4">
      <c r="A46" s="60">
        <v>43</v>
      </c>
      <c r="B46" s="60">
        <v>1</v>
      </c>
      <c r="C46" s="61" t="str">
        <f>INDEX(Helper!$N$2:$N$4, MATCH(WIP!B46,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MATCH(WIP!G46, Helper!$A:$A, 0))</f>
        <v>Standard (EADGBE)</v>
      </c>
      <c r="I46" s="60" t="s">
        <v>645</v>
      </c>
      <c r="J46" s="77" t="s">
        <v>11</v>
      </c>
      <c r="K46" s="60" t="str">
        <f>INDEX(Helper!$F:$F, MATCH(WIP!J46, Helper!$E:$E, 0))</f>
        <v>#E8AD1D</v>
      </c>
      <c r="L46" s="61" t="s">
        <v>439</v>
      </c>
      <c r="M46" s="61" t="s">
        <v>619</v>
      </c>
      <c r="N46" s="62" t="s">
        <v>692</v>
      </c>
      <c r="O46" s="21" t="s">
        <v>810</v>
      </c>
    </row>
    <row r="47" spans="1:15" x14ac:dyDescent="0.4">
      <c r="A47" s="60">
        <v>44</v>
      </c>
      <c r="B47" s="60">
        <v>1</v>
      </c>
      <c r="C47" s="61" t="str">
        <f>INDEX(Helper!$N$2:$N$4, MATCH(WIP!B47,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MATCH(WIP!G47, Helper!$A:$A, 0))</f>
        <v>Standard (EADGBE)</v>
      </c>
      <c r="I47" s="60" t="s">
        <v>395</v>
      </c>
      <c r="J47" s="75" t="s">
        <v>10</v>
      </c>
      <c r="K47" s="60" t="str">
        <f>INDEX(Helper!$F:$F, MATCH(WIP!J47, Helper!$E:$E, 0))</f>
        <v>#F5943C</v>
      </c>
      <c r="L47" s="61" t="s">
        <v>440</v>
      </c>
      <c r="M47" s="61" t="s">
        <v>619</v>
      </c>
      <c r="N47" s="62" t="s">
        <v>693</v>
      </c>
      <c r="O47" s="21" t="s">
        <v>827</v>
      </c>
    </row>
    <row r="48" spans="1:15" x14ac:dyDescent="0.4">
      <c r="A48" s="60">
        <v>45</v>
      </c>
      <c r="B48" s="60">
        <v>2</v>
      </c>
      <c r="C48" s="61" t="str">
        <f>INDEX(Helper!$N$2:$N$4, MATCH(WIP!B48,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MATCH(WIP!G48, Helper!$A:$A, 0))</f>
        <v>Half Step Down (D#G#C#F#A#D#)</v>
      </c>
      <c r="I48" s="60" t="s">
        <v>631</v>
      </c>
      <c r="J48" s="75" t="s">
        <v>10</v>
      </c>
      <c r="K48" s="60" t="str">
        <f>INDEX(Helper!$F:$F, MATCH(WIP!J48, Helper!$E:$E, 0))</f>
        <v>#F5943C</v>
      </c>
      <c r="L48" s="61" t="s">
        <v>441</v>
      </c>
      <c r="M48" s="61" t="s">
        <v>619</v>
      </c>
      <c r="N48" s="62" t="s">
        <v>694</v>
      </c>
      <c r="O48" s="21" t="s">
        <v>769</v>
      </c>
    </row>
    <row r="49" spans="1:15" x14ac:dyDescent="0.4">
      <c r="A49" s="60">
        <v>46</v>
      </c>
      <c r="B49" s="60">
        <v>2</v>
      </c>
      <c r="C49" s="61" t="str">
        <f>INDEX(Helper!$N$2:$N$4, MATCH(WIP!B49,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MATCH(WIP!G49, Helper!$A:$A, 0))</f>
        <v>Standard (EADGBE)</v>
      </c>
      <c r="I49" s="60" t="s">
        <v>65</v>
      </c>
      <c r="J49" s="79" t="s">
        <v>24</v>
      </c>
      <c r="K49" s="60" t="str">
        <f>INDEX(Helper!$F:$F, MATCH(WIP!J49, Helper!$E:$E, 0))</f>
        <v>#F1D764</v>
      </c>
      <c r="L49" s="61" t="s">
        <v>442</v>
      </c>
      <c r="M49" s="61" t="s">
        <v>619</v>
      </c>
      <c r="N49" s="62" t="s">
        <v>695</v>
      </c>
      <c r="O49" s="21" t="s">
        <v>770</v>
      </c>
    </row>
    <row r="50" spans="1:15" x14ac:dyDescent="0.4">
      <c r="A50" s="60">
        <v>47</v>
      </c>
      <c r="B50" s="60">
        <v>2</v>
      </c>
      <c r="C50" s="61" t="str">
        <f>INDEX(Helper!$N$2:$N$4, MATCH(WIP!B50,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MATCH(WIP!G50, Helper!$A:$A, 0))</f>
        <v>Standard (EADGBE)</v>
      </c>
      <c r="I50" s="60" t="s">
        <v>645</v>
      </c>
      <c r="J50" s="80" t="s">
        <v>15</v>
      </c>
      <c r="K50" s="60" t="str">
        <f>INDEX(Helper!$F:$F, MATCH(WIP!J50, Helper!$E:$E, 0))</f>
        <v>#C2C2A1</v>
      </c>
      <c r="L50" s="61" t="s">
        <v>443</v>
      </c>
      <c r="M50" s="61" t="s">
        <v>619</v>
      </c>
      <c r="N50" s="62" t="s">
        <v>696</v>
      </c>
      <c r="O50" s="21" t="s">
        <v>771</v>
      </c>
    </row>
    <row r="51" spans="1:15" x14ac:dyDescent="0.4">
      <c r="A51" s="60">
        <v>48</v>
      </c>
      <c r="B51" s="60">
        <v>2</v>
      </c>
      <c r="C51" s="61" t="str">
        <f>INDEX(Helper!$N$2:$N$4, MATCH(WIP!B51,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MATCH(WIP!G51, Helper!$A:$A, 0))</f>
        <v>Standard (EADGBE)</v>
      </c>
      <c r="I51" s="60" t="s">
        <v>644</v>
      </c>
      <c r="J51" s="75" t="s">
        <v>10</v>
      </c>
      <c r="K51" s="60" t="str">
        <f>INDEX(Helper!$F:$F, MATCH(WIP!J51, Helper!$E:$E, 0))</f>
        <v>#F5943C</v>
      </c>
      <c r="L51" s="61" t="s">
        <v>444</v>
      </c>
      <c r="M51" s="61" t="s">
        <v>619</v>
      </c>
      <c r="N51" s="62" t="s">
        <v>697</v>
      </c>
      <c r="O51" s="21" t="s">
        <v>772</v>
      </c>
    </row>
    <row r="52" spans="1:15" x14ac:dyDescent="0.4">
      <c r="A52" s="60">
        <v>49</v>
      </c>
      <c r="B52" s="60">
        <v>2</v>
      </c>
      <c r="C52" s="61" t="str">
        <f>INDEX(Helper!$N$2:$N$4, MATCH(WIP!B52,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MATCH(WIP!G52, Helper!$A:$A, 0))</f>
        <v>Half Step Down (D#G#C#F#A#D#)</v>
      </c>
      <c r="I52" s="60" t="s">
        <v>395</v>
      </c>
      <c r="J52" s="76" t="s">
        <v>28</v>
      </c>
      <c r="K52" s="60" t="str">
        <f>INDEX(Helper!$F:$F, MATCH(WIP!J52, Helper!$E:$E, 0))</f>
        <v>#B3F141</v>
      </c>
      <c r="L52" s="61" t="s">
        <v>445</v>
      </c>
      <c r="M52" s="61" t="s">
        <v>619</v>
      </c>
      <c r="N52" s="62" t="s">
        <v>698</v>
      </c>
      <c r="O52" s="21" t="s">
        <v>773</v>
      </c>
    </row>
    <row r="53" spans="1:15" x14ac:dyDescent="0.4">
      <c r="A53" s="60">
        <v>50</v>
      </c>
      <c r="B53" s="60">
        <v>2</v>
      </c>
      <c r="C53" s="61" t="str">
        <f>INDEX(Helper!$N$2:$N$4, MATCH(WIP!B53,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MATCH(WIP!G53, Helper!$A:$A, 0))</f>
        <v>Standard (EADGBE)</v>
      </c>
      <c r="I53" s="60" t="s">
        <v>63</v>
      </c>
      <c r="J53" s="81" t="s">
        <v>13</v>
      </c>
      <c r="K53" s="60" t="str">
        <f>INDEX(Helper!$F:$F, MATCH(WIP!J53, Helper!$E:$E, 0))</f>
        <v>#FF4F53</v>
      </c>
      <c r="L53" s="61" t="s">
        <v>446</v>
      </c>
      <c r="M53" s="61" t="s">
        <v>619</v>
      </c>
      <c r="N53" s="62" t="s">
        <v>699</v>
      </c>
      <c r="O53" s="21" t="s">
        <v>811</v>
      </c>
    </row>
    <row r="54" spans="1:15" x14ac:dyDescent="0.4">
      <c r="A54" s="60">
        <v>51</v>
      </c>
      <c r="B54" s="60">
        <v>2</v>
      </c>
      <c r="C54" s="61" t="str">
        <f>INDEX(Helper!$N$2:$N$4, MATCH(WIP!B54,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MATCH(WIP!G54, Helper!$A:$A, 0))</f>
        <v>Standard (EADGBE)</v>
      </c>
      <c r="I54" s="60" t="s">
        <v>395</v>
      </c>
      <c r="J54" s="86" t="s">
        <v>373</v>
      </c>
      <c r="K54" s="60" t="str">
        <f>INDEX(Helper!$F:$F, MATCH(WIP!J54, Helper!$E:$E, 0))</f>
        <v>#C476D4</v>
      </c>
      <c r="L54" s="64" t="s">
        <v>447</v>
      </c>
      <c r="M54" s="61" t="s">
        <v>619</v>
      </c>
      <c r="N54" s="64" t="s">
        <v>700</v>
      </c>
      <c r="O54" s="21" t="s">
        <v>1113</v>
      </c>
    </row>
    <row r="55" spans="1:15" x14ac:dyDescent="0.4">
      <c r="A55" s="60">
        <v>52</v>
      </c>
      <c r="B55" s="60">
        <v>2</v>
      </c>
      <c r="C55" s="61" t="str">
        <f>INDEX(Helper!$N$2:$N$4, MATCH(WIP!B55,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MATCH(WIP!G55, Helper!$A:$A, 0))</f>
        <v>Standard (EADGBE)</v>
      </c>
      <c r="I55" s="60" t="s">
        <v>639</v>
      </c>
      <c r="J55" s="76" t="s">
        <v>374</v>
      </c>
      <c r="K55" s="60" t="str">
        <f>INDEX(Helper!$F:$F, MATCH(WIP!J55, Helper!$E:$E, 0))</f>
        <v>#B3F141</v>
      </c>
      <c r="L55" s="61" t="s">
        <v>448</v>
      </c>
      <c r="M55" s="61" t="s">
        <v>619</v>
      </c>
      <c r="N55" s="62" t="s">
        <v>701</v>
      </c>
      <c r="O55" s="21" t="s">
        <v>774</v>
      </c>
    </row>
    <row r="56" spans="1:15" x14ac:dyDescent="0.4">
      <c r="A56" s="60">
        <v>53</v>
      </c>
      <c r="B56" s="60">
        <v>2</v>
      </c>
      <c r="C56" s="61" t="str">
        <f>INDEX(Helper!$N$2:$N$4, MATCH(WIP!B56,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MATCH(WIP!G56, Helper!$A:$A, 0))</f>
        <v>Standard (EADGBE)</v>
      </c>
      <c r="I56" s="60" t="s">
        <v>62</v>
      </c>
      <c r="J56" s="81" t="s">
        <v>13</v>
      </c>
      <c r="K56" s="60" t="str">
        <f>INDEX(Helper!$F:$F, MATCH(WIP!J56, Helper!$E:$E, 0))</f>
        <v>#FF4F53</v>
      </c>
      <c r="L56" s="61" t="s">
        <v>449</v>
      </c>
      <c r="M56" s="61" t="s">
        <v>619</v>
      </c>
      <c r="N56" s="62" t="s">
        <v>702</v>
      </c>
      <c r="O56" s="21" t="s">
        <v>812</v>
      </c>
    </row>
    <row r="57" spans="1:15" x14ac:dyDescent="0.4">
      <c r="A57" s="60">
        <v>54</v>
      </c>
      <c r="B57" s="60">
        <v>2</v>
      </c>
      <c r="C57" s="61" t="str">
        <f>INDEX(Helper!$N$2:$N$4, MATCH(WIP!B57,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MATCH(WIP!G57, Helper!$A:$A, 0))</f>
        <v>Standard (EADGBE)</v>
      </c>
      <c r="I57" s="60" t="s">
        <v>59</v>
      </c>
      <c r="J57" s="75" t="s">
        <v>10</v>
      </c>
      <c r="K57" s="60" t="str">
        <f>INDEX(Helper!$F:$F, MATCH(WIP!J57, Helper!$E:$E, 0))</f>
        <v>#F5943C</v>
      </c>
      <c r="L57" s="61" t="s">
        <v>450</v>
      </c>
      <c r="M57" s="61" t="s">
        <v>619</v>
      </c>
      <c r="N57" s="62" t="s">
        <v>703</v>
      </c>
      <c r="O57" s="21" t="s">
        <v>775</v>
      </c>
    </row>
    <row r="58" spans="1:15" x14ac:dyDescent="0.4">
      <c r="A58" s="60">
        <v>55</v>
      </c>
      <c r="B58" s="60">
        <v>2</v>
      </c>
      <c r="C58" s="61" t="str">
        <f>INDEX(Helper!$N$2:$N$4, MATCH(WIP!B58,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MATCH(WIP!G58, Helper!$A:$A, 0))</f>
        <v>Standard (EADGBE)</v>
      </c>
      <c r="I58" s="60" t="s">
        <v>59</v>
      </c>
      <c r="J58" s="77" t="s">
        <v>11</v>
      </c>
      <c r="K58" s="60" t="str">
        <f>INDEX(Helper!$F:$F, MATCH(WIP!J58, Helper!$E:$E, 0))</f>
        <v>#E8AD1D</v>
      </c>
      <c r="L58" s="61" t="s">
        <v>451</v>
      </c>
      <c r="M58" s="61" t="s">
        <v>619</v>
      </c>
      <c r="N58" s="62" t="s">
        <v>704</v>
      </c>
      <c r="O58" s="21" t="s">
        <v>776</v>
      </c>
    </row>
    <row r="59" spans="1:15" x14ac:dyDescent="0.4">
      <c r="A59" s="60">
        <v>56</v>
      </c>
      <c r="B59" s="60">
        <v>1</v>
      </c>
      <c r="C59" s="61" t="str">
        <f>INDEX(Helper!$N$2:$N$4, MATCH(WIP!B59,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MATCH(WIP!G59, Helper!$A:$A, 0))</f>
        <v>Standard (EADGBE)</v>
      </c>
      <c r="I59" s="60" t="s">
        <v>395</v>
      </c>
      <c r="J59" s="80" t="s">
        <v>15</v>
      </c>
      <c r="K59" s="60" t="str">
        <f>INDEX(Helper!$F:$F, MATCH(WIP!J59, Helper!$E:$E, 0))</f>
        <v>#C2C2A1</v>
      </c>
      <c r="L59" s="61" t="s">
        <v>452</v>
      </c>
      <c r="M59" s="61" t="s">
        <v>619</v>
      </c>
      <c r="N59" s="62" t="s">
        <v>705</v>
      </c>
      <c r="O59" s="21" t="s">
        <v>777</v>
      </c>
    </row>
    <row r="60" spans="1:15" x14ac:dyDescent="0.4">
      <c r="A60" s="60">
        <v>57</v>
      </c>
      <c r="B60" s="60">
        <v>2</v>
      </c>
      <c r="C60" s="61" t="str">
        <f>INDEX(Helper!$N$2:$N$4, MATCH(WIP!B60,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MATCH(WIP!G60, Helper!$A:$A, 0))</f>
        <v>Standard (EADGBE)</v>
      </c>
      <c r="I60" s="60" t="s">
        <v>65</v>
      </c>
      <c r="J60" s="86" t="s">
        <v>373</v>
      </c>
      <c r="K60" s="60" t="str">
        <f>INDEX(Helper!$F:$F, MATCH(WIP!J60, Helper!$E:$E, 0))</f>
        <v>#C476D4</v>
      </c>
      <c r="L60" s="61" t="s">
        <v>72</v>
      </c>
      <c r="M60" s="61" t="s">
        <v>619</v>
      </c>
      <c r="N60" s="62" t="s">
        <v>706</v>
      </c>
      <c r="O60" s="21" t="s">
        <v>813</v>
      </c>
    </row>
    <row r="61" spans="1:15" x14ac:dyDescent="0.4">
      <c r="A61" s="60">
        <v>58</v>
      </c>
      <c r="B61" s="60">
        <v>1</v>
      </c>
      <c r="C61" s="61" t="str">
        <f>INDEX(Helper!$N$2:$N$4, MATCH(WIP!B61,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MATCH(WIP!G61, Helper!$A:$A, 0))</f>
        <v>Standard (EADGBE)</v>
      </c>
      <c r="I61" s="60" t="s">
        <v>623</v>
      </c>
      <c r="J61" s="80" t="s">
        <v>15</v>
      </c>
      <c r="K61" s="60" t="str">
        <f>INDEX(Helper!$F:$F, MATCH(WIP!J61, Helper!$E:$E, 0))</f>
        <v>#C2C2A1</v>
      </c>
      <c r="L61" s="61" t="s">
        <v>390</v>
      </c>
      <c r="M61" s="61" t="s">
        <v>619</v>
      </c>
      <c r="N61" s="62" t="s">
        <v>651</v>
      </c>
      <c r="O61" s="21" t="s">
        <v>778</v>
      </c>
    </row>
    <row r="62" spans="1:15" x14ac:dyDescent="0.4">
      <c r="A62" s="60">
        <v>59</v>
      </c>
      <c r="B62" s="60">
        <v>1</v>
      </c>
      <c r="C62" s="61" t="str">
        <f>INDEX(Helper!$N$2:$N$4, MATCH(WIP!B62,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MATCH(WIP!G62, Helper!$A:$A, 0))</f>
        <v>Standard (EADGBE)</v>
      </c>
      <c r="I62" s="60" t="s">
        <v>59</v>
      </c>
      <c r="J62" s="75" t="s">
        <v>10</v>
      </c>
      <c r="K62" s="60" t="str">
        <f>INDEX(Helper!$F:$F, MATCH(WIP!J62, Helper!$E:$E, 0))</f>
        <v>#F5943C</v>
      </c>
      <c r="L62" s="61" t="s">
        <v>453</v>
      </c>
      <c r="M62" s="61" t="s">
        <v>619</v>
      </c>
      <c r="N62" s="62" t="s">
        <v>652</v>
      </c>
      <c r="O62" s="21" t="s">
        <v>779</v>
      </c>
    </row>
    <row r="63" spans="1:15" x14ac:dyDescent="0.4">
      <c r="A63" s="60">
        <v>60</v>
      </c>
      <c r="B63" s="60">
        <v>2</v>
      </c>
      <c r="C63" s="61" t="str">
        <f>INDEX(Helper!$N$2:$N$4, MATCH(WIP!B63,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MATCH(WIP!G63, Helper!$A:$A, 0))</f>
        <v>Standard (EADGBE)</v>
      </c>
      <c r="I63" s="60" t="s">
        <v>66</v>
      </c>
      <c r="J63" s="80" t="s">
        <v>15</v>
      </c>
      <c r="K63" s="60" t="str">
        <f>INDEX(Helper!$F:$F, MATCH(WIP!J63, Helper!$E:$E, 0))</f>
        <v>#C2C2A1</v>
      </c>
      <c r="L63" s="61" t="s">
        <v>454</v>
      </c>
      <c r="M63" s="61" t="s">
        <v>619</v>
      </c>
      <c r="N63" s="62" t="s">
        <v>707</v>
      </c>
      <c r="O63" s="21" t="s">
        <v>780</v>
      </c>
    </row>
    <row r="64" spans="1:15" x14ac:dyDescent="0.4">
      <c r="A64" s="60">
        <v>61</v>
      </c>
      <c r="B64" s="60">
        <v>2</v>
      </c>
      <c r="C64" s="61" t="str">
        <f>INDEX(Helper!$N$2:$N$4, MATCH(WIP!B64,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MATCH(WIP!G64, Helper!$A:$A, 0))</f>
        <v>Standard (EADGBE)</v>
      </c>
      <c r="I64" s="60" t="s">
        <v>59</v>
      </c>
      <c r="J64" s="80" t="s">
        <v>15</v>
      </c>
      <c r="K64" s="60" t="str">
        <f>INDEX(Helper!$F:$F, MATCH(WIP!J64, Helper!$E:$E, 0))</f>
        <v>#C2C2A1</v>
      </c>
      <c r="L64" s="61" t="s">
        <v>455</v>
      </c>
      <c r="M64" s="61" t="s">
        <v>619</v>
      </c>
      <c r="N64" s="62" t="s">
        <v>708</v>
      </c>
      <c r="O64" s="21" t="s">
        <v>781</v>
      </c>
    </row>
    <row r="65" spans="1:15" x14ac:dyDescent="0.4">
      <c r="A65" s="60">
        <v>62</v>
      </c>
      <c r="B65" s="60">
        <v>2</v>
      </c>
      <c r="C65" s="61" t="str">
        <f>INDEX(Helper!$N$2:$N$4, MATCH(WIP!B65,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MATCH(WIP!G65, Helper!$A:$A, 0))</f>
        <v>Standard (EADGBE)</v>
      </c>
      <c r="I65" s="60" t="s">
        <v>63</v>
      </c>
      <c r="J65" s="79" t="s">
        <v>22</v>
      </c>
      <c r="K65" s="60" t="str">
        <f>INDEX(Helper!$F:$F, MATCH(WIP!J65, Helper!$E:$E, 0))</f>
        <v>#FFDF66</v>
      </c>
      <c r="L65" s="61" t="s">
        <v>456</v>
      </c>
      <c r="M65" s="61" t="s">
        <v>619</v>
      </c>
      <c r="N65" s="62" t="s">
        <v>709</v>
      </c>
      <c r="O65" s="21" t="s">
        <v>782</v>
      </c>
    </row>
    <row r="66" spans="1:15" x14ac:dyDescent="0.4">
      <c r="A66" s="60">
        <v>63</v>
      </c>
      <c r="B66" s="60">
        <v>2</v>
      </c>
      <c r="C66" s="61" t="str">
        <f>INDEX(Helper!$N$2:$N$4, MATCH(WIP!B66,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MATCH(WIP!G66, Helper!$A:$A, 0))</f>
        <v>Standard (EADGBE)</v>
      </c>
      <c r="I66" s="60" t="s">
        <v>624</v>
      </c>
      <c r="J66" s="75" t="s">
        <v>10</v>
      </c>
      <c r="K66" s="60" t="str">
        <f>INDEX(Helper!$F:$F, MATCH(WIP!J66, Helper!$E:$E, 0))</f>
        <v>#F5943C</v>
      </c>
      <c r="L66" s="61" t="s">
        <v>457</v>
      </c>
      <c r="M66" s="61" t="s">
        <v>619</v>
      </c>
      <c r="N66" s="62" t="s">
        <v>710</v>
      </c>
      <c r="O66" s="21" t="s">
        <v>783</v>
      </c>
    </row>
    <row r="67" spans="1:15" x14ac:dyDescent="0.4">
      <c r="A67" s="60">
        <v>64</v>
      </c>
      <c r="B67" s="60">
        <v>2</v>
      </c>
      <c r="C67" s="61" t="str">
        <f>INDEX(Helper!$N$2:$N$4, MATCH(WIP!B67,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MATCH(WIP!G67, Helper!$A:$A, 0))</f>
        <v>Standard (EADGBE)</v>
      </c>
      <c r="I67" s="60" t="s">
        <v>66</v>
      </c>
      <c r="J67" s="87" t="s">
        <v>27</v>
      </c>
      <c r="K67" s="60" t="str">
        <f>INDEX(Helper!$F:$F, MATCH(WIP!J67, Helper!$E:$E, 0))</f>
        <v>#B2DB4B</v>
      </c>
      <c r="L67" s="61" t="s">
        <v>458</v>
      </c>
      <c r="M67" s="61" t="s">
        <v>619</v>
      </c>
      <c r="N67" s="62" t="s">
        <v>711</v>
      </c>
      <c r="O67" s="21" t="s">
        <v>1114</v>
      </c>
    </row>
    <row r="68" spans="1:15" x14ac:dyDescent="0.4">
      <c r="A68" s="60">
        <v>65</v>
      </c>
      <c r="B68" s="60">
        <v>2</v>
      </c>
      <c r="C68" s="61" t="str">
        <f>INDEX(Helper!$N$2:$N$4, MATCH(WIP!B68,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MATCH(WIP!G68, Helper!$A:$A, 0))</f>
        <v>Standard (EADGBE)</v>
      </c>
      <c r="I68" s="60" t="s">
        <v>65</v>
      </c>
      <c r="J68" s="75" t="s">
        <v>10</v>
      </c>
      <c r="K68" s="60" t="str">
        <f>INDEX(Helper!$F:$F, MATCH(WIP!J68, Helper!$E:$E, 0))</f>
        <v>#F5943C</v>
      </c>
      <c r="L68" s="61" t="s">
        <v>806</v>
      </c>
      <c r="M68" s="61" t="s">
        <v>619</v>
      </c>
      <c r="N68" s="62" t="s">
        <v>712</v>
      </c>
      <c r="O68" s="21" t="s">
        <v>784</v>
      </c>
    </row>
    <row r="69" spans="1:15" x14ac:dyDescent="0.4">
      <c r="A69" s="60">
        <v>66</v>
      </c>
      <c r="B69" s="60">
        <v>2</v>
      </c>
      <c r="C69" s="61" t="str">
        <f>INDEX(Helper!$N$2:$N$4, MATCH(WIP!B69,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MATCH(WIP!G69, Helper!$A:$A, 0))</f>
        <v>Standard (EADGBE)</v>
      </c>
      <c r="I69" s="60" t="s">
        <v>623</v>
      </c>
      <c r="J69" s="77" t="s">
        <v>11</v>
      </c>
      <c r="K69" s="60" t="str">
        <f>INDEX(Helper!$F:$F, MATCH(WIP!J69, Helper!$E:$E, 0))</f>
        <v>#E8AD1D</v>
      </c>
      <c r="L69" s="61" t="s">
        <v>460</v>
      </c>
      <c r="M69" s="61" t="s">
        <v>619</v>
      </c>
      <c r="N69" s="62" t="s">
        <v>713</v>
      </c>
      <c r="O69" s="21" t="s">
        <v>797</v>
      </c>
    </row>
    <row r="70" spans="1:15" x14ac:dyDescent="0.4">
      <c r="A70" s="60">
        <v>67</v>
      </c>
      <c r="B70" s="60">
        <v>2</v>
      </c>
      <c r="C70" s="61" t="str">
        <f>INDEX(Helper!$N$2:$N$4, MATCH(WIP!B70,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MATCH(WIP!G70, Helper!$A:$A, 0))</f>
        <v>Standard (EADGBE)</v>
      </c>
      <c r="I70" s="60" t="s">
        <v>395</v>
      </c>
      <c r="J70" s="79" t="s">
        <v>26</v>
      </c>
      <c r="K70" s="60" t="str">
        <f>INDEX(Helper!$F:$F, MATCH(WIP!J70, Helper!$E:$E, 0))</f>
        <v>#FFFFCC</v>
      </c>
      <c r="L70" s="61" t="s">
        <v>461</v>
      </c>
      <c r="M70" s="61" t="s">
        <v>619</v>
      </c>
      <c r="N70" s="62" t="s">
        <v>714</v>
      </c>
      <c r="O70" s="21" t="s">
        <v>1115</v>
      </c>
    </row>
    <row r="71" spans="1:15" x14ac:dyDescent="0.4">
      <c r="A71" s="60">
        <v>68</v>
      </c>
      <c r="B71" s="60">
        <v>2</v>
      </c>
      <c r="C71" s="61" t="str">
        <f>INDEX(Helper!$N$2:$N$4, MATCH(WIP!B71,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MATCH(WIP!G71, Helper!$A:$A, 0))</f>
        <v>Standard (EADGBE)</v>
      </c>
      <c r="I71" s="60" t="s">
        <v>625</v>
      </c>
      <c r="J71" s="79" t="s">
        <v>22</v>
      </c>
      <c r="K71" s="60" t="str">
        <f>INDEX(Helper!$F:$F, MATCH(WIP!J71, Helper!$E:$E, 0))</f>
        <v>#FFDF66</v>
      </c>
      <c r="L71" s="61" t="s">
        <v>462</v>
      </c>
      <c r="M71" s="61" t="s">
        <v>619</v>
      </c>
      <c r="N71" s="62" t="s">
        <v>715</v>
      </c>
      <c r="O71" s="21" t="s">
        <v>814</v>
      </c>
    </row>
    <row r="72" spans="1:15" x14ac:dyDescent="0.4">
      <c r="A72" s="60">
        <v>69</v>
      </c>
      <c r="B72" s="60">
        <v>2</v>
      </c>
      <c r="C72" s="61" t="str">
        <f>INDEX(Helper!$N$2:$N$4, MATCH(WIP!B72,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MATCH(WIP!G72, Helper!$A:$A, 0))</f>
        <v>Standard (EADGBE)</v>
      </c>
      <c r="I72" s="60" t="s">
        <v>61</v>
      </c>
      <c r="J72" s="75" t="s">
        <v>23</v>
      </c>
      <c r="K72" s="60" t="str">
        <f>INDEX(Helper!$F:$F, MATCH(WIP!J72, Helper!$E:$E, 0))</f>
        <v>#F1D764</v>
      </c>
      <c r="L72" s="61" t="s">
        <v>463</v>
      </c>
      <c r="M72" s="61" t="s">
        <v>619</v>
      </c>
      <c r="N72" s="62" t="s">
        <v>716</v>
      </c>
      <c r="O72" s="21" t="s">
        <v>785</v>
      </c>
    </row>
    <row r="73" spans="1:15" x14ac:dyDescent="0.4">
      <c r="A73" s="60">
        <v>70</v>
      </c>
      <c r="B73" s="60">
        <v>3</v>
      </c>
      <c r="C73" s="61" t="str">
        <f>INDEX(Helper!$N$2:$N$4, MATCH(WIP!B73,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MATCH(WIP!G73, Helper!$A:$A, 0))</f>
        <v>Half Step Down (D#G#C#F#A#D#)</v>
      </c>
      <c r="I73" s="60" t="s">
        <v>639</v>
      </c>
      <c r="J73" s="73" t="s">
        <v>21</v>
      </c>
      <c r="K73" s="60" t="str">
        <f>INDEX(Helper!$F:$F, MATCH(WIP!J73, Helper!$E:$E, 0))</f>
        <v>#45F0E2</v>
      </c>
      <c r="L73" s="61" t="s">
        <v>392</v>
      </c>
      <c r="M73" s="61" t="s">
        <v>619</v>
      </c>
      <c r="N73" s="62" t="s">
        <v>717</v>
      </c>
      <c r="O73" s="21" t="s">
        <v>1138</v>
      </c>
    </row>
    <row r="74" spans="1:15" x14ac:dyDescent="0.4">
      <c r="A74" s="60">
        <v>71</v>
      </c>
      <c r="B74" s="60">
        <v>2</v>
      </c>
      <c r="C74" s="61" t="str">
        <f>INDEX(Helper!$N$2:$N$4, MATCH(WIP!B74,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MATCH(WIP!G74, Helper!$A:$A, 0))</f>
        <v>Standard (EADGBE)</v>
      </c>
      <c r="I74" s="60" t="s">
        <v>63</v>
      </c>
      <c r="J74" s="76" t="s">
        <v>29</v>
      </c>
      <c r="K74" s="60" t="str">
        <f>INDEX(Helper!$F:$F, MATCH(WIP!J74, Helper!$E:$E, 0))</f>
        <v>#66E586</v>
      </c>
      <c r="L74" s="61" t="s">
        <v>464</v>
      </c>
      <c r="M74" s="61" t="s">
        <v>619</v>
      </c>
      <c r="N74" s="62" t="s">
        <v>718</v>
      </c>
      <c r="O74" s="21" t="s">
        <v>646</v>
      </c>
    </row>
    <row r="75" spans="1:15" x14ac:dyDescent="0.4">
      <c r="A75" s="60">
        <v>72</v>
      </c>
      <c r="B75" s="60">
        <v>2</v>
      </c>
      <c r="C75" s="61" t="str">
        <f>INDEX(Helper!$N$2:$N$4, MATCH(WIP!B75,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MATCH(WIP!G75, Helper!$A:$A, 0))</f>
        <v>Standard (EADGBE)</v>
      </c>
      <c r="I75" s="60" t="s">
        <v>628</v>
      </c>
      <c r="J75" s="75" t="s">
        <v>10</v>
      </c>
      <c r="K75" s="60" t="str">
        <f>INDEX(Helper!$F:$F, MATCH(WIP!J75, Helper!$E:$E, 0))</f>
        <v>#F5943C</v>
      </c>
      <c r="L75" s="61" t="s">
        <v>465</v>
      </c>
      <c r="M75" s="61" t="s">
        <v>619</v>
      </c>
      <c r="N75" s="62" t="s">
        <v>719</v>
      </c>
      <c r="O75" s="21" t="s">
        <v>786</v>
      </c>
    </row>
    <row r="76" spans="1:15" x14ac:dyDescent="0.4">
      <c r="A76" s="60">
        <v>73</v>
      </c>
      <c r="B76" s="60">
        <v>2</v>
      </c>
      <c r="C76" s="61" t="str">
        <f>INDEX(Helper!$N$2:$N$4, MATCH(WIP!B76,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MATCH(WIP!G76, Helper!$A:$A, 0))</f>
        <v>Standard (EADGBE)</v>
      </c>
      <c r="I76" s="60" t="s">
        <v>63</v>
      </c>
      <c r="J76" s="79" t="s">
        <v>22</v>
      </c>
      <c r="K76" s="60" t="str">
        <f>INDEX(Helper!$F:$F, MATCH(WIP!J76, Helper!$E:$E, 0))</f>
        <v>#FFDF66</v>
      </c>
      <c r="L76" s="61" t="s">
        <v>391</v>
      </c>
      <c r="M76" s="61" t="s">
        <v>619</v>
      </c>
      <c r="N76" s="62" t="s">
        <v>720</v>
      </c>
      <c r="O76" s="21" t="s">
        <v>636</v>
      </c>
    </row>
    <row r="77" spans="1:15" x14ac:dyDescent="0.4">
      <c r="A77" s="60">
        <v>74</v>
      </c>
      <c r="B77" s="60">
        <v>2</v>
      </c>
      <c r="C77" s="61" t="str">
        <f>INDEX(Helper!$N$2:$N$4, MATCH(WIP!B77,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MATCH(WIP!G77, Helper!$A:$A, 0))</f>
        <v>Standard (EADGBE)</v>
      </c>
      <c r="I77" s="60" t="s">
        <v>61</v>
      </c>
      <c r="J77" s="79" t="s">
        <v>19</v>
      </c>
      <c r="K77" s="60" t="str">
        <f>INDEX(Helper!$F:$F, MATCH(WIP!J77, Helper!$E:$E, 0))</f>
        <v>#FFDD21</v>
      </c>
      <c r="L77" s="61" t="s">
        <v>466</v>
      </c>
      <c r="M77" s="61" t="s">
        <v>648</v>
      </c>
      <c r="N77" s="62" t="s">
        <v>647</v>
      </c>
      <c r="O77" s="21" t="s">
        <v>787</v>
      </c>
    </row>
    <row r="78" spans="1:15" x14ac:dyDescent="0.4">
      <c r="A78" s="60">
        <v>75</v>
      </c>
      <c r="B78" s="60">
        <v>2</v>
      </c>
      <c r="C78" s="61" t="str">
        <f>INDEX(Helper!$N$2:$N$4, MATCH(WIP!B78,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MATCH(WIP!G78, Helper!$A:$A, 0))</f>
        <v>Standard (EADGBE)</v>
      </c>
      <c r="I78" s="60" t="s">
        <v>70</v>
      </c>
      <c r="J78" s="86" t="s">
        <v>373</v>
      </c>
      <c r="K78" s="60" t="str">
        <f>INDEX(Helper!$F:$F, MATCH(WIP!J78, Helper!$E:$E, 0))</f>
        <v>#C476D4</v>
      </c>
      <c r="L78" s="61" t="s">
        <v>467</v>
      </c>
      <c r="M78" s="61" t="s">
        <v>619</v>
      </c>
      <c r="N78" s="62" t="s">
        <v>721</v>
      </c>
      <c r="O78" s="21" t="s">
        <v>788</v>
      </c>
    </row>
    <row r="79" spans="1:15" x14ac:dyDescent="0.4">
      <c r="A79" s="60">
        <v>76</v>
      </c>
      <c r="B79" s="60">
        <v>2</v>
      </c>
      <c r="C79" s="61" t="str">
        <f>INDEX(Helper!$N$2:$N$4, MATCH(WIP!B79,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MATCH(WIP!G79, Helper!$A:$A, 0))</f>
        <v>Standard (EADGBE)</v>
      </c>
      <c r="I79" s="60" t="s">
        <v>631</v>
      </c>
      <c r="J79" s="81" t="s">
        <v>13</v>
      </c>
      <c r="K79" s="60" t="str">
        <f>INDEX(Helper!$F:$F, MATCH(WIP!J79, Helper!$E:$E, 0))</f>
        <v>#FF4F53</v>
      </c>
      <c r="L79" s="61" t="s">
        <v>468</v>
      </c>
      <c r="M79" s="61" t="s">
        <v>619</v>
      </c>
      <c r="N79" s="62" t="s">
        <v>722</v>
      </c>
      <c r="O79" s="21" t="s">
        <v>815</v>
      </c>
    </row>
    <row r="80" spans="1:15" x14ac:dyDescent="0.4">
      <c r="A80" s="60">
        <v>77</v>
      </c>
      <c r="B80" s="60">
        <v>2</v>
      </c>
      <c r="C80" s="61" t="str">
        <f>INDEX(Helper!$N$2:$N$4, MATCH(WIP!B80,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MATCH(WIP!G80, Helper!$A:$A, 0))</f>
        <v>Standard (EADGBE)</v>
      </c>
      <c r="I80" s="60" t="s">
        <v>65</v>
      </c>
      <c r="J80" s="81" t="s">
        <v>13</v>
      </c>
      <c r="K80" s="60" t="str">
        <f>INDEX(Helper!$F:$F, MATCH(WIP!J80, Helper!$E:$E, 0))</f>
        <v>#FF4F53</v>
      </c>
      <c r="L80" s="61" t="s">
        <v>469</v>
      </c>
      <c r="M80" s="61" t="s">
        <v>619</v>
      </c>
      <c r="N80" s="62" t="s">
        <v>723</v>
      </c>
      <c r="O80" s="21" t="s">
        <v>1123</v>
      </c>
    </row>
    <row r="81" spans="1:15" x14ac:dyDescent="0.4">
      <c r="A81" s="60">
        <v>78</v>
      </c>
      <c r="B81" s="60">
        <v>2</v>
      </c>
      <c r="C81" s="61" t="str">
        <f>INDEX(Helper!$N$2:$N$4, MATCH(WIP!B81,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MATCH(WIP!G81, Helper!$A:$A, 0))</f>
        <v>Standard (EADGBE)</v>
      </c>
      <c r="I81" s="60" t="s">
        <v>623</v>
      </c>
      <c r="J81" s="75" t="s">
        <v>10</v>
      </c>
      <c r="K81" s="60" t="str">
        <f>INDEX(Helper!$F:$F, MATCH(WIP!J81, Helper!$E:$E, 0))</f>
        <v>#F5943C</v>
      </c>
      <c r="L81" s="61" t="s">
        <v>470</v>
      </c>
      <c r="M81" s="61" t="s">
        <v>619</v>
      </c>
      <c r="N81" s="62" t="s">
        <v>724</v>
      </c>
      <c r="O81" s="21" t="s">
        <v>803</v>
      </c>
    </row>
    <row r="82" spans="1:15" x14ac:dyDescent="0.4">
      <c r="A82" s="60">
        <v>79</v>
      </c>
      <c r="B82" s="60">
        <v>2</v>
      </c>
      <c r="C82" s="61" t="str">
        <f>INDEX(Helper!$N$2:$N$4, MATCH(WIP!B82,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MATCH(WIP!G82, Helper!$A:$A, 0))</f>
        <v>Standard (EADGBE)</v>
      </c>
      <c r="I82" s="60" t="s">
        <v>65</v>
      </c>
      <c r="J82" s="88" t="s">
        <v>20</v>
      </c>
      <c r="K82" s="60" t="str">
        <f>INDEX(Helper!$F:$F, MATCH(WIP!J82, Helper!$E:$E, 0))</f>
        <v>#8AF1AA</v>
      </c>
      <c r="L82" s="61" t="s">
        <v>389</v>
      </c>
      <c r="M82" s="61" t="s">
        <v>619</v>
      </c>
      <c r="N82" s="62" t="s">
        <v>725</v>
      </c>
      <c r="O82" s="21" t="s">
        <v>789</v>
      </c>
    </row>
    <row r="83" spans="1:15" x14ac:dyDescent="0.4">
      <c r="A83" s="60">
        <v>80</v>
      </c>
      <c r="B83" s="60">
        <v>2</v>
      </c>
      <c r="C83" s="61" t="str">
        <f>INDEX(Helper!$N$2:$N$4, MATCH(WIP!B83,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MATCH(WIP!G83, Helper!$A:$A, 0))</f>
        <v>Standard (EADGBE)</v>
      </c>
      <c r="I83" s="60" t="s">
        <v>62</v>
      </c>
      <c r="J83" s="77" t="s">
        <v>11</v>
      </c>
      <c r="K83" s="60" t="str">
        <f>INDEX(Helper!$F:$F, MATCH(WIP!J83, Helper!$E:$E, 0))</f>
        <v>#E8AD1D</v>
      </c>
      <c r="L83" s="61" t="s">
        <v>471</v>
      </c>
      <c r="M83" s="61" t="s">
        <v>619</v>
      </c>
      <c r="N83" s="62" t="s">
        <v>726</v>
      </c>
      <c r="O83" s="21" t="s">
        <v>1116</v>
      </c>
    </row>
    <row r="84" spans="1:15" x14ac:dyDescent="0.4">
      <c r="A84" s="60">
        <v>81</v>
      </c>
      <c r="B84" s="60">
        <v>2</v>
      </c>
      <c r="C84" s="61" t="str">
        <f>INDEX(Helper!$N$2:$N$4, MATCH(WIP!B84,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MATCH(WIP!G84, Helper!$A:$A, 0))</f>
        <v>Standard (EADGBE)</v>
      </c>
      <c r="I84" s="60" t="s">
        <v>65</v>
      </c>
      <c r="J84" s="81" t="s">
        <v>13</v>
      </c>
      <c r="K84" s="60" t="str">
        <f>INDEX(Helper!$F:$F, MATCH(WIP!J84, Helper!$E:$E, 0))</f>
        <v>#FF4F53</v>
      </c>
      <c r="L84" s="61" t="s">
        <v>473</v>
      </c>
      <c r="M84" s="61" t="s">
        <v>619</v>
      </c>
      <c r="N84" s="62" t="s">
        <v>727</v>
      </c>
      <c r="O84" s="21" t="s">
        <v>790</v>
      </c>
    </row>
    <row r="85" spans="1:15" x14ac:dyDescent="0.4">
      <c r="A85" s="60">
        <v>82</v>
      </c>
      <c r="B85" s="60">
        <v>2</v>
      </c>
      <c r="C85" s="61" t="str">
        <f>INDEX(Helper!$N$2:$N$4, MATCH(WIP!B85,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MATCH(WIP!G85, Helper!$A:$A, 0))</f>
        <v>Standard (EADGBE)</v>
      </c>
      <c r="I85" s="60" t="s">
        <v>62</v>
      </c>
      <c r="J85" s="76" t="s">
        <v>372</v>
      </c>
      <c r="K85" s="60" t="str">
        <f>INDEX(Helper!$F:$F, MATCH(WIP!J85, Helper!$E:$E, 0))</f>
        <v>#B3F141</v>
      </c>
      <c r="L85" s="61" t="s">
        <v>474</v>
      </c>
      <c r="M85" s="61" t="s">
        <v>619</v>
      </c>
      <c r="N85" s="62" t="s">
        <v>728</v>
      </c>
      <c r="O85" s="22" t="s">
        <v>820</v>
      </c>
    </row>
    <row r="86" spans="1:15" x14ac:dyDescent="0.4">
      <c r="A86" s="60">
        <v>83</v>
      </c>
      <c r="B86" s="60">
        <v>2</v>
      </c>
      <c r="C86" s="61" t="str">
        <f>INDEX(Helper!$N$2:$N$4, MATCH(WIP!B86,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MATCH(WIP!G86, Helper!$A:$A, 0))</f>
        <v>Standard (EADGBE)</v>
      </c>
      <c r="I86" s="60" t="s">
        <v>63</v>
      </c>
      <c r="J86" s="81" t="s">
        <v>13</v>
      </c>
      <c r="K86" s="60" t="str">
        <f>INDEX(Helper!$F:$F, MATCH(WIP!J86, Helper!$E:$E, 0))</f>
        <v>#FF4F53</v>
      </c>
      <c r="L86" s="61" t="s">
        <v>475</v>
      </c>
      <c r="M86" s="61" t="s">
        <v>619</v>
      </c>
      <c r="N86" s="62" t="s">
        <v>729</v>
      </c>
      <c r="O86" s="21" t="s">
        <v>821</v>
      </c>
    </row>
    <row r="87" spans="1:15" x14ac:dyDescent="0.4">
      <c r="A87" s="60">
        <v>84</v>
      </c>
      <c r="B87" s="60">
        <v>2</v>
      </c>
      <c r="C87" s="61" t="str">
        <f>INDEX(Helper!$N$2:$N$4, MATCH(WIP!B87,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MATCH(WIP!G87, Helper!$A:$A, 0))</f>
        <v>Standard (EADGBE)</v>
      </c>
      <c r="I87" s="60" t="s">
        <v>59</v>
      </c>
      <c r="J87" s="81" t="s">
        <v>13</v>
      </c>
      <c r="K87" s="60" t="str">
        <f>INDEX(Helper!$F:$F, MATCH(WIP!J87, Helper!$E:$E, 0))</f>
        <v>#FF4F53</v>
      </c>
      <c r="L87" s="61" t="s">
        <v>476</v>
      </c>
      <c r="M87" s="61" t="s">
        <v>619</v>
      </c>
      <c r="N87" s="62" t="s">
        <v>730</v>
      </c>
      <c r="O87" s="21" t="s">
        <v>791</v>
      </c>
    </row>
    <row r="88" spans="1:15" x14ac:dyDescent="0.4">
      <c r="A88" s="60">
        <v>85</v>
      </c>
      <c r="B88" s="60">
        <v>2</v>
      </c>
      <c r="C88" s="61" t="str">
        <f>INDEX(Helper!$N$2:$N$4, MATCH(WIP!B88,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MATCH(WIP!G88, Helper!$A:$A, 0))</f>
        <v>Drop D (DADGBE)</v>
      </c>
      <c r="I88" s="60" t="s">
        <v>62</v>
      </c>
      <c r="J88" s="80" t="s">
        <v>16</v>
      </c>
      <c r="K88" s="60" t="str">
        <f>INDEX(Helper!$F:$F, MATCH(WIP!J88, Helper!$E:$E, 0))</f>
        <v>#C2C2A1</v>
      </c>
      <c r="L88" s="61" t="s">
        <v>477</v>
      </c>
      <c r="M88" s="61" t="s">
        <v>632</v>
      </c>
      <c r="N88" s="62" t="s">
        <v>731</v>
      </c>
      <c r="O88" s="21" t="s">
        <v>1136</v>
      </c>
    </row>
    <row r="89" spans="1:15" x14ac:dyDescent="0.4">
      <c r="A89" s="60">
        <v>86</v>
      </c>
      <c r="B89" s="60">
        <v>2</v>
      </c>
      <c r="C89" s="61" t="str">
        <f>INDEX(Helper!$N$2:$N$4, MATCH(WIP!B89,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MATCH(WIP!G89, Helper!$A:$A, 0))</f>
        <v>(DADGAD)</v>
      </c>
      <c r="I89" s="60" t="s">
        <v>631</v>
      </c>
      <c r="J89" s="75" t="s">
        <v>10</v>
      </c>
      <c r="K89" s="60" t="str">
        <f>INDEX(Helper!$F:$F, MATCH(WIP!J89, Helper!$E:$E, 0))</f>
        <v>#F5943C</v>
      </c>
      <c r="L89" s="61" t="s">
        <v>478</v>
      </c>
      <c r="M89" s="61" t="s">
        <v>619</v>
      </c>
      <c r="N89" s="62" t="s">
        <v>732</v>
      </c>
      <c r="O89" s="47" t="s">
        <v>792</v>
      </c>
    </row>
    <row r="90" spans="1:15" x14ac:dyDescent="0.4">
      <c r="A90" s="60">
        <v>87</v>
      </c>
      <c r="B90" s="60">
        <v>2</v>
      </c>
      <c r="C90" s="61" t="str">
        <f>INDEX(Helper!$N$2:$N$4, MATCH(WIP!B90,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MATCH(WIP!G90, Helper!$A:$A, 0))</f>
        <v>Standard (EADGBE)</v>
      </c>
      <c r="I90" s="60" t="s">
        <v>61</v>
      </c>
      <c r="J90" s="75" t="s">
        <v>10</v>
      </c>
      <c r="K90" s="60" t="str">
        <f>INDEX(Helper!$F:$F, MATCH(WIP!J90, Helper!$E:$E, 0))</f>
        <v>#F5943C</v>
      </c>
      <c r="L90" s="61" t="s">
        <v>479</v>
      </c>
      <c r="M90" s="61" t="s">
        <v>619</v>
      </c>
      <c r="N90" s="62" t="s">
        <v>733</v>
      </c>
      <c r="O90" s="21" t="s">
        <v>822</v>
      </c>
    </row>
    <row r="91" spans="1:15" x14ac:dyDescent="0.4">
      <c r="A91" s="60">
        <v>88</v>
      </c>
      <c r="B91" s="60">
        <v>2</v>
      </c>
      <c r="C91" s="61" t="str">
        <f>INDEX(Helper!$N$2:$N$4, MATCH(WIP!B91, Helper!$M$2:$M$4, 0))</f>
        <v>Intermediate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MATCH(WIP!G91, Helper!$A:$A, 0))</f>
        <v>Standard (EADGBE)</v>
      </c>
      <c r="I91" s="60" t="s">
        <v>66</v>
      </c>
      <c r="J91" s="79" t="s">
        <v>22</v>
      </c>
      <c r="K91" s="60" t="str">
        <f>INDEX(Helper!$F:$F, MATCH(WIP!J91, Helper!$E:$E, 0))</f>
        <v>#FFDF66</v>
      </c>
      <c r="L91" s="61" t="s">
        <v>480</v>
      </c>
      <c r="M91" s="61" t="s">
        <v>619</v>
      </c>
      <c r="N91" s="62" t="s">
        <v>734</v>
      </c>
      <c r="O91" s="21" t="s">
        <v>793</v>
      </c>
    </row>
    <row r="92" spans="1:15" x14ac:dyDescent="0.4">
      <c r="A92" s="60">
        <v>89</v>
      </c>
      <c r="B92" s="60">
        <v>2</v>
      </c>
      <c r="C92" s="61" t="str">
        <f>INDEX(Helper!$N$2:$N$4, MATCH(WIP!B92,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MATCH(WIP!G92, Helper!$A:$A, 0))</f>
        <v>Standard (EADGBE)</v>
      </c>
      <c r="I92" s="60" t="s">
        <v>59</v>
      </c>
      <c r="J92" s="81" t="s">
        <v>13</v>
      </c>
      <c r="K92" s="60" t="str">
        <f>INDEX(Helper!$F:$F, MATCH(WIP!J92, Helper!$E:$E, 0))</f>
        <v>#FF4F53</v>
      </c>
      <c r="L92" s="61" t="s">
        <v>481</v>
      </c>
      <c r="M92" s="61" t="s">
        <v>619</v>
      </c>
      <c r="N92" s="62" t="s">
        <v>735</v>
      </c>
      <c r="O92" s="21" t="s">
        <v>1117</v>
      </c>
    </row>
    <row r="93" spans="1:15" x14ac:dyDescent="0.4">
      <c r="A93" s="60">
        <v>90</v>
      </c>
      <c r="B93" s="60">
        <v>2</v>
      </c>
      <c r="C93" s="61" t="str">
        <f>INDEX(Helper!$N$2:$N$4, MATCH(WIP!B93,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MATCH(WIP!G93, Helper!$A:$A, 0))</f>
        <v>Standard (EADGBE)</v>
      </c>
      <c r="I93" s="60" t="s">
        <v>64</v>
      </c>
      <c r="J93" s="85" t="s">
        <v>17</v>
      </c>
      <c r="K93" s="60" t="str">
        <f>INDEX(Helper!$F:$F, MATCH(WIP!J93, Helper!$E:$E, 0))</f>
        <v>#F75269</v>
      </c>
      <c r="L93" s="61" t="s">
        <v>484</v>
      </c>
      <c r="M93" s="61" t="s">
        <v>619</v>
      </c>
      <c r="N93" s="62" t="s">
        <v>736</v>
      </c>
      <c r="O93" s="21" t="s">
        <v>794</v>
      </c>
    </row>
    <row r="94" spans="1:15" x14ac:dyDescent="0.4">
      <c r="A94" s="60">
        <v>91</v>
      </c>
      <c r="B94" s="60">
        <v>2</v>
      </c>
      <c r="C94" s="61" t="str">
        <f>INDEX(Helper!$N$2:$N$4, MATCH(WIP!B94,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MATCH(WIP!G94, Helper!$A:$A, 0))</f>
        <v>Half Step Down (D#G#C#F#A#D#)</v>
      </c>
      <c r="I94" s="60" t="s">
        <v>639</v>
      </c>
      <c r="J94" s="75" t="s">
        <v>10</v>
      </c>
      <c r="K94" s="60" t="str">
        <f>INDEX(Helper!$F:$F, MATCH(WIP!J94, Helper!$E:$E, 0))</f>
        <v>#F5943C</v>
      </c>
      <c r="L94" s="61" t="s">
        <v>485</v>
      </c>
      <c r="M94" s="61" t="s">
        <v>619</v>
      </c>
      <c r="N94" s="62" t="s">
        <v>737</v>
      </c>
      <c r="O94" s="21" t="s">
        <v>816</v>
      </c>
    </row>
    <row r="95" spans="1:15" x14ac:dyDescent="0.4">
      <c r="A95" s="60">
        <v>92</v>
      </c>
      <c r="B95" s="60">
        <v>2</v>
      </c>
      <c r="C95" s="61" t="str">
        <f>INDEX(Helper!$N$2:$N$4, MATCH(WIP!B95,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MATCH(WIP!G95, Helper!$A:$A, 0))</f>
        <v>Standard (EADGBE)</v>
      </c>
      <c r="I95" s="60" t="s">
        <v>395</v>
      </c>
      <c r="J95" s="81" t="s">
        <v>13</v>
      </c>
      <c r="K95" s="60" t="str">
        <f>INDEX(Helper!$F:$F, MATCH(WIP!J95, Helper!$E:$E, 0))</f>
        <v>#FF4F53</v>
      </c>
      <c r="L95" s="61" t="s">
        <v>486</v>
      </c>
      <c r="M95" s="61" t="s">
        <v>619</v>
      </c>
      <c r="N95" s="62" t="s">
        <v>738</v>
      </c>
      <c r="O95" s="21" t="s">
        <v>804</v>
      </c>
    </row>
    <row r="96" spans="1:15" x14ac:dyDescent="0.4">
      <c r="A96" s="60">
        <v>93</v>
      </c>
      <c r="B96" s="60">
        <v>2</v>
      </c>
      <c r="C96" s="61" t="str">
        <f>INDEX(Helper!$N$2:$N$4, MATCH(WIP!B96,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MATCH(WIP!G96, Helper!$A:$A, 0))</f>
        <v>Open D (DADF#AD)</v>
      </c>
      <c r="I96" s="60" t="s">
        <v>631</v>
      </c>
      <c r="J96" s="81" t="s">
        <v>13</v>
      </c>
      <c r="K96" s="60" t="str">
        <f>INDEX(Helper!$F:$F, MATCH(WIP!J96, Helper!$E:$E, 0))</f>
        <v>#FF4F53</v>
      </c>
      <c r="L96" s="61" t="s">
        <v>487</v>
      </c>
      <c r="M96" s="61" t="s">
        <v>619</v>
      </c>
      <c r="N96" s="62" t="s">
        <v>739</v>
      </c>
      <c r="O96" s="21" t="s">
        <v>1145</v>
      </c>
    </row>
    <row r="97" spans="1:15" x14ac:dyDescent="0.4">
      <c r="A97" s="60">
        <v>94</v>
      </c>
      <c r="B97" s="60">
        <v>2</v>
      </c>
      <c r="C97" s="61" t="str">
        <f>INDEX(Helper!$N$2:$N$4, MATCH(WIP!B97,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MATCH(WIP!G97, Helper!$A:$A, 0))</f>
        <v>Standard (EADGBE)</v>
      </c>
      <c r="I97" s="60" t="s">
        <v>59</v>
      </c>
      <c r="J97" s="81" t="s">
        <v>13</v>
      </c>
      <c r="K97" s="60" t="str">
        <f>INDEX(Helper!$F:$F, MATCH(WIP!J97, Helper!$E:$E, 0))</f>
        <v>#FF4F53</v>
      </c>
      <c r="L97" s="61" t="s">
        <v>488</v>
      </c>
      <c r="M97" s="61" t="s">
        <v>619</v>
      </c>
      <c r="N97" s="62" t="s">
        <v>740</v>
      </c>
      <c r="O97" s="21" t="s">
        <v>823</v>
      </c>
    </row>
    <row r="98" spans="1:15" x14ac:dyDescent="0.4">
      <c r="A98" s="60">
        <v>95</v>
      </c>
      <c r="B98" s="60">
        <v>2</v>
      </c>
      <c r="C98" s="61" t="str">
        <f>INDEX(Helper!$N$2:$N$4, MATCH(WIP!B98,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MATCH(WIP!G98, Helper!$A:$A, 0))</f>
        <v>Standard (EADGBE)</v>
      </c>
      <c r="I98" s="60" t="s">
        <v>63</v>
      </c>
      <c r="J98" s="79" t="s">
        <v>19</v>
      </c>
      <c r="K98" s="60" t="str">
        <f>INDEX(Helper!$F:$F, MATCH(WIP!J98, Helper!$E:$E, 0))</f>
        <v>#FFDD21</v>
      </c>
      <c r="L98" s="61" t="s">
        <v>386</v>
      </c>
      <c r="M98" s="61" t="s">
        <v>619</v>
      </c>
      <c r="N98" s="62" t="s">
        <v>741</v>
      </c>
      <c r="O98" s="21" t="s">
        <v>805</v>
      </c>
    </row>
    <row r="99" spans="1:15" x14ac:dyDescent="0.4">
      <c r="A99" s="60">
        <v>96</v>
      </c>
      <c r="B99" s="60">
        <v>1</v>
      </c>
      <c r="C99" s="61" t="str">
        <f>INDEX(Helper!$N$2:$N$4, MATCH(WIP!B99,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MATCH(WIP!G99, Helper!$A:$A, 0))</f>
        <v>Standard (EADGBE)</v>
      </c>
      <c r="I99" s="60" t="s">
        <v>624</v>
      </c>
      <c r="J99" s="80" t="s">
        <v>15</v>
      </c>
      <c r="K99" s="60" t="str">
        <f>INDEX(Helper!$F:$F, MATCH(WIP!J99, Helper!$E:$E, 0))</f>
        <v>#C2C2A1</v>
      </c>
      <c r="L99" s="61" t="s">
        <v>489</v>
      </c>
      <c r="M99" s="61" t="s">
        <v>619</v>
      </c>
      <c r="N99" s="62" t="s">
        <v>742</v>
      </c>
      <c r="O99" s="21" t="s">
        <v>795</v>
      </c>
    </row>
    <row r="100" spans="1:15" x14ac:dyDescent="0.4">
      <c r="A100" s="60">
        <v>97</v>
      </c>
      <c r="B100" s="60">
        <v>1</v>
      </c>
      <c r="C100" s="61" t="str">
        <f>INDEX(Helper!$N$2:$N$4, MATCH(WIP!B100,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MATCH(WIP!G100, Helper!$A:$A, 0))</f>
        <v>Standard (EADGBE)</v>
      </c>
      <c r="I100" s="60" t="s">
        <v>623</v>
      </c>
      <c r="J100" s="80" t="s">
        <v>15</v>
      </c>
      <c r="K100" s="60" t="str">
        <f>INDEX(Helper!$F:$F, MATCH(WIP!J100, Helper!$E:$E, 0))</f>
        <v>#C2C2A1</v>
      </c>
      <c r="L100" s="61" t="s">
        <v>490</v>
      </c>
      <c r="M100" s="61" t="s">
        <v>619</v>
      </c>
      <c r="N100" s="63" t="s">
        <v>743</v>
      </c>
      <c r="O100" s="21" t="s">
        <v>817</v>
      </c>
    </row>
    <row r="101" spans="1:15" x14ac:dyDescent="0.4">
      <c r="A101" s="60">
        <v>98</v>
      </c>
      <c r="B101" s="60">
        <v>3</v>
      </c>
      <c r="C101" s="61" t="str">
        <f>INDEX(Helper!$N$2:$N$4, MATCH(WIP!B101,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MATCH(WIP!G101, Helper!$A:$A, 0))</f>
        <v>Standard (EADGBE)</v>
      </c>
      <c r="I101" s="60" t="s">
        <v>60</v>
      </c>
      <c r="J101" s="75" t="s">
        <v>10</v>
      </c>
      <c r="K101" s="60" t="str">
        <f>INDEX(Helper!$F:$F, MATCH(WIP!J101, Helper!$E:$E, 0))</f>
        <v>#F5943C</v>
      </c>
      <c r="L101" s="61" t="s">
        <v>491</v>
      </c>
      <c r="M101" s="61" t="s">
        <v>619</v>
      </c>
      <c r="N101" s="62" t="s">
        <v>744</v>
      </c>
      <c r="O101" s="21" t="s">
        <v>796</v>
      </c>
    </row>
    <row r="102" spans="1:15" x14ac:dyDescent="0.4">
      <c r="A102" s="60">
        <v>99</v>
      </c>
      <c r="B102" s="60">
        <v>1</v>
      </c>
      <c r="C102" s="66" t="str">
        <f>INDEX([1]Helper!$B$13:$B$15, MATCH([1]WIP!B102, [1]Helper!$A$13:$A$15,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MATCH(WIP!G102, Helper!$A:$A, 0))</f>
        <v>Standard (EADGBE)</v>
      </c>
      <c r="I102" s="60" t="s">
        <v>395</v>
      </c>
      <c r="J102" s="76" t="s">
        <v>28</v>
      </c>
      <c r="K102" s="60" t="str">
        <f>INDEX([1]Helper!$F:$F, MATCH([1]WIP!J102, [1]Helper!$E:$E, 0))</f>
        <v>#5BB76E</v>
      </c>
      <c r="L102" s="66" t="s">
        <v>492</v>
      </c>
      <c r="M102" s="66" t="s">
        <v>619</v>
      </c>
      <c r="N102" s="63" t="s">
        <v>842</v>
      </c>
      <c r="O102" s="40" t="s">
        <v>843</v>
      </c>
    </row>
    <row r="103" spans="1:15" x14ac:dyDescent="0.4">
      <c r="A103" s="60">
        <v>100</v>
      </c>
      <c r="B103" s="60">
        <v>3</v>
      </c>
      <c r="C103" s="66" t="str">
        <f>INDEX([1]Helper!$B$13:$B$15, MATCH([1]WIP!B103, [1]Helper!$A$13:$A$15,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MATCH(WIP!G103, Helper!$A:$A, 0))</f>
        <v>Standard (EADGBE)</v>
      </c>
      <c r="I103" s="60" t="s">
        <v>59</v>
      </c>
      <c r="J103" s="75" t="s">
        <v>10</v>
      </c>
      <c r="K103" s="60" t="str">
        <f>INDEX([1]Helper!$F:$F, MATCH([1]WIP!J103, [1]Helper!$E:$E, 0))</f>
        <v>#FFD966</v>
      </c>
      <c r="L103" s="66" t="s">
        <v>493</v>
      </c>
      <c r="M103" s="66" t="s">
        <v>619</v>
      </c>
      <c r="N103" s="63" t="s">
        <v>844</v>
      </c>
      <c r="O103" s="40" t="s">
        <v>1124</v>
      </c>
    </row>
    <row r="104" spans="1:15" x14ac:dyDescent="0.4">
      <c r="A104" s="60">
        <v>101</v>
      </c>
      <c r="B104" s="60">
        <v>3</v>
      </c>
      <c r="C104" s="66" t="str">
        <f>INDEX([1]Helper!$B$13:$B$15, MATCH([1]WIP!B104, [1]Helper!$A$13:$A$15,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MATCH(WIP!G104, Helper!$A:$A, 0))</f>
        <v>Standard (EADGBE)</v>
      </c>
      <c r="I104" s="60" t="s">
        <v>61</v>
      </c>
      <c r="J104" s="84" t="s">
        <v>14</v>
      </c>
      <c r="K104" s="60" t="str">
        <f>INDEX([1]Helper!$F:$F, MATCH([1]WIP!J104, [1]Helper!$E:$E, 0))</f>
        <v>#FFF2CC</v>
      </c>
      <c r="L104" s="66" t="s">
        <v>494</v>
      </c>
      <c r="M104" s="66" t="s">
        <v>619</v>
      </c>
      <c r="N104" s="63" t="s">
        <v>845</v>
      </c>
      <c r="O104" s="40" t="s">
        <v>846</v>
      </c>
    </row>
    <row r="105" spans="1:15" x14ac:dyDescent="0.4">
      <c r="A105" s="60">
        <v>102</v>
      </c>
      <c r="B105" s="60">
        <v>3</v>
      </c>
      <c r="C105" s="66" t="str">
        <f>INDEX([1]Helper!$B$13:$B$15, MATCH([1]WIP!B105, [1]Helper!$A$13:$A$15,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MATCH(WIP!G105, Helper!$A:$A, 0))</f>
        <v>Standard (EADGBE)</v>
      </c>
      <c r="I105" s="60" t="s">
        <v>59</v>
      </c>
      <c r="J105" s="75" t="s">
        <v>23</v>
      </c>
      <c r="K105" s="60" t="str">
        <f>INDEX([1]Helper!$F:$F, MATCH([1]WIP!J105, [1]Helper!$E:$E, 0))</f>
        <v>#F1C232</v>
      </c>
      <c r="L105" s="66" t="s">
        <v>495</v>
      </c>
      <c r="M105" s="66" t="s">
        <v>619</v>
      </c>
      <c r="N105" s="63" t="s">
        <v>847</v>
      </c>
      <c r="O105" s="40" t="s">
        <v>848</v>
      </c>
    </row>
    <row r="106" spans="1:15" ht="409.6" x14ac:dyDescent="0.4">
      <c r="A106" s="60">
        <v>103</v>
      </c>
      <c r="B106" s="60">
        <v>3</v>
      </c>
      <c r="C106" s="66" t="str">
        <f>INDEX([1]Helper!$B$13:$B$15, MATCH([1]WIP!B106, [1]Helper!$A$13:$A$15,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MATCH(WIP!G106, Helper!$A:$A, 0))</f>
        <v>Standard (EADGBE)</v>
      </c>
      <c r="I106" s="60" t="s">
        <v>623</v>
      </c>
      <c r="J106" s="80" t="s">
        <v>15</v>
      </c>
      <c r="K106" s="60" t="str">
        <f>INDEX([1]Helper!$F:$F, MATCH([1]WIP!J106, [1]Helper!$E:$E, 0))</f>
        <v>#C8C8C8</v>
      </c>
      <c r="L106" s="66" t="s">
        <v>496</v>
      </c>
      <c r="M106" s="66" t="s">
        <v>619</v>
      </c>
      <c r="N106" s="90" t="s">
        <v>849</v>
      </c>
      <c r="O106" s="91" t="s">
        <v>1166</v>
      </c>
    </row>
    <row r="107" spans="1:15" x14ac:dyDescent="0.4">
      <c r="A107" s="60">
        <v>104</v>
      </c>
      <c r="B107" s="60">
        <v>3</v>
      </c>
      <c r="C107" s="66" t="str">
        <f>INDEX([1]Helper!$B$13:$B$15, MATCH([1]WIP!B107, [1]Helper!$A$13:$A$15,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MATCH(WIP!G107, Helper!$A:$A, 0))</f>
        <v>Standard (EADGBE)</v>
      </c>
      <c r="I107" s="60" t="s">
        <v>395</v>
      </c>
      <c r="J107" s="80" t="s">
        <v>15</v>
      </c>
      <c r="K107" s="60" t="str">
        <f>INDEX([1]Helper!$F:$F, MATCH([1]WIP!J107, [1]Helper!$E:$E, 0))</f>
        <v>#C8C8C8</v>
      </c>
      <c r="L107" s="66" t="s">
        <v>497</v>
      </c>
      <c r="M107" s="66" t="s">
        <v>619</v>
      </c>
      <c r="N107" s="63" t="s">
        <v>850</v>
      </c>
      <c r="O107" s="40" t="s">
        <v>851</v>
      </c>
    </row>
    <row r="108" spans="1:15" x14ac:dyDescent="0.4">
      <c r="A108" s="60">
        <v>105</v>
      </c>
      <c r="B108" s="60">
        <v>3</v>
      </c>
      <c r="C108" s="66" t="str">
        <f>INDEX([1]Helper!$B$13:$B$15, MATCH([1]WIP!B108, [1]Helper!$A$13:$A$15,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MATCH(WIP!G108, Helper!$A:$A, 0))</f>
        <v>Standard (EADGBE)</v>
      </c>
      <c r="I108" s="60" t="s">
        <v>623</v>
      </c>
      <c r="J108" s="80" t="s">
        <v>15</v>
      </c>
      <c r="K108" s="60" t="str">
        <f>INDEX([1]Helper!$F:$F, MATCH([1]WIP!J108, [1]Helper!$E:$E, 0))</f>
        <v>#C8C8C8</v>
      </c>
      <c r="L108" s="66" t="s">
        <v>498</v>
      </c>
      <c r="M108" s="66" t="s">
        <v>619</v>
      </c>
      <c r="N108" s="63" t="s">
        <v>852</v>
      </c>
      <c r="O108" s="40" t="s">
        <v>1118</v>
      </c>
    </row>
    <row r="109" spans="1:15" x14ac:dyDescent="0.4">
      <c r="A109" s="60">
        <v>106</v>
      </c>
      <c r="B109" s="60">
        <v>2</v>
      </c>
      <c r="C109" s="66" t="str">
        <f>INDEX([1]Helper!$B$13:$B$15, MATCH([1]WIP!B109, [1]Helper!$A$13:$A$15,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MATCH(WIP!G109, Helper!$A:$A, 0))</f>
        <v>Standard (EADGBE)</v>
      </c>
      <c r="I109" s="60" t="s">
        <v>645</v>
      </c>
      <c r="J109" s="79" t="s">
        <v>19</v>
      </c>
      <c r="K109" s="60" t="str">
        <f>INDEX([1]Helper!$F:$F, MATCH([1]WIP!J109, [1]Helper!$E:$E, 0))</f>
        <v>#FFD966</v>
      </c>
      <c r="L109" s="66" t="s">
        <v>499</v>
      </c>
      <c r="M109" s="66" t="s">
        <v>619</v>
      </c>
      <c r="N109" s="63" t="s">
        <v>853</v>
      </c>
      <c r="O109" s="40" t="s">
        <v>854</v>
      </c>
    </row>
    <row r="110" spans="1:15" x14ac:dyDescent="0.4">
      <c r="A110" s="60">
        <v>107</v>
      </c>
      <c r="B110" s="60">
        <v>3</v>
      </c>
      <c r="C110" s="66" t="str">
        <f>INDEX([1]Helper!$B$13:$B$15, MATCH([1]WIP!B110, [1]Helper!$A$13:$A$15,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MATCH(WIP!G110, Helper!$A:$A, 0))</f>
        <v>Standard (EADGBE)</v>
      </c>
      <c r="I110" s="60" t="s">
        <v>62</v>
      </c>
      <c r="J110" s="80" t="s">
        <v>15</v>
      </c>
      <c r="K110" s="60" t="str">
        <f>INDEX([1]Helper!$F:$F, MATCH([1]WIP!J110, [1]Helper!$E:$E, 0))</f>
        <v>#C8C8C8</v>
      </c>
      <c r="L110" s="66" t="s">
        <v>500</v>
      </c>
      <c r="M110" s="66" t="s">
        <v>619</v>
      </c>
      <c r="N110" s="63" t="s">
        <v>855</v>
      </c>
      <c r="O110" s="40" t="s">
        <v>856</v>
      </c>
    </row>
    <row r="111" spans="1:15" x14ac:dyDescent="0.4">
      <c r="A111" s="60">
        <v>108</v>
      </c>
      <c r="B111" s="60">
        <v>3</v>
      </c>
      <c r="C111" s="66" t="str">
        <f>INDEX([1]Helper!$B$13:$B$15, MATCH([1]WIP!B111, [1]Helper!$A$13:$A$15,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MATCH(WIP!G111, Helper!$A:$A, 0))</f>
        <v>Standard (EADGBE)</v>
      </c>
      <c r="I111" s="60" t="s">
        <v>65</v>
      </c>
      <c r="J111" s="79" t="s">
        <v>19</v>
      </c>
      <c r="K111" s="60" t="str">
        <f>INDEX([1]Helper!$F:$F, MATCH([1]WIP!J111, [1]Helper!$E:$E, 0))</f>
        <v>#FFD966</v>
      </c>
      <c r="L111" s="66" t="s">
        <v>501</v>
      </c>
      <c r="M111" s="66" t="s">
        <v>619</v>
      </c>
      <c r="N111" s="63" t="s">
        <v>857</v>
      </c>
      <c r="O111" s="40" t="s">
        <v>858</v>
      </c>
    </row>
    <row r="112" spans="1:15" x14ac:dyDescent="0.4">
      <c r="A112" s="60">
        <v>109</v>
      </c>
      <c r="B112" s="60">
        <v>3</v>
      </c>
      <c r="C112" s="66" t="str">
        <f>INDEX([1]Helper!$B$13:$B$15, MATCH([1]WIP!B112, [1]Helper!$A$13:$A$15,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MATCH(WIP!G112, Helper!$A:$A, 0))</f>
        <v>Standard (EADGBE)</v>
      </c>
      <c r="I112" s="60" t="s">
        <v>65</v>
      </c>
      <c r="J112" s="83" t="s">
        <v>12</v>
      </c>
      <c r="K112" s="60" t="str">
        <f>INDEX([1]Helper!$F:$F, MATCH([1]WIP!J112, [1]Helper!$E:$E, 0))</f>
        <v>#FFBD5D</v>
      </c>
      <c r="L112" s="66" t="s">
        <v>502</v>
      </c>
      <c r="M112" s="66" t="s">
        <v>619</v>
      </c>
      <c r="N112" s="63" t="s">
        <v>859</v>
      </c>
      <c r="O112" s="40" t="s">
        <v>860</v>
      </c>
    </row>
    <row r="113" spans="1:15" x14ac:dyDescent="0.4">
      <c r="A113" s="60">
        <v>110</v>
      </c>
      <c r="B113" s="60">
        <v>3</v>
      </c>
      <c r="C113" s="66" t="str">
        <f>INDEX([1]Helper!$B$13:$B$15, MATCH([1]WIP!B113, [1]Helper!$A$13:$A$15,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MATCH(WIP!G113, Helper!$A:$A, 0))</f>
        <v>Standard (EADGBE)</v>
      </c>
      <c r="I113" s="60" t="s">
        <v>63</v>
      </c>
      <c r="J113" s="79" t="s">
        <v>26</v>
      </c>
      <c r="K113" s="60" t="str">
        <f>INDEX([1]Helper!$F:$F, MATCH([1]WIP!J113, [1]Helper!$E:$E, 0))</f>
        <v>#FFFFCC</v>
      </c>
      <c r="L113" s="67" t="s">
        <v>503</v>
      </c>
      <c r="M113" s="66" t="s">
        <v>619</v>
      </c>
      <c r="N113" s="68" t="s">
        <v>861</v>
      </c>
      <c r="O113" s="40" t="s">
        <v>862</v>
      </c>
    </row>
    <row r="114" spans="1:15" x14ac:dyDescent="0.4">
      <c r="A114" s="60">
        <v>111</v>
      </c>
      <c r="B114" s="60">
        <v>3</v>
      </c>
      <c r="C114" s="66" t="str">
        <f>INDEX([1]Helper!$B$13:$B$15, MATCH([1]WIP!B114, [1]Helper!$A$13:$A$15,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MATCH(WIP!G114, Helper!$A:$A, 0))</f>
        <v>Standard (EADGBE)</v>
      </c>
      <c r="I114" s="60" t="s">
        <v>63</v>
      </c>
      <c r="J114" s="75" t="s">
        <v>10</v>
      </c>
      <c r="K114" s="60" t="str">
        <f>INDEX([1]Helper!$F:$F, MATCH([1]WIP!J114, [1]Helper!$E:$E, 0))</f>
        <v>#FFD966</v>
      </c>
      <c r="L114" s="66" t="s">
        <v>504</v>
      </c>
      <c r="M114" s="66" t="s">
        <v>619</v>
      </c>
      <c r="N114" s="63" t="s">
        <v>863</v>
      </c>
      <c r="O114" s="40" t="s">
        <v>864</v>
      </c>
    </row>
    <row r="115" spans="1:15" x14ac:dyDescent="0.4">
      <c r="A115" s="60">
        <v>112</v>
      </c>
      <c r="B115" s="60">
        <v>3</v>
      </c>
      <c r="C115" s="66" t="str">
        <f>INDEX([1]Helper!$B$13:$B$15, MATCH([1]WIP!B115, [1]Helper!$A$13:$A$15,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MATCH(WIP!G115, Helper!$A:$A, 0))</f>
        <v>Standard (EADGBE)</v>
      </c>
      <c r="I115" s="60" t="s">
        <v>64</v>
      </c>
      <c r="J115" s="84" t="s">
        <v>14</v>
      </c>
      <c r="K115" s="60" t="str">
        <f>INDEX([1]Helper!$F:$F, MATCH([1]WIP!J115, [1]Helper!$E:$E, 0))</f>
        <v>#FFF2CC</v>
      </c>
      <c r="L115" s="66" t="s">
        <v>505</v>
      </c>
      <c r="M115" s="66" t="s">
        <v>619</v>
      </c>
      <c r="N115" s="66" t="s">
        <v>865</v>
      </c>
      <c r="O115" s="40" t="s">
        <v>866</v>
      </c>
    </row>
    <row r="116" spans="1:15" x14ac:dyDescent="0.4">
      <c r="A116" s="60">
        <v>113</v>
      </c>
      <c r="B116" s="60">
        <v>3</v>
      </c>
      <c r="C116" s="66" t="str">
        <f>INDEX([1]Helper!$B$13:$B$15, MATCH([1]WIP!B116, [1]Helper!$A$13:$A$15,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MATCH(WIP!G116, Helper!$A:$A, 0))</f>
        <v>Standard (EADGBE)</v>
      </c>
      <c r="I116" s="60" t="s">
        <v>62</v>
      </c>
      <c r="J116" s="79" t="s">
        <v>19</v>
      </c>
      <c r="K116" s="60" t="str">
        <f>INDEX([1]Helper!$F:$F, MATCH([1]WIP!J116, [1]Helper!$E:$E, 0))</f>
        <v>#FFD966</v>
      </c>
      <c r="L116" s="66" t="s">
        <v>506</v>
      </c>
      <c r="M116" s="66" t="s">
        <v>619</v>
      </c>
      <c r="N116" s="63" t="s">
        <v>867</v>
      </c>
      <c r="O116" s="40" t="s">
        <v>868</v>
      </c>
    </row>
    <row r="117" spans="1:15" x14ac:dyDescent="0.4">
      <c r="A117" s="60">
        <v>114</v>
      </c>
      <c r="B117" s="60">
        <v>3</v>
      </c>
      <c r="C117" s="66" t="str">
        <f>INDEX([1]Helper!$B$13:$B$15, MATCH([1]WIP!B117, [1]Helper!$A$13:$A$15,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MATCH(WIP!G117, Helper!$A:$A, 0))</f>
        <v>Standard (EADGBE)</v>
      </c>
      <c r="I117" s="60" t="s">
        <v>63</v>
      </c>
      <c r="J117" s="79" t="s">
        <v>19</v>
      </c>
      <c r="K117" s="60" t="str">
        <f>INDEX([1]Helper!$F:$F, MATCH([1]WIP!J117, [1]Helper!$E:$E, 0))</f>
        <v>#FFD966</v>
      </c>
      <c r="L117" s="66" t="s">
        <v>507</v>
      </c>
      <c r="M117" s="66" t="s">
        <v>619</v>
      </c>
      <c r="N117" s="63" t="s">
        <v>869</v>
      </c>
      <c r="O117" s="40" t="s">
        <v>1125</v>
      </c>
    </row>
    <row r="118" spans="1:15" x14ac:dyDescent="0.4">
      <c r="A118" s="60">
        <v>115</v>
      </c>
      <c r="B118" s="60">
        <v>3</v>
      </c>
      <c r="C118" s="66" t="str">
        <f>INDEX([1]Helper!$B$13:$B$15, MATCH([1]WIP!B118, [1]Helper!$A$13:$A$15,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MATCH(WIP!G118, Helper!$A:$A, 0))</f>
        <v>Standard (EADGBE)</v>
      </c>
      <c r="I118" s="60" t="s">
        <v>623</v>
      </c>
      <c r="J118" s="80" t="s">
        <v>15</v>
      </c>
      <c r="K118" s="60" t="str">
        <f>INDEX([1]Helper!$F:$F, MATCH([1]WIP!J118, [1]Helper!$E:$E, 0))</f>
        <v>#C8C8C8</v>
      </c>
      <c r="L118" s="66" t="s">
        <v>508</v>
      </c>
      <c r="M118" s="66" t="s">
        <v>619</v>
      </c>
      <c r="N118" s="63" t="s">
        <v>870</v>
      </c>
      <c r="O118" s="40" t="s">
        <v>871</v>
      </c>
    </row>
    <row r="119" spans="1:15" x14ac:dyDescent="0.4">
      <c r="A119" s="60">
        <v>116</v>
      </c>
      <c r="B119" s="60">
        <v>2</v>
      </c>
      <c r="C119" s="66" t="str">
        <f>INDEX([1]Helper!$B$13:$B$15, MATCH([1]WIP!B119, [1]Helper!$A$13:$A$15,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MATCH(WIP!G119, Helper!$A:$A, 0))</f>
        <v>Standard (EADGBE)</v>
      </c>
      <c r="I119" s="60" t="s">
        <v>59</v>
      </c>
      <c r="J119" s="86" t="s">
        <v>373</v>
      </c>
      <c r="K119" s="60" t="str">
        <f>INDEX([1]Helper!$F:$F, MATCH([1]WIP!J119, [1]Helper!$E:$E, 0))</f>
        <v>#A699CE</v>
      </c>
      <c r="L119" s="66" t="s">
        <v>509</v>
      </c>
      <c r="M119" s="66" t="s">
        <v>648</v>
      </c>
      <c r="N119" s="63" t="s">
        <v>872</v>
      </c>
      <c r="O119" s="40" t="s">
        <v>873</v>
      </c>
    </row>
    <row r="120" spans="1:15" x14ac:dyDescent="0.4">
      <c r="A120" s="60">
        <v>117</v>
      </c>
      <c r="B120" s="60">
        <v>3</v>
      </c>
      <c r="C120" s="66" t="str">
        <f>INDEX([1]Helper!$B$13:$B$15, MATCH([1]WIP!B120, [1]Helper!$A$13:$A$15,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MATCH(WIP!G120, Helper!$A:$A, 0))</f>
        <v>Standard (EADGBE)</v>
      </c>
      <c r="I120" s="60" t="s">
        <v>874</v>
      </c>
      <c r="J120" s="81" t="s">
        <v>13</v>
      </c>
      <c r="K120" s="60" t="str">
        <f>INDEX([1]Helper!$F:$F, MATCH([1]WIP!J120, [1]Helper!$E:$E, 0))</f>
        <v>#F4B084</v>
      </c>
      <c r="L120" s="66" t="s">
        <v>510</v>
      </c>
      <c r="M120" s="66" t="s">
        <v>619</v>
      </c>
      <c r="N120" s="63" t="s">
        <v>875</v>
      </c>
      <c r="O120" s="40" t="s">
        <v>876</v>
      </c>
    </row>
    <row r="121" spans="1:15" x14ac:dyDescent="0.4">
      <c r="A121" s="60">
        <v>118</v>
      </c>
      <c r="B121" s="60">
        <v>3</v>
      </c>
      <c r="C121" s="66" t="str">
        <f>INDEX([1]Helper!$B$13:$B$15, MATCH([1]WIP!B121, [1]Helper!$A$13:$A$15,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MATCH(WIP!G121, Helper!$A:$A, 0))</f>
        <v>Standard (EADGBE)</v>
      </c>
      <c r="I121" s="60" t="s">
        <v>631</v>
      </c>
      <c r="J121" s="89" t="s">
        <v>18</v>
      </c>
      <c r="K121" s="60" t="str">
        <f>INDEX([1]Helper!$F:$F, MATCH([1]WIP!J121, [1]Helper!$E:$E, 0))</f>
        <v>#1A95A4</v>
      </c>
      <c r="L121" s="66" t="s">
        <v>511</v>
      </c>
      <c r="M121" s="66" t="s">
        <v>619</v>
      </c>
      <c r="N121" s="63" t="s">
        <v>877</v>
      </c>
      <c r="O121" s="40" t="s">
        <v>878</v>
      </c>
    </row>
    <row r="122" spans="1:15" x14ac:dyDescent="0.4">
      <c r="A122" s="60">
        <v>119</v>
      </c>
      <c r="B122" s="60">
        <v>2</v>
      </c>
      <c r="C122" s="66" t="str">
        <f>INDEX([1]Helper!$B$13:$B$15, MATCH([1]WIP!B122, [1]Helper!$A$13:$A$15,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MATCH(WIP!G122, Helper!$A:$A, 0))</f>
        <v>Drop D (DADGBE)</v>
      </c>
      <c r="I122" s="60" t="s">
        <v>62</v>
      </c>
      <c r="J122" s="80" t="s">
        <v>15</v>
      </c>
      <c r="K122" s="60" t="str">
        <f>INDEX([1]Helper!$F:$F, MATCH([1]WIP!J122, [1]Helper!$E:$E, 0))</f>
        <v>#C8C8C8</v>
      </c>
      <c r="L122" s="66" t="s">
        <v>512</v>
      </c>
      <c r="M122" s="66" t="s">
        <v>619</v>
      </c>
      <c r="N122" s="63" t="s">
        <v>879</v>
      </c>
      <c r="O122" s="40" t="s">
        <v>1128</v>
      </c>
    </row>
    <row r="123" spans="1:15" x14ac:dyDescent="0.4">
      <c r="A123" s="60">
        <v>120</v>
      </c>
      <c r="B123" s="60">
        <v>3</v>
      </c>
      <c r="C123" s="66" t="str">
        <f>INDEX([1]Helper!$B$13:$B$15, MATCH([1]WIP!B123, [1]Helper!$A$13:$A$15,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MATCH(WIP!G123, Helper!$A:$A, 0))</f>
        <v>Drop D (DADGBE)</v>
      </c>
      <c r="I123" s="60" t="s">
        <v>62</v>
      </c>
      <c r="J123" s="80" t="s">
        <v>15</v>
      </c>
      <c r="K123" s="60" t="str">
        <f>INDEX([1]Helper!$F:$F, MATCH([1]WIP!J123, [1]Helper!$E:$E, 0))</f>
        <v>#C8C8C8</v>
      </c>
      <c r="L123" s="66" t="s">
        <v>513</v>
      </c>
      <c r="M123" s="66" t="s">
        <v>619</v>
      </c>
      <c r="N123" s="66" t="s">
        <v>880</v>
      </c>
      <c r="O123" s="40" t="s">
        <v>881</v>
      </c>
    </row>
    <row r="124" spans="1:15" x14ac:dyDescent="0.4">
      <c r="A124" s="60">
        <v>121</v>
      </c>
      <c r="B124" s="60">
        <v>3</v>
      </c>
      <c r="C124" s="66" t="str">
        <f>INDEX([1]Helper!$B$13:$B$15, MATCH([1]WIP!B124, [1]Helper!$A$13:$A$15,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MATCH(WIP!G124, Helper!$A:$A, 0))</f>
        <v>Drop D (DADGBE)</v>
      </c>
      <c r="I124" s="60" t="s">
        <v>62</v>
      </c>
      <c r="J124" s="81" t="s">
        <v>13</v>
      </c>
      <c r="K124" s="60" t="str">
        <f>INDEX([1]Helper!$F:$F, MATCH([1]WIP!J124, [1]Helper!$E:$E, 0))</f>
        <v>#F4B084</v>
      </c>
      <c r="L124" s="66" t="s">
        <v>514</v>
      </c>
      <c r="M124" s="66" t="s">
        <v>619</v>
      </c>
      <c r="N124" s="66" t="s">
        <v>882</v>
      </c>
      <c r="O124" s="40" t="s">
        <v>1129</v>
      </c>
    </row>
    <row r="125" spans="1:15" x14ac:dyDescent="0.4">
      <c r="A125" s="60">
        <v>122</v>
      </c>
      <c r="B125" s="60">
        <v>1</v>
      </c>
      <c r="C125" s="66" t="str">
        <f>INDEX([1]Helper!$B$13:$B$15, MATCH([1]WIP!B125, [1]Helper!$A$13:$A$15,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MATCH(WIP!G125, Helper!$A:$A, 0))</f>
        <v>Standard (EADGBE)</v>
      </c>
      <c r="I125" s="60" t="s">
        <v>64</v>
      </c>
      <c r="J125" s="81" t="s">
        <v>13</v>
      </c>
      <c r="K125" s="60" t="str">
        <f>INDEX([1]Helper!$F:$F, MATCH([1]WIP!J125, [1]Helper!$E:$E, 0))</f>
        <v>#F4B084</v>
      </c>
      <c r="L125" s="66" t="s">
        <v>515</v>
      </c>
      <c r="M125" s="66" t="s">
        <v>619</v>
      </c>
      <c r="N125" s="63" t="s">
        <v>883</v>
      </c>
      <c r="O125" s="40" t="s">
        <v>1119</v>
      </c>
    </row>
    <row r="126" spans="1:15" x14ac:dyDescent="0.4">
      <c r="A126" s="60">
        <v>123</v>
      </c>
      <c r="B126" s="60">
        <v>1</v>
      </c>
      <c r="C126" s="66" t="str">
        <f>INDEX([1]Helper!$B$13:$B$15, MATCH([1]WIP!B126, [1]Helper!$A$13:$A$15,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MATCH(WIP!G126, Helper!$A:$A, 0))</f>
        <v>Standard (EADGBE)</v>
      </c>
      <c r="I126" s="60" t="s">
        <v>884</v>
      </c>
      <c r="J126" s="81" t="s">
        <v>13</v>
      </c>
      <c r="K126" s="60" t="str">
        <f>INDEX([1]Helper!$F:$F, MATCH([1]WIP!J126, [1]Helper!$E:$E, 0))</f>
        <v>#F4B084</v>
      </c>
      <c r="L126" s="66" t="s">
        <v>516</v>
      </c>
      <c r="M126" s="66" t="s">
        <v>619</v>
      </c>
      <c r="N126" s="63" t="s">
        <v>885</v>
      </c>
      <c r="O126" s="40" t="s">
        <v>886</v>
      </c>
    </row>
    <row r="127" spans="1:15" x14ac:dyDescent="0.4">
      <c r="A127" s="60">
        <v>124</v>
      </c>
      <c r="B127" s="60">
        <v>1</v>
      </c>
      <c r="C127" s="66" t="str">
        <f>INDEX([1]Helper!$B$13:$B$15, MATCH([1]WIP!B127, [1]Helper!$A$13:$A$15,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MATCH(WIP!G127, Helper!$A:$A, 0))</f>
        <v>Half Step Down (D#G#C#F#A#D#)</v>
      </c>
      <c r="I127" s="60" t="s">
        <v>60</v>
      </c>
      <c r="J127" s="86" t="s">
        <v>373</v>
      </c>
      <c r="K127" s="60" t="str">
        <f>INDEX([1]Helper!$F:$F, MATCH([1]WIP!J127, [1]Helper!$E:$E, 0))</f>
        <v>#A699CE</v>
      </c>
      <c r="L127" s="66" t="s">
        <v>517</v>
      </c>
      <c r="M127" s="66" t="s">
        <v>619</v>
      </c>
      <c r="N127" s="66" t="s">
        <v>887</v>
      </c>
      <c r="O127" s="40" t="s">
        <v>888</v>
      </c>
    </row>
    <row r="128" spans="1:15" x14ac:dyDescent="0.4">
      <c r="A128" s="60">
        <v>125</v>
      </c>
      <c r="B128" s="60">
        <v>1</v>
      </c>
      <c r="C128" s="66" t="str">
        <f>INDEX([1]Helper!$B$13:$B$15, MATCH([1]WIP!B128, [1]Helper!$A$13:$A$15,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MATCH(WIP!G128, Helper!$A:$A, 0))</f>
        <v>Standard (EADGBE)</v>
      </c>
      <c r="I128" s="60" t="s">
        <v>64</v>
      </c>
      <c r="J128" s="81" t="s">
        <v>13</v>
      </c>
      <c r="K128" s="60" t="str">
        <f>INDEX([1]Helper!$F:$F, MATCH([1]WIP!J128, [1]Helper!$E:$E, 0))</f>
        <v>#F4B084</v>
      </c>
      <c r="L128" s="66" t="s">
        <v>518</v>
      </c>
      <c r="M128" s="66" t="s">
        <v>619</v>
      </c>
      <c r="N128" s="63" t="s">
        <v>889</v>
      </c>
      <c r="O128" s="40" t="s">
        <v>890</v>
      </c>
    </row>
    <row r="129" spans="1:15" ht="167.6" x14ac:dyDescent="0.4">
      <c r="A129" s="60">
        <v>126</v>
      </c>
      <c r="B129" s="60">
        <v>1</v>
      </c>
      <c r="C129" s="66" t="str">
        <f>INDEX([1]Helper!$B$13:$B$15, MATCH([1]WIP!B129, [1]Helper!$A$13:$A$15,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MATCH(WIP!G129, Helper!$A:$A, 0))</f>
        <v>Standard (EADGBE)</v>
      </c>
      <c r="I129" s="60" t="s">
        <v>61</v>
      </c>
      <c r="J129" s="81" t="s">
        <v>13</v>
      </c>
      <c r="K129" s="60" t="str">
        <f>INDEX([1]Helper!$F:$F, MATCH([1]WIP!J129, [1]Helper!$E:$E, 0))</f>
        <v>#F4B084</v>
      </c>
      <c r="L129" s="66" t="s">
        <v>519</v>
      </c>
      <c r="M129" s="66" t="s">
        <v>619</v>
      </c>
      <c r="N129" s="66" t="s">
        <v>891</v>
      </c>
      <c r="O129" s="91" t="s">
        <v>1235</v>
      </c>
    </row>
    <row r="130" spans="1:15" x14ac:dyDescent="0.4">
      <c r="A130" s="60">
        <v>127</v>
      </c>
      <c r="B130" s="60">
        <v>1</v>
      </c>
      <c r="C130" s="66" t="str">
        <f>INDEX([1]Helper!$B$13:$B$15, MATCH([1]WIP!B130, [1]Helper!$A$13:$A$15,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MATCH(WIP!G130, Helper!$A:$A, 0))</f>
        <v>Standard (EADGBE)</v>
      </c>
      <c r="I130" s="60" t="s">
        <v>59</v>
      </c>
      <c r="J130" s="81" t="s">
        <v>13</v>
      </c>
      <c r="K130" s="60" t="str">
        <f>INDEX([1]Helper!$F:$F, MATCH([1]WIP!J130, [1]Helper!$E:$E, 0))</f>
        <v>#F4B084</v>
      </c>
      <c r="L130" s="66" t="s">
        <v>520</v>
      </c>
      <c r="M130" s="66" t="s">
        <v>619</v>
      </c>
      <c r="N130" s="63" t="s">
        <v>892</v>
      </c>
      <c r="O130" s="40" t="s">
        <v>1120</v>
      </c>
    </row>
    <row r="131" spans="1:15" x14ac:dyDescent="0.4">
      <c r="A131" s="60">
        <v>128</v>
      </c>
      <c r="B131" s="60">
        <v>1</v>
      </c>
      <c r="C131" s="66" t="str">
        <f>INDEX([1]Helper!$B$13:$B$15, MATCH([1]WIP!B131, [1]Helper!$A$13:$A$15,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MATCH(WIP!G131, Helper!$A:$A, 0))</f>
        <v>Standard (EADGBE)</v>
      </c>
      <c r="I131" s="60" t="s">
        <v>631</v>
      </c>
      <c r="J131" s="84" t="s">
        <v>14</v>
      </c>
      <c r="K131" s="60" t="str">
        <f>INDEX([1]Helper!$F:$F, MATCH([1]WIP!J131, [1]Helper!$E:$E, 0))</f>
        <v>#FFF2CC</v>
      </c>
      <c r="L131" s="66" t="s">
        <v>521</v>
      </c>
      <c r="M131" s="66" t="s">
        <v>619</v>
      </c>
      <c r="N131" s="63" t="s">
        <v>893</v>
      </c>
      <c r="O131" s="40" t="s">
        <v>894</v>
      </c>
    </row>
    <row r="132" spans="1:15" x14ac:dyDescent="0.4">
      <c r="A132" s="60">
        <v>129</v>
      </c>
      <c r="B132" s="60">
        <v>1</v>
      </c>
      <c r="C132" s="61" t="str">
        <f>INDEX(Helper!$N$2:$N$4, MATCH(WIP!B132,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MATCH(WIP!G132, Helper!$A:$A, 0))</f>
        <v>Standard (EADGBE)</v>
      </c>
      <c r="I132" s="60" t="s">
        <v>631</v>
      </c>
      <c r="J132" s="84" t="s">
        <v>14</v>
      </c>
      <c r="K132" s="60" t="str">
        <f>INDEX(Helper!$F:$F, MATCH(WIP!J132, Helper!$E:$E, 0))</f>
        <v>#FFE000</v>
      </c>
      <c r="L132" s="61" t="s">
        <v>522</v>
      </c>
      <c r="M132" s="66" t="s">
        <v>648</v>
      </c>
      <c r="N132" s="61" t="s">
        <v>899</v>
      </c>
      <c r="O132" s="40" t="s">
        <v>900</v>
      </c>
    </row>
    <row r="133" spans="1:15" x14ac:dyDescent="0.4">
      <c r="A133" s="60">
        <v>130</v>
      </c>
      <c r="B133" s="60">
        <v>1</v>
      </c>
      <c r="C133" s="61" t="str">
        <f>INDEX(Helper!$N$2:$N$4, MATCH(WIP!B133,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MATCH(WIP!G133, Helper!$A:$A, 0))</f>
        <v>Standard (EADGBE)</v>
      </c>
      <c r="I133" s="60" t="s">
        <v>65</v>
      </c>
      <c r="J133" s="84" t="s">
        <v>14</v>
      </c>
      <c r="K133" s="60" t="str">
        <f>INDEX(Helper!$F:$F, MATCH(WIP!J133, Helper!$E:$E, 0))</f>
        <v>#FFE000</v>
      </c>
      <c r="L133" s="61" t="s">
        <v>523</v>
      </c>
      <c r="M133" s="66" t="s">
        <v>648</v>
      </c>
      <c r="N133" s="61" t="s">
        <v>902</v>
      </c>
      <c r="O133" s="40" t="s">
        <v>901</v>
      </c>
    </row>
    <row r="134" spans="1:15" x14ac:dyDescent="0.4">
      <c r="A134" s="60">
        <v>131</v>
      </c>
      <c r="B134" s="60">
        <v>1</v>
      </c>
      <c r="C134" s="61" t="str">
        <f>INDEX(Helper!$N$2:$N$4, MATCH(WIP!B134,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MATCH(WIP!G134, Helper!$A:$A, 0))</f>
        <v>Standard (EADGBE)</v>
      </c>
      <c r="I134" s="60" t="s">
        <v>66</v>
      </c>
      <c r="J134" s="84" t="s">
        <v>14</v>
      </c>
      <c r="K134" s="60" t="str">
        <f>INDEX(Helper!$F:$F, MATCH(WIP!J134, Helper!$E:$E, 0))</f>
        <v>#FFE000</v>
      </c>
      <c r="L134" s="61" t="s">
        <v>524</v>
      </c>
      <c r="M134" s="66" t="s">
        <v>619</v>
      </c>
      <c r="N134" s="62" t="s">
        <v>904</v>
      </c>
      <c r="O134" s="40" t="s">
        <v>903</v>
      </c>
    </row>
    <row r="135" spans="1:15" x14ac:dyDescent="0.4">
      <c r="A135" s="60">
        <v>132</v>
      </c>
      <c r="B135" s="60">
        <v>1</v>
      </c>
      <c r="C135" s="61" t="str">
        <f>INDEX(Helper!$N$2:$N$4, MATCH(WIP!B135,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MATCH(WIP!G135, Helper!$A:$A, 0))</f>
        <v>Standard (EADGBE)</v>
      </c>
      <c r="I135" s="60" t="s">
        <v>59</v>
      </c>
      <c r="J135" s="84" t="s">
        <v>14</v>
      </c>
      <c r="K135" s="60" t="str">
        <f>INDEX(Helper!$F:$F, MATCH(WIP!J135, Helper!$E:$E, 0))</f>
        <v>#FFE000</v>
      </c>
      <c r="L135" s="61" t="s">
        <v>525</v>
      </c>
      <c r="M135" s="66" t="s">
        <v>619</v>
      </c>
      <c r="N135" s="62" t="s">
        <v>906</v>
      </c>
      <c r="O135" s="40" t="s">
        <v>905</v>
      </c>
    </row>
    <row r="136" spans="1:15" x14ac:dyDescent="0.4">
      <c r="A136" s="60">
        <v>133</v>
      </c>
      <c r="B136" s="60">
        <v>1</v>
      </c>
      <c r="C136" s="61" t="str">
        <f>INDEX(Helper!$N$2:$N$4, MATCH(WIP!B136,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MATCH(WIP!G136, Helper!$A:$A, 0))</f>
        <v>Half Step Down (D#G#C#F#A#D#)</v>
      </c>
      <c r="I136" s="60" t="s">
        <v>908</v>
      </c>
      <c r="J136" s="75" t="s">
        <v>10</v>
      </c>
      <c r="K136" s="60" t="str">
        <f>INDEX(Helper!$F:$F, MATCH(WIP!J136, Helper!$E:$E, 0))</f>
        <v>#F5943C</v>
      </c>
      <c r="L136" s="61" t="s">
        <v>526</v>
      </c>
      <c r="M136" s="66" t="s">
        <v>619</v>
      </c>
      <c r="N136" s="61" t="s">
        <v>907</v>
      </c>
      <c r="O136" s="40" t="s">
        <v>1139</v>
      </c>
    </row>
    <row r="137" spans="1:15" x14ac:dyDescent="0.4">
      <c r="A137" s="60">
        <v>134</v>
      </c>
      <c r="B137" s="60">
        <v>2</v>
      </c>
      <c r="C137" s="61" t="str">
        <f>INDEX(Helper!$N$2:$N$4, MATCH(WIP!B137,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MATCH(WIP!G137, Helper!$A:$A, 0))</f>
        <v>Standard (EADGBE)</v>
      </c>
      <c r="I137" s="60" t="s">
        <v>63</v>
      </c>
      <c r="J137" s="80" t="s">
        <v>15</v>
      </c>
      <c r="K137" s="60" t="str">
        <f>INDEX(Helper!$F:$F, MATCH(WIP!J137, Helper!$E:$E, 0))</f>
        <v>#C2C2A1</v>
      </c>
      <c r="L137" s="61" t="s">
        <v>527</v>
      </c>
      <c r="M137" s="66" t="s">
        <v>619</v>
      </c>
      <c r="N137" s="62" t="s">
        <v>910</v>
      </c>
      <c r="O137" s="40" t="s">
        <v>909</v>
      </c>
    </row>
    <row r="138" spans="1:15" x14ac:dyDescent="0.4">
      <c r="A138" s="60">
        <v>135</v>
      </c>
      <c r="B138" s="60">
        <v>1</v>
      </c>
      <c r="C138" s="61" t="str">
        <f>INDEX(Helper!$N$2:$N$4, MATCH(WIP!B138,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MATCH(WIP!G138, Helper!$A:$A, 0))</f>
        <v>Standard (EADGBE)</v>
      </c>
      <c r="I138" s="60" t="s">
        <v>61</v>
      </c>
      <c r="J138" s="86" t="s">
        <v>373</v>
      </c>
      <c r="K138" s="60" t="str">
        <f>INDEX(Helper!$F:$F, MATCH(WIP!J138, Helper!$E:$E, 0))</f>
        <v>#C476D4</v>
      </c>
      <c r="L138" s="61" t="s">
        <v>528</v>
      </c>
      <c r="M138" s="66" t="s">
        <v>619</v>
      </c>
      <c r="N138" s="62" t="s">
        <v>911</v>
      </c>
      <c r="O138" s="40" t="s">
        <v>915</v>
      </c>
    </row>
    <row r="139" spans="1:15" x14ac:dyDescent="0.4">
      <c r="A139" s="60">
        <v>136</v>
      </c>
      <c r="B139" s="60">
        <v>1</v>
      </c>
      <c r="C139" s="61" t="str">
        <f>INDEX(Helper!$N$2:$N$4, MATCH(WIP!B139,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MATCH(WIP!G139, Helper!$A:$A, 0))</f>
        <v>Standard (EADGBE)</v>
      </c>
      <c r="I139" s="60" t="s">
        <v>395</v>
      </c>
      <c r="J139" s="75" t="s">
        <v>10</v>
      </c>
      <c r="K139" s="60" t="str">
        <f>INDEX(Helper!$F:$F, MATCH(WIP!J139, Helper!$E:$E, 0))</f>
        <v>#F5943C</v>
      </c>
      <c r="L139" s="61" t="s">
        <v>529</v>
      </c>
      <c r="M139" s="66" t="s">
        <v>619</v>
      </c>
      <c r="N139" s="62" t="s">
        <v>913</v>
      </c>
      <c r="O139" s="40" t="s">
        <v>914</v>
      </c>
    </row>
    <row r="140" spans="1:15" x14ac:dyDescent="0.4">
      <c r="A140" s="60">
        <v>137</v>
      </c>
      <c r="B140" s="60">
        <v>1</v>
      </c>
      <c r="C140" s="61" t="str">
        <f>INDEX(Helper!$N$2:$N$4, MATCH(WIP!B140,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MATCH(WIP!G140, Helper!$A:$A, 0))</f>
        <v>Standard (EADGBE)</v>
      </c>
      <c r="I140" s="60" t="s">
        <v>395</v>
      </c>
      <c r="J140" s="75" t="s">
        <v>10</v>
      </c>
      <c r="K140" s="60" t="str">
        <f>INDEX(Helper!$F:$F, MATCH(WIP!J140, Helper!$E:$E, 0))</f>
        <v>#F5943C</v>
      </c>
      <c r="L140" s="61" t="s">
        <v>530</v>
      </c>
      <c r="M140" s="66" t="s">
        <v>619</v>
      </c>
      <c r="N140" s="61" t="s">
        <v>916</v>
      </c>
      <c r="O140" s="21" t="s">
        <v>1121</v>
      </c>
    </row>
    <row r="141" spans="1:15" ht="409.6" x14ac:dyDescent="0.4">
      <c r="A141" s="60">
        <v>138</v>
      </c>
      <c r="B141" s="60">
        <v>2</v>
      </c>
      <c r="C141" s="61" t="str">
        <f>INDEX(Helper!$N$2:$N$4, MATCH(WIP!B141,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MATCH(WIP!G141, Helper!$A:$A, 0))</f>
        <v>Drop D (DADGBE)</v>
      </c>
      <c r="I141" s="60" t="s">
        <v>631</v>
      </c>
      <c r="J141" s="87" t="s">
        <v>27</v>
      </c>
      <c r="K141" s="60" t="str">
        <f>INDEX(Helper!$F:$F, MATCH(WIP!J141,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1233</v>
      </c>
    </row>
    <row r="142" spans="1:15" x14ac:dyDescent="0.4">
      <c r="A142" s="60">
        <v>139</v>
      </c>
      <c r="B142" s="60">
        <v>1</v>
      </c>
      <c r="C142" s="61" t="str">
        <f>INDEX(Helper!$N$2:$N$4, MATCH(WIP!B142,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MATCH(WIP!G142, Helper!$A:$A, 0))</f>
        <v>Drop D (DADGBE)</v>
      </c>
      <c r="I142" s="60" t="s">
        <v>66</v>
      </c>
      <c r="J142" s="87" t="s">
        <v>27</v>
      </c>
      <c r="K142" s="60" t="str">
        <f>INDEX(Helper!$F:$F, MATCH(WIP!J142, Helper!$E:$E, 0))</f>
        <v>#B2DB4B</v>
      </c>
      <c r="L142" s="61" t="s">
        <v>532</v>
      </c>
      <c r="M142" s="66" t="s">
        <v>619</v>
      </c>
      <c r="N142" s="62" t="s">
        <v>918</v>
      </c>
      <c r="O142" s="40" t="s">
        <v>1130</v>
      </c>
    </row>
    <row r="143" spans="1:15" x14ac:dyDescent="0.4">
      <c r="A143" s="60">
        <v>140</v>
      </c>
      <c r="B143" s="60">
        <v>1</v>
      </c>
      <c r="C143" s="61" t="str">
        <f>INDEX(Helper!$N$2:$N$4, MATCH(WIP!B143,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MATCH(WIP!G143, Helper!$A:$A, 0))</f>
        <v>Drop D (DADGBE)</v>
      </c>
      <c r="I143" s="60" t="s">
        <v>68</v>
      </c>
      <c r="J143" s="87" t="s">
        <v>27</v>
      </c>
      <c r="K143" s="60" t="str">
        <f>INDEX(Helper!$F:$F, MATCH(WIP!J143, Helper!$E:$E, 0))</f>
        <v>#B2DB4B</v>
      </c>
      <c r="L143" s="61" t="s">
        <v>533</v>
      </c>
      <c r="M143" s="66" t="s">
        <v>619</v>
      </c>
      <c r="N143" s="62" t="s">
        <v>919</v>
      </c>
      <c r="O143" s="21" t="s">
        <v>1131</v>
      </c>
    </row>
    <row r="144" spans="1:15" x14ac:dyDescent="0.4">
      <c r="A144" s="60">
        <v>141</v>
      </c>
      <c r="B144" s="60">
        <v>1</v>
      </c>
      <c r="C144" s="61" t="str">
        <f>INDEX(Helper!$N$2:$N$4, MATCH(WIP!B144,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MATCH(WIP!G144, Helper!$A:$A, 0))</f>
        <v>Drop D (DADGBE)</v>
      </c>
      <c r="I144" s="60" t="s">
        <v>64</v>
      </c>
      <c r="J144" s="87" t="s">
        <v>27</v>
      </c>
      <c r="K144" s="60" t="str">
        <f>INDEX(Helper!$F:$F, MATCH(WIP!J144, Helper!$E:$E, 0))</f>
        <v>#B2DB4B</v>
      </c>
      <c r="L144" s="61" t="s">
        <v>534</v>
      </c>
      <c r="M144" s="66" t="s">
        <v>619</v>
      </c>
      <c r="N144" s="62" t="s">
        <v>920</v>
      </c>
      <c r="O144" s="40" t="s">
        <v>1132</v>
      </c>
    </row>
    <row r="145" spans="1:15" x14ac:dyDescent="0.4">
      <c r="A145" s="60">
        <v>142</v>
      </c>
      <c r="B145" s="60">
        <v>1</v>
      </c>
      <c r="C145" s="61" t="str">
        <f>INDEX(Helper!$N$2:$N$4, MATCH(WIP!B145,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MATCH(WIP!G145, Helper!$A:$A, 0))</f>
        <v>Standard (EADGBE)</v>
      </c>
      <c r="I145" s="60" t="s">
        <v>68</v>
      </c>
      <c r="J145" s="87" t="s">
        <v>27</v>
      </c>
      <c r="K145" s="60" t="str">
        <f>INDEX(Helper!$F:$F, MATCH(WIP!J145, Helper!$E:$E, 0))</f>
        <v>#B2DB4B</v>
      </c>
      <c r="L145" s="61" t="s">
        <v>535</v>
      </c>
      <c r="M145" s="66" t="s">
        <v>619</v>
      </c>
      <c r="N145" s="61" t="s">
        <v>922</v>
      </c>
      <c r="O145" s="40" t="s">
        <v>921</v>
      </c>
    </row>
    <row r="146" spans="1:15" x14ac:dyDescent="0.4">
      <c r="A146" s="60">
        <v>143</v>
      </c>
      <c r="B146" s="60">
        <v>1</v>
      </c>
      <c r="C146" s="61" t="str">
        <f>INDEX(Helper!$N$2:$N$4, MATCH(WIP!B146,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MATCH(WIP!G146, Helper!$A:$A, 0))</f>
        <v>Standard (EADGBE)</v>
      </c>
      <c r="I146" s="60" t="s">
        <v>395</v>
      </c>
      <c r="J146" s="87" t="s">
        <v>27</v>
      </c>
      <c r="K146" s="60" t="str">
        <f>INDEX(Helper!$F:$F, MATCH(WIP!J146, Helper!$E:$E, 0))</f>
        <v>#B2DB4B</v>
      </c>
      <c r="L146" s="61" t="s">
        <v>536</v>
      </c>
      <c r="M146" s="66" t="s">
        <v>619</v>
      </c>
      <c r="N146" s="61" t="s">
        <v>924</v>
      </c>
      <c r="O146" s="40" t="s">
        <v>923</v>
      </c>
    </row>
    <row r="147" spans="1:15" x14ac:dyDescent="0.4">
      <c r="A147" s="60">
        <v>144</v>
      </c>
      <c r="B147" s="60">
        <v>1</v>
      </c>
      <c r="C147" s="61" t="str">
        <f>INDEX(Helper!$N$2:$N$4, MATCH(WIP!B147,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MATCH(WIP!G147, Helper!$A:$A, 0))</f>
        <v>Standard (EADGBE)</v>
      </c>
      <c r="I147" s="60" t="s">
        <v>908</v>
      </c>
      <c r="J147" s="87" t="s">
        <v>27</v>
      </c>
      <c r="K147" s="60" t="str">
        <f>INDEX(Helper!$F:$F, MATCH(WIP!J147, Helper!$E:$E, 0))</f>
        <v>#B2DB4B</v>
      </c>
      <c r="L147" s="61" t="s">
        <v>537</v>
      </c>
      <c r="M147" s="66" t="s">
        <v>619</v>
      </c>
      <c r="N147" s="62" t="s">
        <v>926</v>
      </c>
      <c r="O147" s="40" t="s">
        <v>925</v>
      </c>
    </row>
    <row r="148" spans="1:15" x14ac:dyDescent="0.4">
      <c r="A148" s="60">
        <v>145</v>
      </c>
      <c r="B148" s="60">
        <v>2</v>
      </c>
      <c r="C148" s="61" t="str">
        <f>INDEX(Helper!$N$2:$N$4, MATCH(WIP!B148,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MATCH(WIP!G148, Helper!$A:$A, 0))</f>
        <v>Standard (EADGBE)</v>
      </c>
      <c r="I148" s="60" t="s">
        <v>65</v>
      </c>
      <c r="J148" s="79" t="s">
        <v>19</v>
      </c>
      <c r="K148" s="60" t="str">
        <f>INDEX(Helper!$F:$F, MATCH(WIP!J148, Helper!$E:$E, 0))</f>
        <v>#FFDD21</v>
      </c>
      <c r="L148" s="61" t="s">
        <v>927</v>
      </c>
      <c r="M148" s="66" t="s">
        <v>619</v>
      </c>
      <c r="N148" s="61" t="s">
        <v>928</v>
      </c>
      <c r="O148" s="40" t="s">
        <v>929</v>
      </c>
    </row>
    <row r="149" spans="1:15" x14ac:dyDescent="0.4">
      <c r="A149" s="60">
        <v>146</v>
      </c>
      <c r="B149" s="60">
        <v>1</v>
      </c>
      <c r="C149" s="61" t="str">
        <f>INDEX(Helper!$N$2:$N$4, MATCH(WIP!B149,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MATCH(WIP!G149, Helper!$A:$A, 0))</f>
        <v>Standard (EADGBE)</v>
      </c>
      <c r="I149" s="60" t="s">
        <v>631</v>
      </c>
      <c r="J149" s="77" t="s">
        <v>11</v>
      </c>
      <c r="K149" s="60" t="str">
        <f>INDEX(Helper!$F:$F, MATCH(WIP!J149, Helper!$E:$E, 0))</f>
        <v>#E8AD1D</v>
      </c>
      <c r="L149" s="61" t="s">
        <v>538</v>
      </c>
      <c r="M149" s="66" t="s">
        <v>619</v>
      </c>
      <c r="N149" s="62" t="s">
        <v>931</v>
      </c>
      <c r="O149" s="40" t="s">
        <v>930</v>
      </c>
    </row>
    <row r="150" spans="1:15" x14ac:dyDescent="0.4">
      <c r="A150" s="60">
        <v>147</v>
      </c>
      <c r="B150" s="60">
        <v>1</v>
      </c>
      <c r="C150" s="61" t="str">
        <f>INDEX(Helper!$N$2:$N$4, MATCH(WIP!B150,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MATCH(WIP!G150, Helper!$A:$A, 0))</f>
        <v>Half Step Down (D#G#C#F#A#D#)</v>
      </c>
      <c r="I150" s="60" t="s">
        <v>70</v>
      </c>
      <c r="J150" s="77" t="s">
        <v>11</v>
      </c>
      <c r="K150" s="60" t="str">
        <f>INDEX(Helper!$F:$F, MATCH(WIP!J150, Helper!$E:$E, 0))</f>
        <v>#E8AD1D</v>
      </c>
      <c r="L150" s="61" t="s">
        <v>539</v>
      </c>
      <c r="M150" s="66" t="s">
        <v>619</v>
      </c>
      <c r="N150" s="61" t="s">
        <v>932</v>
      </c>
      <c r="O150" s="21" t="s">
        <v>1140</v>
      </c>
    </row>
    <row r="151" spans="1:15" x14ac:dyDescent="0.4">
      <c r="A151" s="60">
        <v>148</v>
      </c>
      <c r="B151" s="60">
        <v>1</v>
      </c>
      <c r="C151" s="61" t="str">
        <f>INDEX(Helper!$N$2:$N$4, MATCH(WIP!B151,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MATCH(WIP!G151, Helper!$A:$A, 0))</f>
        <v>Half Step Down (D#G#C#F#A#D#)</v>
      </c>
      <c r="I151" s="60" t="s">
        <v>64</v>
      </c>
      <c r="J151" s="75" t="s">
        <v>10</v>
      </c>
      <c r="K151" s="60" t="str">
        <f>INDEX(Helper!$F:$F, MATCH(WIP!J151, Helper!$E:$E, 0))</f>
        <v>#F5943C</v>
      </c>
      <c r="L151" s="61" t="s">
        <v>540</v>
      </c>
      <c r="M151" s="66" t="s">
        <v>619</v>
      </c>
      <c r="N151" s="61" t="s">
        <v>933</v>
      </c>
      <c r="O151" s="40" t="s">
        <v>1141</v>
      </c>
    </row>
    <row r="152" spans="1:15" x14ac:dyDescent="0.4">
      <c r="A152" s="60">
        <v>149</v>
      </c>
      <c r="B152" s="60">
        <v>1</v>
      </c>
      <c r="C152" s="61" t="str">
        <f>INDEX(Helper!$N$2:$N$4, MATCH(WIP!B152,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MATCH(WIP!G152, Helper!$A:$A, 0))</f>
        <v>Standard (EADGBE)</v>
      </c>
      <c r="I152" s="60" t="s">
        <v>631</v>
      </c>
      <c r="J152" s="81" t="s">
        <v>13</v>
      </c>
      <c r="K152" s="60" t="str">
        <f>INDEX(Helper!$F:$F, MATCH(WIP!J152, Helper!$E:$E, 0))</f>
        <v>#FF4F53</v>
      </c>
      <c r="L152" s="61" t="s">
        <v>541</v>
      </c>
      <c r="M152" s="66" t="s">
        <v>619</v>
      </c>
      <c r="N152" s="61" t="s">
        <v>935</v>
      </c>
      <c r="O152" s="40" t="s">
        <v>934</v>
      </c>
    </row>
    <row r="153" spans="1:15" x14ac:dyDescent="0.4">
      <c r="A153" s="60">
        <v>150</v>
      </c>
      <c r="B153" s="60">
        <v>1</v>
      </c>
      <c r="C153" s="61" t="str">
        <f>INDEX(Helper!$N$2:$N$4, MATCH(WIP!B153,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MATCH(WIP!G153, Helper!$A:$A, 0))</f>
        <v>Standard (EADGBE)</v>
      </c>
      <c r="I153" s="60" t="s">
        <v>59</v>
      </c>
      <c r="J153" s="81" t="s">
        <v>13</v>
      </c>
      <c r="K153" s="60" t="str">
        <f>INDEX(Helper!$F:$F, MATCH(WIP!J153, Helper!$E:$E, 0))</f>
        <v>#FF4F53</v>
      </c>
      <c r="L153" s="61" t="s">
        <v>542</v>
      </c>
      <c r="M153" s="66" t="s">
        <v>619</v>
      </c>
      <c r="N153" s="61" t="s">
        <v>937</v>
      </c>
      <c r="O153" s="40" t="s">
        <v>936</v>
      </c>
    </row>
    <row r="154" spans="1:15" x14ac:dyDescent="0.4">
      <c r="A154" s="60">
        <v>151</v>
      </c>
      <c r="B154" s="60">
        <v>2</v>
      </c>
      <c r="C154" s="61" t="str">
        <f>INDEX(Helper!$N$2:$N$4, MATCH(WIP!B154,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MATCH(WIP!G154, Helper!$A:$A, 0))</f>
        <v>Drop D (DADGBE)</v>
      </c>
      <c r="I154" s="60" t="s">
        <v>61</v>
      </c>
      <c r="J154" s="75" t="s">
        <v>10</v>
      </c>
      <c r="K154" s="60" t="str">
        <f>INDEX(Helper!$F:$F, MATCH(WIP!J154, Helper!$E:$E, 0))</f>
        <v>#F5943C</v>
      </c>
      <c r="L154" s="61" t="s">
        <v>543</v>
      </c>
      <c r="M154" s="66" t="s">
        <v>619</v>
      </c>
      <c r="N154" s="62" t="s">
        <v>939</v>
      </c>
      <c r="O154" s="40" t="s">
        <v>938</v>
      </c>
    </row>
    <row r="155" spans="1:15" x14ac:dyDescent="0.4">
      <c r="A155" s="60">
        <v>152</v>
      </c>
      <c r="B155" s="60">
        <v>3</v>
      </c>
      <c r="C155" s="61" t="str">
        <f>INDEX(Helper!$N$2:$N$4, MATCH(WIP!B155,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MATCH(WIP!G155, Helper!$A:$A, 0))</f>
        <v>Half Step Down (D#G#C#F#A#D#)</v>
      </c>
      <c r="I155" s="60" t="s">
        <v>628</v>
      </c>
      <c r="J155" s="87" t="s">
        <v>27</v>
      </c>
      <c r="K155" s="60" t="str">
        <f>INDEX(Helper!$F:$F, MATCH(WIP!J155, Helper!$E:$E, 0))</f>
        <v>#B2DB4B</v>
      </c>
      <c r="L155" s="61" t="s">
        <v>544</v>
      </c>
      <c r="M155" s="66" t="s">
        <v>619</v>
      </c>
      <c r="N155" s="62" t="s">
        <v>940</v>
      </c>
      <c r="O155" s="40" t="s">
        <v>1142</v>
      </c>
    </row>
    <row r="156" spans="1:15" x14ac:dyDescent="0.4">
      <c r="A156" s="60">
        <v>153</v>
      </c>
      <c r="B156" s="60">
        <v>1</v>
      </c>
      <c r="C156" s="61" t="str">
        <f>INDEX(Helper!$N$2:$N$4, MATCH(WIP!B156,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MATCH(WIP!G156, Helper!$A:$A, 0))</f>
        <v>Half Step Down (D#G#C#F#A#D#)</v>
      </c>
      <c r="I156" s="60" t="s">
        <v>60</v>
      </c>
      <c r="J156" s="87" t="s">
        <v>27</v>
      </c>
      <c r="K156" s="60" t="str">
        <f>INDEX(Helper!$F:$F, MATCH(WIP!J156, Helper!$E:$E, 0))</f>
        <v>#B2DB4B</v>
      </c>
      <c r="L156" s="61" t="s">
        <v>545</v>
      </c>
      <c r="M156" s="66" t="s">
        <v>619</v>
      </c>
      <c r="N156" s="61" t="s">
        <v>942</v>
      </c>
      <c r="O156" s="40" t="s">
        <v>941</v>
      </c>
    </row>
    <row r="157" spans="1:15" x14ac:dyDescent="0.4">
      <c r="A157" s="60">
        <v>154</v>
      </c>
      <c r="B157" s="60">
        <v>1</v>
      </c>
      <c r="C157" s="61" t="str">
        <f>INDEX(Helper!$N$2:$N$4, MATCH(WIP!B157,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MATCH(WIP!G157, Helper!$A:$A, 0))</f>
        <v>Drop D (DADGBE)</v>
      </c>
      <c r="I157" s="60" t="s">
        <v>631</v>
      </c>
      <c r="J157" s="81" t="s">
        <v>13</v>
      </c>
      <c r="K157" s="60" t="str">
        <f>INDEX(Helper!$F:$F, MATCH(WIP!J157, Helper!$E:$E, 0))</f>
        <v>#FF4F53</v>
      </c>
      <c r="L157" s="61" t="s">
        <v>546</v>
      </c>
      <c r="M157" s="66" t="s">
        <v>619</v>
      </c>
      <c r="N157" s="62" t="s">
        <v>944</v>
      </c>
      <c r="O157" s="40" t="s">
        <v>943</v>
      </c>
    </row>
    <row r="158" spans="1:15" x14ac:dyDescent="0.4">
      <c r="A158" s="60">
        <v>155</v>
      </c>
      <c r="B158" s="60">
        <v>1</v>
      </c>
      <c r="C158" s="61" t="str">
        <f>INDEX(Helper!$N$2:$N$4, MATCH(WIP!B158,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MATCH(WIP!G158, Helper!$A:$A, 0))</f>
        <v>Standard (EADGBE)</v>
      </c>
      <c r="I158" s="60" t="s">
        <v>631</v>
      </c>
      <c r="J158" s="75" t="s">
        <v>10</v>
      </c>
      <c r="K158" s="60" t="str">
        <f>INDEX(Helper!$F:$F, MATCH(WIP!J158, Helper!$E:$E, 0))</f>
        <v>#F5943C</v>
      </c>
      <c r="L158" s="61" t="s">
        <v>547</v>
      </c>
      <c r="M158" s="66" t="s">
        <v>648</v>
      </c>
      <c r="N158" s="62" t="s">
        <v>948</v>
      </c>
      <c r="O158" s="40" t="s">
        <v>945</v>
      </c>
    </row>
    <row r="159" spans="1:15" x14ac:dyDescent="0.4">
      <c r="A159" s="60">
        <v>156</v>
      </c>
      <c r="B159" s="60">
        <v>1</v>
      </c>
      <c r="C159" s="61" t="str">
        <f>INDEX(Helper!$N$2:$N$4, MATCH(WIP!B159,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MATCH(WIP!G159, Helper!$A:$A, 0))</f>
        <v>Standard (EADGBE)</v>
      </c>
      <c r="I159" s="60" t="s">
        <v>631</v>
      </c>
      <c r="J159" s="86" t="s">
        <v>373</v>
      </c>
      <c r="K159" s="60" t="str">
        <f>INDEX(Helper!$F:$F, MATCH(WIP!J159, Helper!$E:$E, 0))</f>
        <v>#C476D4</v>
      </c>
      <c r="L159" s="61" t="s">
        <v>548</v>
      </c>
      <c r="M159" s="66" t="s">
        <v>619</v>
      </c>
      <c r="N159" s="62" t="s">
        <v>947</v>
      </c>
      <c r="O159" s="40" t="s">
        <v>946</v>
      </c>
    </row>
    <row r="160" spans="1:15" x14ac:dyDescent="0.4">
      <c r="A160" s="60">
        <v>157</v>
      </c>
      <c r="B160" s="60">
        <v>1</v>
      </c>
      <c r="C160" s="61" t="str">
        <f>INDEX(Helper!$N$2:$N$4, MATCH(WIP!B160,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MATCH(WIP!G160, Helper!$A:$A, 0))</f>
        <v>Standard (EADGBE)</v>
      </c>
      <c r="I160" s="60" t="s">
        <v>631</v>
      </c>
      <c r="J160" s="83" t="s">
        <v>12</v>
      </c>
      <c r="K160" s="60" t="str">
        <f>INDEX(Helper!$F:$F, MATCH(WIP!J160, Helper!$E:$E, 0))</f>
        <v>#FFE129</v>
      </c>
      <c r="L160" s="61" t="s">
        <v>549</v>
      </c>
      <c r="M160" s="66" t="s">
        <v>619</v>
      </c>
      <c r="N160" s="61" t="s">
        <v>950</v>
      </c>
      <c r="O160" s="40" t="s">
        <v>949</v>
      </c>
    </row>
    <row r="161" spans="1:15" x14ac:dyDescent="0.4">
      <c r="A161" s="60">
        <v>158</v>
      </c>
      <c r="B161" s="60">
        <v>1</v>
      </c>
      <c r="C161" s="61" t="str">
        <f>INDEX(Helper!$N$2:$N$4, MATCH(WIP!B161,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MATCH(WIP!G161, Helper!$A:$A, 0))</f>
        <v>Standard (EADGBE)</v>
      </c>
      <c r="I161" s="60" t="s">
        <v>908</v>
      </c>
      <c r="J161" s="86" t="s">
        <v>373</v>
      </c>
      <c r="K161" s="60" t="str">
        <f>INDEX(Helper!$F:$F, MATCH(WIP!J161, Helper!$E:$E, 0))</f>
        <v>#C476D4</v>
      </c>
      <c r="L161" s="61" t="s">
        <v>550</v>
      </c>
      <c r="M161" s="66" t="s">
        <v>619</v>
      </c>
      <c r="N161" s="62" t="s">
        <v>952</v>
      </c>
      <c r="O161" s="40" t="s">
        <v>951</v>
      </c>
    </row>
    <row r="162" spans="1:15" x14ac:dyDescent="0.4">
      <c r="A162" s="60">
        <v>159</v>
      </c>
      <c r="B162" s="60">
        <v>1</v>
      </c>
      <c r="C162" s="61" t="str">
        <f>INDEX(Helper!$N$2:$N$4, MATCH(WIP!B162,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MATCH(WIP!G162, Helper!$A:$A, 0))</f>
        <v>Standard (EADGBE)</v>
      </c>
      <c r="I162" s="60" t="s">
        <v>61</v>
      </c>
      <c r="J162" s="77" t="s">
        <v>11</v>
      </c>
      <c r="K162" s="60" t="str">
        <f>INDEX(Helper!$F:$F, MATCH(WIP!J162, Helper!$E:$E, 0))</f>
        <v>#E8AD1D</v>
      </c>
      <c r="L162" s="61" t="s">
        <v>551</v>
      </c>
      <c r="M162" s="66" t="s">
        <v>619</v>
      </c>
      <c r="N162" s="62" t="s">
        <v>953</v>
      </c>
      <c r="O162" s="46" t="s">
        <v>954</v>
      </c>
    </row>
    <row r="163" spans="1:15" x14ac:dyDescent="0.4">
      <c r="A163" s="60">
        <v>160</v>
      </c>
      <c r="B163" s="60">
        <v>1</v>
      </c>
      <c r="C163" s="61" t="str">
        <f>INDEX(Helper!$N$2:$N$4, MATCH(WIP!B163,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MATCH(WIP!G163, Helper!$A:$A, 0))</f>
        <v>Standard (EADGBE)</v>
      </c>
      <c r="I163" s="60" t="s">
        <v>59</v>
      </c>
      <c r="J163" s="80" t="s">
        <v>15</v>
      </c>
      <c r="K163" s="60" t="str">
        <f>INDEX(Helper!$F:$F, MATCH(WIP!J163, Helper!$E:$E, 0))</f>
        <v>#C2C2A1</v>
      </c>
      <c r="L163" s="61" t="s">
        <v>552</v>
      </c>
      <c r="M163" s="66" t="s">
        <v>619</v>
      </c>
      <c r="N163" s="61" t="s">
        <v>956</v>
      </c>
      <c r="O163" s="40" t="s">
        <v>955</v>
      </c>
    </row>
    <row r="164" spans="1:15" x14ac:dyDescent="0.4">
      <c r="A164" s="60">
        <v>161</v>
      </c>
      <c r="B164" s="60">
        <v>1</v>
      </c>
      <c r="C164" s="61" t="str">
        <f>INDEX(Helper!$N$2:$N$4, MATCH(WIP!B164,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MATCH(WIP!G164, Helper!$A:$A, 0))</f>
        <v>Standard (EADGBE)</v>
      </c>
      <c r="I164" s="60" t="s">
        <v>61</v>
      </c>
      <c r="J164" s="81" t="s">
        <v>13</v>
      </c>
      <c r="K164" s="60" t="str">
        <f>INDEX(Helper!$F:$F, MATCH(WIP!J164, Helper!$E:$E, 0))</f>
        <v>#FF4F53</v>
      </c>
      <c r="L164" s="61" t="s">
        <v>553</v>
      </c>
      <c r="M164" s="66" t="s">
        <v>619</v>
      </c>
      <c r="N164" s="62" t="s">
        <v>958</v>
      </c>
      <c r="O164" s="40" t="s">
        <v>957</v>
      </c>
    </row>
    <row r="165" spans="1:15" x14ac:dyDescent="0.4">
      <c r="A165" s="60">
        <v>162</v>
      </c>
      <c r="B165" s="60">
        <v>1</v>
      </c>
      <c r="C165" s="61" t="str">
        <f>INDEX(Helper!$N$2:$N$4, MATCH(WIP!B165,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MATCH(WIP!G165, Helper!$A:$A, 0))</f>
        <v>C#G#C#F#A#D#</v>
      </c>
      <c r="I165" s="60" t="s">
        <v>395</v>
      </c>
      <c r="J165" s="80" t="s">
        <v>15</v>
      </c>
      <c r="K165" s="60" t="str">
        <f>INDEX(Helper!$F:$F, MATCH(WIP!J165, Helper!$E:$E, 0))</f>
        <v>#C2C2A1</v>
      </c>
      <c r="L165" s="61" t="s">
        <v>554</v>
      </c>
      <c r="M165" s="66" t="s">
        <v>619</v>
      </c>
      <c r="N165" s="61" t="s">
        <v>960</v>
      </c>
      <c r="O165" s="40" t="s">
        <v>959</v>
      </c>
    </row>
    <row r="166" spans="1:15" x14ac:dyDescent="0.4">
      <c r="A166" s="60">
        <v>163</v>
      </c>
      <c r="B166" s="60">
        <v>1</v>
      </c>
      <c r="C166" s="61" t="str">
        <f>INDEX(Helper!$N$2:$N$4, MATCH(WIP!B166,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MATCH(WIP!G166, Helper!$A:$A, 0))</f>
        <v>C#G#C#F#A#D#</v>
      </c>
      <c r="I166" s="60" t="s">
        <v>63</v>
      </c>
      <c r="J166" s="80" t="s">
        <v>15</v>
      </c>
      <c r="K166" s="60" t="str">
        <f>INDEX(Helper!$F:$F, MATCH(WIP!J166, Helper!$E:$E, 0))</f>
        <v>#C2C2A1</v>
      </c>
      <c r="L166" s="61" t="s">
        <v>555</v>
      </c>
      <c r="M166" s="66" t="s">
        <v>619</v>
      </c>
      <c r="N166" s="61" t="s">
        <v>963</v>
      </c>
      <c r="O166" s="40" t="s">
        <v>962</v>
      </c>
    </row>
    <row r="167" spans="1:15" x14ac:dyDescent="0.4">
      <c r="A167" s="60">
        <v>164</v>
      </c>
      <c r="B167" s="60">
        <v>1</v>
      </c>
      <c r="C167" s="61" t="str">
        <f>INDEX(Helper!$N$2:$N$4, MATCH(WIP!B167,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MATCH(WIP!G167, Helper!$A:$A, 0))</f>
        <v>Standard (EADGBE)</v>
      </c>
      <c r="I167" s="60" t="s">
        <v>395</v>
      </c>
      <c r="J167" s="77" t="s">
        <v>11</v>
      </c>
      <c r="K167" s="60" t="str">
        <f>INDEX(Helper!$F:$F, MATCH(WIP!J167, Helper!$E:$E, 0))</f>
        <v>#E8AD1D</v>
      </c>
      <c r="L167" s="61" t="s">
        <v>556</v>
      </c>
      <c r="M167" s="61" t="s">
        <v>648</v>
      </c>
      <c r="N167" s="61" t="s">
        <v>967</v>
      </c>
      <c r="O167" s="40" t="s">
        <v>966</v>
      </c>
    </row>
    <row r="168" spans="1:15" x14ac:dyDescent="0.4">
      <c r="A168" s="60">
        <v>165</v>
      </c>
      <c r="B168" s="60">
        <v>1</v>
      </c>
      <c r="C168" s="61" t="str">
        <f>INDEX(Helper!$N$2:$N$4, MATCH(WIP!B168,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MATCH(WIP!G168, Helper!$A:$A, 0))</f>
        <v>(EABGBD#)</v>
      </c>
      <c r="I168" s="60" t="s">
        <v>60</v>
      </c>
      <c r="J168" s="81" t="s">
        <v>13</v>
      </c>
      <c r="K168" s="60" t="str">
        <f>INDEX(Helper!$F:$F, MATCH(WIP!J168, Helper!$E:$E, 0))</f>
        <v>#FF4F53</v>
      </c>
      <c r="L168" s="61" t="s">
        <v>557</v>
      </c>
      <c r="M168" s="61" t="s">
        <v>619</v>
      </c>
      <c r="N168" s="61" t="s">
        <v>969</v>
      </c>
      <c r="O168" s="40" t="s">
        <v>968</v>
      </c>
    </row>
    <row r="169" spans="1:15" x14ac:dyDescent="0.4">
      <c r="A169" s="60">
        <v>166</v>
      </c>
      <c r="B169" s="60">
        <v>1</v>
      </c>
      <c r="C169" s="61" t="str">
        <f>INDEX(Helper!$N$2:$N$4, MATCH(WIP!B169,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MATCH(WIP!G169, Helper!$A:$A, 0))</f>
        <v>Standard (EADGBE)</v>
      </c>
      <c r="I169" s="60" t="s">
        <v>63</v>
      </c>
      <c r="J169" s="81" t="s">
        <v>13</v>
      </c>
      <c r="K169" s="60" t="str">
        <f>INDEX(Helper!$F:$F, MATCH(WIP!J169, Helper!$E:$E, 0))</f>
        <v>#FF4F53</v>
      </c>
      <c r="L169" s="61" t="s">
        <v>558</v>
      </c>
      <c r="M169" s="61" t="s">
        <v>619</v>
      </c>
      <c r="N169" s="61" t="s">
        <v>972</v>
      </c>
      <c r="O169" s="40" t="s">
        <v>971</v>
      </c>
    </row>
    <row r="170" spans="1:15" x14ac:dyDescent="0.4">
      <c r="A170" s="60">
        <v>167</v>
      </c>
      <c r="B170" s="60">
        <v>1</v>
      </c>
      <c r="C170" s="61" t="str">
        <f>INDEX(Helper!$N$2:$N$4, MATCH(WIP!B170,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MATCH(WIP!G170, Helper!$A:$A, 0))</f>
        <v>Standard (EADGBE)</v>
      </c>
      <c r="I170" s="60" t="s">
        <v>639</v>
      </c>
      <c r="J170" s="81" t="s">
        <v>13</v>
      </c>
      <c r="K170" s="60" t="str">
        <f>INDEX(Helper!$F:$F, MATCH(WIP!J170, Helper!$E:$E, 0))</f>
        <v>#FF4F53</v>
      </c>
      <c r="L170" s="61" t="s">
        <v>559</v>
      </c>
      <c r="M170" s="61" t="s">
        <v>619</v>
      </c>
      <c r="N170" s="61" t="s">
        <v>974</v>
      </c>
      <c r="O170" s="40" t="s">
        <v>973</v>
      </c>
    </row>
    <row r="171" spans="1:15" x14ac:dyDescent="0.4">
      <c r="A171" s="60">
        <v>168</v>
      </c>
      <c r="B171" s="60">
        <v>2</v>
      </c>
      <c r="C171" s="61" t="str">
        <f>INDEX(Helper!$N$2:$N$4, MATCH(WIP!B171,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MATCH(WIP!G171, Helper!$A:$A, 0))</f>
        <v>Standard (EADGBE)</v>
      </c>
      <c r="I171" s="60" t="s">
        <v>628</v>
      </c>
      <c r="J171" s="76" t="s">
        <v>29</v>
      </c>
      <c r="K171" s="60" t="str">
        <f>INDEX(Helper!$F:$F, MATCH(WIP!J171, Helper!$E:$E, 0))</f>
        <v>#66E586</v>
      </c>
      <c r="L171" s="61" t="s">
        <v>560</v>
      </c>
      <c r="M171" s="61" t="s">
        <v>619</v>
      </c>
      <c r="N171" s="61" t="s">
        <v>976</v>
      </c>
      <c r="O171" s="40" t="s">
        <v>975</v>
      </c>
    </row>
    <row r="172" spans="1:15" x14ac:dyDescent="0.4">
      <c r="A172" s="60">
        <v>169</v>
      </c>
      <c r="B172" s="60">
        <v>2</v>
      </c>
      <c r="C172" s="61" t="str">
        <f>INDEX(Helper!$N$2:$N$4, MATCH(WIP!B172,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MATCH(WIP!G172, Helper!$A:$A, 0))</f>
        <v>Standard (EADGBE)</v>
      </c>
      <c r="I172" s="60" t="s">
        <v>63</v>
      </c>
      <c r="J172" s="76" t="s">
        <v>29</v>
      </c>
      <c r="K172" s="60" t="str">
        <f>INDEX(Helper!$F:$F, MATCH(WIP!J172, Helper!$E:$E, 0))</f>
        <v>#66E586</v>
      </c>
      <c r="L172" s="61" t="s">
        <v>561</v>
      </c>
      <c r="M172" s="61" t="s">
        <v>619</v>
      </c>
      <c r="N172" s="61" t="s">
        <v>978</v>
      </c>
      <c r="O172" s="40" t="s">
        <v>977</v>
      </c>
    </row>
    <row r="173" spans="1:15" x14ac:dyDescent="0.4">
      <c r="A173" s="60">
        <v>170</v>
      </c>
      <c r="B173" s="60">
        <v>2</v>
      </c>
      <c r="C173" s="61" t="str">
        <f>INDEX(Helper!$N$2:$N$4, MATCH(WIP!B173,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MATCH(WIP!G173, Helper!$A:$A, 0))</f>
        <v>Standard (EADGBE)</v>
      </c>
      <c r="I173" s="60" t="s">
        <v>63</v>
      </c>
      <c r="J173" s="81" t="s">
        <v>13</v>
      </c>
      <c r="K173" s="60" t="str">
        <f>INDEX(Helper!$F:$F, MATCH(WIP!J173, Helper!$E:$E, 0))</f>
        <v>#FF4F53</v>
      </c>
      <c r="L173" s="61" t="s">
        <v>562</v>
      </c>
      <c r="M173" s="61" t="s">
        <v>619</v>
      </c>
      <c r="N173" s="61" t="s">
        <v>980</v>
      </c>
      <c r="O173" s="40" t="s">
        <v>979</v>
      </c>
    </row>
    <row r="174" spans="1:15" x14ac:dyDescent="0.4">
      <c r="A174" s="60">
        <v>171</v>
      </c>
      <c r="B174" s="60">
        <v>2</v>
      </c>
      <c r="C174" s="61" t="str">
        <f>INDEX(Helper!$N$2:$N$4, MATCH(WIP!B174,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MATCH(WIP!G174, Helper!$A:$A, 0))</f>
        <v>Standard (EADGBE)</v>
      </c>
      <c r="I174" s="60" t="s">
        <v>623</v>
      </c>
      <c r="J174" s="75" t="s">
        <v>10</v>
      </c>
      <c r="K174" s="60" t="str">
        <f>INDEX(Helper!$F:$F, MATCH(WIP!J174, Helper!$E:$E, 0))</f>
        <v>#F5943C</v>
      </c>
      <c r="L174" s="61" t="s">
        <v>563</v>
      </c>
      <c r="M174" s="61" t="s">
        <v>619</v>
      </c>
      <c r="N174" s="61" t="s">
        <v>982</v>
      </c>
      <c r="O174" s="40" t="s">
        <v>981</v>
      </c>
    </row>
    <row r="175" spans="1:15" x14ac:dyDescent="0.4">
      <c r="A175" s="60">
        <v>172</v>
      </c>
      <c r="B175" s="60">
        <v>2</v>
      </c>
      <c r="C175" s="61" t="str">
        <f>INDEX(Helper!$N$2:$N$4, MATCH(WIP!B175,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MATCH(WIP!G175, Helper!$A:$A, 0))</f>
        <v>Standard (EADGBE)</v>
      </c>
      <c r="I175" s="60" t="s">
        <v>908</v>
      </c>
      <c r="J175" s="81" t="s">
        <v>13</v>
      </c>
      <c r="K175" s="60" t="str">
        <f>INDEX(Helper!$F:$F, MATCH(WIP!J175, Helper!$E:$E, 0))</f>
        <v>#FF4F53</v>
      </c>
      <c r="L175" s="61" t="s">
        <v>564</v>
      </c>
      <c r="M175" s="61" t="s">
        <v>619</v>
      </c>
      <c r="N175" s="62" t="s">
        <v>984</v>
      </c>
      <c r="O175" s="40" t="s">
        <v>983</v>
      </c>
    </row>
    <row r="176" spans="1:15" x14ac:dyDescent="0.4">
      <c r="A176" s="60">
        <v>173</v>
      </c>
      <c r="B176" s="60">
        <v>1</v>
      </c>
      <c r="C176" s="61" t="str">
        <f>INDEX(Helper!$N$2:$N$4, MATCH(WIP!B176,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MATCH(WIP!G176, Helper!$A:$A, 0))</f>
        <v>Drop D (DADGBE)</v>
      </c>
      <c r="I176" s="60" t="s">
        <v>631</v>
      </c>
      <c r="J176" s="81" t="s">
        <v>13</v>
      </c>
      <c r="K176" s="60" t="str">
        <f>INDEX(Helper!$F:$F, MATCH(WIP!J176, Helper!$E:$E, 0))</f>
        <v>#FF4F53</v>
      </c>
      <c r="L176" s="61" t="s">
        <v>565</v>
      </c>
      <c r="M176" s="61" t="s">
        <v>619</v>
      </c>
      <c r="N176" s="61" t="s">
        <v>985</v>
      </c>
      <c r="O176" s="40" t="s">
        <v>1133</v>
      </c>
    </row>
    <row r="177" spans="1:15" x14ac:dyDescent="0.4">
      <c r="A177" s="60">
        <v>174</v>
      </c>
      <c r="B177" s="60">
        <v>2</v>
      </c>
      <c r="C177" s="61" t="str">
        <f>INDEX(Helper!$N$2:$N$4, MATCH(WIP!B177,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MATCH(WIP!G177, Helper!$A:$A, 0))</f>
        <v>Standard (EADGBE)</v>
      </c>
      <c r="I177" s="60" t="s">
        <v>60</v>
      </c>
      <c r="J177" s="81" t="s">
        <v>13</v>
      </c>
      <c r="K177" s="60" t="str">
        <f>INDEX(Helper!$F:$F, MATCH(WIP!J177, Helper!$E:$E, 0))</f>
        <v>#FF4F53</v>
      </c>
      <c r="L177" s="61" t="s">
        <v>385</v>
      </c>
      <c r="M177" s="61" t="s">
        <v>619</v>
      </c>
      <c r="N177" s="61" t="s">
        <v>987</v>
      </c>
      <c r="O177" s="40" t="s">
        <v>986</v>
      </c>
    </row>
    <row r="178" spans="1:15" x14ac:dyDescent="0.4">
      <c r="A178" s="60">
        <v>175</v>
      </c>
      <c r="B178" s="60">
        <v>2</v>
      </c>
      <c r="C178" s="61" t="str">
        <f>INDEX(Helper!$N$2:$N$4, MATCH(WIP!B178,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MATCH(WIP!G178, Helper!$A:$A, 0))</f>
        <v>Standard (EADGBE)</v>
      </c>
      <c r="I178" s="60" t="s">
        <v>624</v>
      </c>
      <c r="J178" s="81" t="s">
        <v>13</v>
      </c>
      <c r="K178" s="60" t="str">
        <f>INDEX(Helper!$F:$F, MATCH(WIP!J178, Helper!$E:$E, 0))</f>
        <v>#FF4F53</v>
      </c>
      <c r="L178" s="61" t="s">
        <v>566</v>
      </c>
      <c r="M178" s="61" t="s">
        <v>619</v>
      </c>
      <c r="N178" s="62" t="s">
        <v>989</v>
      </c>
      <c r="O178" s="40" t="s">
        <v>988</v>
      </c>
    </row>
    <row r="179" spans="1:15" x14ac:dyDescent="0.4">
      <c r="A179" s="60">
        <v>176</v>
      </c>
      <c r="B179" s="60">
        <v>2</v>
      </c>
      <c r="C179" s="61" t="str">
        <f>INDEX(Helper!$N$2:$N$4, MATCH(WIP!B179,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MATCH(WIP!G179, Helper!$A:$A, 0))</f>
        <v>Standard (EADGBE)</v>
      </c>
      <c r="I179" s="60" t="s">
        <v>990</v>
      </c>
      <c r="J179" s="75" t="s">
        <v>10</v>
      </c>
      <c r="K179" s="60" t="str">
        <f>INDEX(Helper!$F:$F, MATCH(WIP!J179, Helper!$E:$E, 0))</f>
        <v>#F5943C</v>
      </c>
      <c r="L179" s="64" t="s">
        <v>567</v>
      </c>
      <c r="M179" s="61" t="s">
        <v>619</v>
      </c>
      <c r="N179" s="64" t="s">
        <v>998</v>
      </c>
      <c r="O179" s="40" t="s">
        <v>997</v>
      </c>
    </row>
    <row r="180" spans="1:15" x14ac:dyDescent="0.4">
      <c r="A180" s="60">
        <v>177</v>
      </c>
      <c r="B180" s="60">
        <v>2</v>
      </c>
      <c r="C180" s="61" t="str">
        <f>INDEX(Helper!$N$2:$N$4, MATCH(WIP!B180,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MATCH(WIP!G180, Helper!$A:$A, 0))</f>
        <v>Half Step Down (D#G#C#F#A#D#)</v>
      </c>
      <c r="I180" s="60" t="s">
        <v>60</v>
      </c>
      <c r="J180" s="75" t="s">
        <v>10</v>
      </c>
      <c r="K180" s="60" t="str">
        <f>INDEX(Helper!$F:$F, MATCH(WIP!J180, Helper!$E:$E, 0))</f>
        <v>#F5943C</v>
      </c>
      <c r="L180" s="61" t="s">
        <v>568</v>
      </c>
      <c r="M180" s="61" t="s">
        <v>619</v>
      </c>
      <c r="N180" s="61" t="s">
        <v>1000</v>
      </c>
      <c r="O180" s="40" t="s">
        <v>999</v>
      </c>
    </row>
    <row r="181" spans="1:15" x14ac:dyDescent="0.4">
      <c r="A181" s="60">
        <v>178</v>
      </c>
      <c r="B181" s="60">
        <v>2</v>
      </c>
      <c r="C181" s="61" t="str">
        <f>INDEX(Helper!$N$2:$N$4, MATCH(WIP!B181,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MATCH(WIP!G181, Helper!$A:$A, 0))</f>
        <v>Half Step Down (D#G#C#F#A#D#)</v>
      </c>
      <c r="I181" s="60" t="s">
        <v>908</v>
      </c>
      <c r="J181" s="75" t="s">
        <v>10</v>
      </c>
      <c r="K181" s="60" t="str">
        <f>INDEX(Helper!$F:$F, MATCH(WIP!J181, Helper!$E:$E, 0))</f>
        <v>#F5943C</v>
      </c>
      <c r="L181" s="61" t="s">
        <v>384</v>
      </c>
      <c r="M181" s="61" t="s">
        <v>619</v>
      </c>
      <c r="N181" s="61" t="s">
        <v>1002</v>
      </c>
      <c r="O181" s="40" t="s">
        <v>1001</v>
      </c>
    </row>
    <row r="182" spans="1:15" ht="244.75" x14ac:dyDescent="0.4">
      <c r="A182" s="60">
        <v>179</v>
      </c>
      <c r="B182" s="60">
        <v>2</v>
      </c>
      <c r="C182" s="61" t="str">
        <f>INDEX(Helper!$N$2:$N$4, MATCH(WIP!B182,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MATCH(WIP!G182, Helper!$A:$A, 0))</f>
        <v>Half Step Down (D#G#C#F#A#D#)</v>
      </c>
      <c r="I182" s="60" t="s">
        <v>68</v>
      </c>
      <c r="J182" s="86" t="s">
        <v>373</v>
      </c>
      <c r="K182" s="60" t="str">
        <f>INDEX(Helper!$F:$F, MATCH(WIP!J182,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1234</v>
      </c>
    </row>
    <row r="183" spans="1:15" x14ac:dyDescent="0.4">
      <c r="A183" s="60">
        <v>180</v>
      </c>
      <c r="B183" s="60">
        <v>2</v>
      </c>
      <c r="C183" s="61" t="str">
        <f>INDEX(Helper!$N$2:$N$4, MATCH(WIP!B183,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MATCH(WIP!G183, Helper!$A:$A, 0))</f>
        <v>Standard (EADGBE)</v>
      </c>
      <c r="I183" s="60" t="s">
        <v>68</v>
      </c>
      <c r="J183" s="86" t="s">
        <v>373</v>
      </c>
      <c r="K183" s="60" t="str">
        <f>INDEX(Helper!$F:$F, MATCH(WIP!J183, Helper!$E:$E, 0))</f>
        <v>#C476D4</v>
      </c>
      <c r="L183" s="61" t="s">
        <v>570</v>
      </c>
      <c r="M183" s="61" t="s">
        <v>619</v>
      </c>
      <c r="N183" s="61" t="s">
        <v>1005</v>
      </c>
      <c r="O183" s="40" t="s">
        <v>1004</v>
      </c>
    </row>
    <row r="184" spans="1:15" x14ac:dyDescent="0.4">
      <c r="A184" s="60">
        <v>181</v>
      </c>
      <c r="B184" s="60">
        <v>2</v>
      </c>
      <c r="C184" s="61" t="str">
        <f>INDEX(Helper!$N$2:$N$4, MATCH(WIP!B184,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MATCH(WIP!G184, Helper!$A:$A, 0))</f>
        <v>Standard (EADGBE)</v>
      </c>
      <c r="I184" s="60" t="s">
        <v>59</v>
      </c>
      <c r="J184" s="81" t="s">
        <v>13</v>
      </c>
      <c r="K184" s="60" t="str">
        <f>INDEX(Helper!$F:$F, MATCH(WIP!J184, Helper!$E:$E, 0))</f>
        <v>#FF4F53</v>
      </c>
      <c r="L184" s="61" t="s">
        <v>571</v>
      </c>
      <c r="M184" s="61" t="s">
        <v>619</v>
      </c>
      <c r="N184" s="61" t="s">
        <v>1007</v>
      </c>
      <c r="O184" s="40" t="s">
        <v>1006</v>
      </c>
    </row>
    <row r="185" spans="1:15" x14ac:dyDescent="0.4">
      <c r="A185" s="60">
        <v>182</v>
      </c>
      <c r="B185" s="60">
        <v>2</v>
      </c>
      <c r="C185" s="61" t="str">
        <f>INDEX(Helper!$N$2:$N$4, MATCH(WIP!B185,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MATCH(WIP!G185, Helper!$A:$A, 0))</f>
        <v>Standard (EADGBE)</v>
      </c>
      <c r="I185" s="60" t="s">
        <v>623</v>
      </c>
      <c r="J185" s="81" t="s">
        <v>13</v>
      </c>
      <c r="K185" s="60" t="str">
        <f>INDEX(Helper!$F:$F, MATCH(WIP!J185, Helper!$E:$E, 0))</f>
        <v>#FF4F53</v>
      </c>
      <c r="L185" s="61" t="s">
        <v>572</v>
      </c>
      <c r="M185" s="61" t="s">
        <v>619</v>
      </c>
      <c r="N185" s="61" t="s">
        <v>1009</v>
      </c>
      <c r="O185" s="40" t="s">
        <v>1008</v>
      </c>
    </row>
    <row r="186" spans="1:15" x14ac:dyDescent="0.4">
      <c r="A186" s="60">
        <v>183</v>
      </c>
      <c r="B186" s="60">
        <v>2</v>
      </c>
      <c r="C186" s="61" t="str">
        <f>INDEX(Helper!$N$2:$N$4, MATCH(WIP!B186,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MATCH(WIP!G186, Helper!$A:$A, 0))</f>
        <v>Standard (EADGBE)</v>
      </c>
      <c r="I186" s="60" t="s">
        <v>65</v>
      </c>
      <c r="J186" s="79" t="s">
        <v>19</v>
      </c>
      <c r="K186" s="60" t="str">
        <f>INDEX(Helper!$F:$F, MATCH(WIP!J186, Helper!$E:$E, 0))</f>
        <v>#FFDD21</v>
      </c>
      <c r="L186" s="61" t="s">
        <v>573</v>
      </c>
      <c r="M186" s="61" t="s">
        <v>619</v>
      </c>
      <c r="N186" s="61" t="s">
        <v>1010</v>
      </c>
      <c r="O186" s="40" t="s">
        <v>1011</v>
      </c>
    </row>
    <row r="187" spans="1:15" x14ac:dyDescent="0.4">
      <c r="A187" s="60">
        <v>184</v>
      </c>
      <c r="B187" s="60">
        <v>2</v>
      </c>
      <c r="C187" s="61" t="str">
        <f>INDEX(Helper!$N$2:$N$4, MATCH(WIP!B187,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MATCH(WIP!G187, Helper!$A:$A, 0))</f>
        <v>Half Step Down (D#G#C#F#A#D#)</v>
      </c>
      <c r="I187" s="60" t="s">
        <v>908</v>
      </c>
      <c r="J187" s="80" t="s">
        <v>15</v>
      </c>
      <c r="K187" s="60" t="str">
        <f>INDEX(Helper!$F:$F, MATCH(WIP!J187, Helper!$E:$E, 0))</f>
        <v>#C2C2A1</v>
      </c>
      <c r="L187" s="61" t="s">
        <v>574</v>
      </c>
      <c r="M187" s="61" t="s">
        <v>619</v>
      </c>
      <c r="N187" s="61" t="s">
        <v>1013</v>
      </c>
      <c r="O187" s="40" t="s">
        <v>1012</v>
      </c>
    </row>
    <row r="188" spans="1:15" x14ac:dyDescent="0.4">
      <c r="A188" s="60">
        <v>185</v>
      </c>
      <c r="B188" s="60">
        <v>1</v>
      </c>
      <c r="C188" s="61" t="str">
        <f>INDEX(Helper!$N$2:$N$4, MATCH(WIP!B188,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MATCH(WIP!G188, Helper!$A:$A, 0))</f>
        <v>Standard (EADGBE)</v>
      </c>
      <c r="I188" s="60" t="s">
        <v>68</v>
      </c>
      <c r="J188" s="80" t="s">
        <v>15</v>
      </c>
      <c r="K188" s="60" t="str">
        <f>INDEX(Helper!$F:$F, MATCH(WIP!J188, Helper!$E:$E, 0))</f>
        <v>#C2C2A1</v>
      </c>
      <c r="L188" s="61" t="s">
        <v>575</v>
      </c>
      <c r="M188" s="61" t="s">
        <v>619</v>
      </c>
      <c r="N188" s="61" t="s">
        <v>1016</v>
      </c>
      <c r="O188" s="40" t="s">
        <v>1015</v>
      </c>
    </row>
    <row r="189" spans="1:15" x14ac:dyDescent="0.4">
      <c r="A189" s="60">
        <v>186</v>
      </c>
      <c r="B189" s="60">
        <v>1</v>
      </c>
      <c r="C189" s="61" t="str">
        <f>INDEX(Helper!$N$2:$N$4, MATCH(WIP!B189,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MATCH(WIP!G189, Helper!$A:$A, 0))</f>
        <v>Half Step Down (D#G#C#F#A#D#)</v>
      </c>
      <c r="I189" s="60" t="s">
        <v>992</v>
      </c>
      <c r="J189" s="80" t="s">
        <v>15</v>
      </c>
      <c r="K189" s="60" t="str">
        <f>INDEX(Helper!$F:$F, MATCH(WIP!J189, Helper!$E:$E, 0))</f>
        <v>#C2C2A1</v>
      </c>
      <c r="L189" s="61" t="s">
        <v>576</v>
      </c>
      <c r="M189" s="61" t="s">
        <v>619</v>
      </c>
      <c r="N189" s="61" t="s">
        <v>1017</v>
      </c>
      <c r="O189" s="40" t="s">
        <v>1018</v>
      </c>
    </row>
    <row r="190" spans="1:15" x14ac:dyDescent="0.4">
      <c r="A190" s="60">
        <v>187</v>
      </c>
      <c r="B190" s="60">
        <v>2</v>
      </c>
      <c r="C190" s="61" t="str">
        <f>INDEX(Helper!$N$2:$N$4, MATCH(WIP!B190,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MATCH(WIP!G190, Helper!$A:$A, 0))</f>
        <v>Standard (EADGBE)</v>
      </c>
      <c r="I190" s="60" t="s">
        <v>66</v>
      </c>
      <c r="J190" s="86" t="s">
        <v>373</v>
      </c>
      <c r="K190" s="60" t="str">
        <f>INDEX(Helper!$F:$F, MATCH(WIP!J190, Helper!$E:$E, 0))</f>
        <v>#C476D4</v>
      </c>
      <c r="L190" s="61" t="s">
        <v>577</v>
      </c>
      <c r="M190" s="61" t="s">
        <v>619</v>
      </c>
      <c r="N190" s="61" t="s">
        <v>1020</v>
      </c>
      <c r="O190" s="40" t="s">
        <v>1019</v>
      </c>
    </row>
    <row r="191" spans="1:15" x14ac:dyDescent="0.4">
      <c r="A191" s="60">
        <v>188</v>
      </c>
      <c r="B191" s="60">
        <v>2</v>
      </c>
      <c r="C191" s="61" t="str">
        <f>INDEX(Helper!$N$2:$N$4, MATCH(WIP!B191,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MATCH(WIP!G191, Helper!$A:$A, 0))</f>
        <v>Standard (EADGBE)</v>
      </c>
      <c r="I191" s="60" t="s">
        <v>631</v>
      </c>
      <c r="J191" s="79" t="s">
        <v>24</v>
      </c>
      <c r="K191" s="60" t="str">
        <f>INDEX(Helper!$F:$F, MATCH(WIP!J191, Helper!$E:$E, 0))</f>
        <v>#F1D764</v>
      </c>
      <c r="L191" s="61" t="s">
        <v>578</v>
      </c>
      <c r="M191" s="61" t="s">
        <v>619</v>
      </c>
      <c r="N191" s="61" t="s">
        <v>1022</v>
      </c>
      <c r="O191" s="40" t="s">
        <v>1021</v>
      </c>
    </row>
    <row r="192" spans="1:15" x14ac:dyDescent="0.4">
      <c r="A192" s="60">
        <v>189</v>
      </c>
      <c r="B192" s="60">
        <v>2</v>
      </c>
      <c r="C192" s="61" t="str">
        <f>INDEX(Helper!$N$2:$N$4, MATCH(WIP!B192,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MATCH(WIP!G192, Helper!$A:$A, 0))</f>
        <v>Standard (EADGBE)</v>
      </c>
      <c r="I192" s="60" t="s">
        <v>990</v>
      </c>
      <c r="J192" s="79" t="s">
        <v>24</v>
      </c>
      <c r="K192" s="60" t="str">
        <f>INDEX(Helper!$F:$F, MATCH(WIP!J192, Helper!$E:$E, 0))</f>
        <v>#F1D764</v>
      </c>
      <c r="L192" s="61" t="s">
        <v>579</v>
      </c>
      <c r="M192" s="61" t="s">
        <v>619</v>
      </c>
      <c r="N192" s="61" t="s">
        <v>1024</v>
      </c>
      <c r="O192" s="40" t="s">
        <v>1023</v>
      </c>
    </row>
    <row r="193" spans="1:15" x14ac:dyDescent="0.4">
      <c r="A193" s="60">
        <v>190</v>
      </c>
      <c r="B193" s="60">
        <v>2</v>
      </c>
      <c r="C193" s="61" t="str">
        <f>INDEX(Helper!$N$2:$N$4, MATCH(WIP!B193,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MATCH(WIP!G193, Helper!$A:$A, 0))</f>
        <v>Standard (EADGBE)</v>
      </c>
      <c r="I193" s="60" t="s">
        <v>395</v>
      </c>
      <c r="J193" s="81" t="s">
        <v>13</v>
      </c>
      <c r="K193" s="60" t="str">
        <f>INDEX(Helper!$F:$F, MATCH(WIP!J193, Helper!$E:$E, 0))</f>
        <v>#FF4F53</v>
      </c>
      <c r="L193" s="61" t="s">
        <v>580</v>
      </c>
      <c r="M193" s="61" t="s">
        <v>619</v>
      </c>
      <c r="N193" s="62" t="s">
        <v>1084</v>
      </c>
      <c r="O193" s="40" t="s">
        <v>1083</v>
      </c>
    </row>
    <row r="194" spans="1:15" x14ac:dyDescent="0.4">
      <c r="A194" s="60">
        <v>191</v>
      </c>
      <c r="B194" s="60">
        <v>2</v>
      </c>
      <c r="C194" s="61" t="str">
        <f>INDEX(Helper!$N$2:$N$4, MATCH(WIP!B194,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MATCH(WIP!G194, Helper!$A:$A, 0))</f>
        <v>C#G#C#F#A#D#</v>
      </c>
      <c r="I194" s="60" t="s">
        <v>908</v>
      </c>
      <c r="J194" s="87" t="s">
        <v>27</v>
      </c>
      <c r="K194" s="60" t="str">
        <f>INDEX(Helper!$F:$F, MATCH(WIP!J194, Helper!$E:$E, 0))</f>
        <v>#B2DB4B</v>
      </c>
      <c r="L194" s="61" t="s">
        <v>581</v>
      </c>
      <c r="M194" s="61" t="s">
        <v>619</v>
      </c>
      <c r="N194" s="61" t="s">
        <v>1086</v>
      </c>
      <c r="O194" s="40" t="s">
        <v>1085</v>
      </c>
    </row>
    <row r="195" spans="1:15" x14ac:dyDescent="0.4">
      <c r="A195" s="60">
        <v>192</v>
      </c>
      <c r="B195" s="60">
        <v>2</v>
      </c>
      <c r="C195" s="61" t="str">
        <f>INDEX(Helper!$N$2:$N$4, MATCH(WIP!B195,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MATCH(WIP!G195, Helper!$A:$A, 0))</f>
        <v>C#G#C#F#A#D#</v>
      </c>
      <c r="I195" s="60" t="s">
        <v>990</v>
      </c>
      <c r="J195" s="80" t="s">
        <v>15</v>
      </c>
      <c r="K195" s="60" t="str">
        <f>INDEX(Helper!$F:$F, MATCH(WIP!J195, Helper!$E:$E, 0))</f>
        <v>#C2C2A1</v>
      </c>
      <c r="L195" s="61" t="s">
        <v>582</v>
      </c>
      <c r="M195" s="61" t="s">
        <v>648</v>
      </c>
      <c r="N195" s="61" t="s">
        <v>1087</v>
      </c>
      <c r="O195" s="40" t="s">
        <v>1088</v>
      </c>
    </row>
    <row r="196" spans="1:15" x14ac:dyDescent="0.4">
      <c r="A196" s="60">
        <v>193</v>
      </c>
      <c r="B196" s="60">
        <v>2</v>
      </c>
      <c r="C196" s="61" t="str">
        <f>INDEX(Helper!$N$2:$N$4, MATCH(WIP!B196,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MATCH(WIP!G196, Helper!$A:$A, 0))</f>
        <v>C#G#C#F#A#D#</v>
      </c>
      <c r="I196" s="60" t="s">
        <v>395</v>
      </c>
      <c r="J196" s="80" t="s">
        <v>15</v>
      </c>
      <c r="K196" s="60" t="str">
        <f>INDEX(Helper!$F:$F, MATCH(WIP!J196, Helper!$E:$E, 0))</f>
        <v>#C2C2A1</v>
      </c>
      <c r="L196" s="61" t="s">
        <v>583</v>
      </c>
      <c r="M196" s="61" t="s">
        <v>619</v>
      </c>
      <c r="N196" s="62" t="s">
        <v>1089</v>
      </c>
      <c r="O196" s="40" t="s">
        <v>1146</v>
      </c>
    </row>
    <row r="197" spans="1:15" x14ac:dyDescent="0.4">
      <c r="A197" s="60">
        <v>194</v>
      </c>
      <c r="B197" s="60">
        <v>2</v>
      </c>
      <c r="C197" s="61" t="str">
        <f>INDEX(Helper!$N$2:$N$4, MATCH(WIP!B197,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MATCH(WIP!G197, Helper!$A:$A, 0))</f>
        <v>Standard (EADGBE)</v>
      </c>
      <c r="I197" s="60" t="s">
        <v>631</v>
      </c>
      <c r="J197" s="77" t="s">
        <v>11</v>
      </c>
      <c r="K197" s="60" t="str">
        <f>INDEX(Helper!$F:$F, MATCH(WIP!J197, Helper!$E:$E, 0))</f>
        <v>#E8AD1D</v>
      </c>
      <c r="L197" s="61" t="s">
        <v>584</v>
      </c>
      <c r="M197" s="61" t="s">
        <v>619</v>
      </c>
      <c r="N197" s="61" t="s">
        <v>1091</v>
      </c>
      <c r="O197" s="40" t="s">
        <v>1090</v>
      </c>
    </row>
    <row r="198" spans="1:15" x14ac:dyDescent="0.4">
      <c r="A198" s="60">
        <v>195</v>
      </c>
      <c r="B198" s="60">
        <v>2</v>
      </c>
      <c r="C198" s="61" t="str">
        <f>INDEX(Helper!$N$2:$N$4, MATCH(WIP!B198,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MATCH(WIP!G198, Helper!$A:$A, 0))</f>
        <v>Standard (EADGBE)</v>
      </c>
      <c r="I198" s="60" t="s">
        <v>62</v>
      </c>
      <c r="J198" s="75" t="s">
        <v>10</v>
      </c>
      <c r="K198" s="60" t="str">
        <f>INDEX(Helper!$F:$F, MATCH(WIP!J198, Helper!$E:$E, 0))</f>
        <v>#F5943C</v>
      </c>
      <c r="L198" s="61" t="s">
        <v>585</v>
      </c>
      <c r="M198" s="61" t="s">
        <v>619</v>
      </c>
      <c r="N198" s="61" t="s">
        <v>1092</v>
      </c>
      <c r="O198" s="40" t="s">
        <v>1094</v>
      </c>
    </row>
    <row r="199" spans="1:15" x14ac:dyDescent="0.4">
      <c r="A199" s="60">
        <v>196</v>
      </c>
      <c r="B199" s="60">
        <v>2</v>
      </c>
      <c r="C199" s="61" t="str">
        <f>INDEX(Helper!$N$2:$N$4, MATCH(WIP!B199,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MATCH(WIP!G199, Helper!$A:$A, 0))</f>
        <v>Standard (EADGBE)</v>
      </c>
      <c r="I199" s="60" t="s">
        <v>64</v>
      </c>
      <c r="J199" s="75" t="s">
        <v>10</v>
      </c>
      <c r="K199" s="60" t="str">
        <f>INDEX(Helper!$F:$F, MATCH(WIP!J199, Helper!$E:$E, 0))</f>
        <v>#F5943C</v>
      </c>
      <c r="L199" s="61" t="s">
        <v>586</v>
      </c>
      <c r="M199" s="61" t="s">
        <v>619</v>
      </c>
      <c r="N199" s="61" t="s">
        <v>1093</v>
      </c>
      <c r="O199" s="40" t="s">
        <v>1126</v>
      </c>
    </row>
    <row r="200" spans="1:15" x14ac:dyDescent="0.4">
      <c r="A200" s="60">
        <v>197</v>
      </c>
      <c r="B200" s="60">
        <v>2</v>
      </c>
      <c r="C200" s="61" t="str">
        <f>INDEX(Helper!$N$2:$N$4, MATCH(WIP!B200,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MATCH(WIP!G200, Helper!$A:$A, 0))</f>
        <v>Half Step Down (D#G#C#F#A#D#)</v>
      </c>
      <c r="I200" s="60" t="s">
        <v>70</v>
      </c>
      <c r="J200" s="75" t="s">
        <v>10</v>
      </c>
      <c r="K200" s="60" t="str">
        <f>INDEX(Helper!$F:$F, MATCH(WIP!J200, Helper!$E:$E, 0))</f>
        <v>#F5943C</v>
      </c>
      <c r="L200" s="61" t="s">
        <v>587</v>
      </c>
      <c r="M200" s="61" t="s">
        <v>619</v>
      </c>
      <c r="N200" s="61" t="s">
        <v>1096</v>
      </c>
      <c r="O200" s="40" t="s">
        <v>1095</v>
      </c>
    </row>
    <row r="201" spans="1:15" x14ac:dyDescent="0.4">
      <c r="A201" s="60">
        <v>198</v>
      </c>
      <c r="B201" s="60">
        <v>2</v>
      </c>
      <c r="C201" s="61" t="str">
        <f>INDEX(Helper!$N$2:$N$4, MATCH(WIP!B201,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MATCH(WIP!G201, Helper!$A:$A, 0))</f>
        <v>Standard (EADGBE)</v>
      </c>
      <c r="I201" s="60" t="s">
        <v>395</v>
      </c>
      <c r="J201" s="75" t="s">
        <v>10</v>
      </c>
      <c r="K201" s="60" t="str">
        <f>INDEX(Helper!$F:$F, MATCH(WIP!J201, Helper!$E:$E, 0))</f>
        <v>#F5943C</v>
      </c>
      <c r="L201" s="61" t="s">
        <v>588</v>
      </c>
      <c r="M201" s="61" t="s">
        <v>619</v>
      </c>
      <c r="N201" s="61" t="s">
        <v>1098</v>
      </c>
      <c r="O201" s="40" t="s">
        <v>1097</v>
      </c>
    </row>
    <row r="202" spans="1:15" x14ac:dyDescent="0.4">
      <c r="A202" s="60">
        <v>199</v>
      </c>
      <c r="B202" s="60">
        <v>2</v>
      </c>
      <c r="C202" s="61" t="str">
        <f>INDEX(Helper!$N$2:$N$4, MATCH(WIP!B202,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MATCH(WIP!G202, Helper!$A:$A, 0))</f>
        <v>Standard (EADGBE)</v>
      </c>
      <c r="I202" s="60" t="s">
        <v>66</v>
      </c>
      <c r="J202" s="83" t="s">
        <v>12</v>
      </c>
      <c r="K202" s="60" t="str">
        <f>INDEX(Helper!$F:$F, MATCH(WIP!J202, Helper!$E:$E, 0))</f>
        <v>#FFE129</v>
      </c>
      <c r="L202" s="61" t="s">
        <v>381</v>
      </c>
      <c r="M202" s="61" t="s">
        <v>619</v>
      </c>
      <c r="N202" s="61" t="s">
        <v>1101</v>
      </c>
      <c r="O202" s="40" t="s">
        <v>1100</v>
      </c>
    </row>
    <row r="203" spans="1:15" x14ac:dyDescent="0.4">
      <c r="A203" s="60">
        <v>200</v>
      </c>
      <c r="B203" s="60">
        <v>2</v>
      </c>
      <c r="C203" s="61" t="str">
        <f>INDEX(Helper!$N$2:$N$4, MATCH(WIP!B203,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MATCH(WIP!G203, Helper!$A:$A, 0))</f>
        <v>C Standard (CFA#D#GC)</v>
      </c>
      <c r="I203" s="60" t="s">
        <v>64</v>
      </c>
      <c r="J203" s="77" t="s">
        <v>11</v>
      </c>
      <c r="K203" s="60" t="str">
        <f>INDEX(Helper!$F:$F, MATCH(WIP!J203, Helper!$E:$E, 0))</f>
        <v>#E8AD1D</v>
      </c>
      <c r="L203" s="61" t="s">
        <v>589</v>
      </c>
      <c r="M203" s="61" t="s">
        <v>619</v>
      </c>
      <c r="N203" s="61" t="s">
        <v>1104</v>
      </c>
      <c r="O203" s="40" t="s">
        <v>1147</v>
      </c>
    </row>
    <row r="204" spans="1:15" x14ac:dyDescent="0.4">
      <c r="A204" s="60">
        <v>201</v>
      </c>
      <c r="B204" s="60">
        <v>2</v>
      </c>
      <c r="C204" s="61" t="str">
        <f>INDEX(Helper!$N$2:$N$4, MATCH(WIP!B204,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1</v>
      </c>
      <c r="H204" s="60" t="str">
        <f>INDEX(Helper!$C:$C, MATCH(WIP!G204, Helper!$A:$A, 0))</f>
        <v>Standard (EADGBE)</v>
      </c>
      <c r="I204" s="60" t="s">
        <v>631</v>
      </c>
      <c r="J204" s="80" t="s">
        <v>15</v>
      </c>
      <c r="K204" s="60" t="str">
        <f>INDEX(Helper!$F:$F, MATCH(WIP!J204, Helper!$E:$E, 0))</f>
        <v>#C2C2A1</v>
      </c>
      <c r="L204" s="61" t="s">
        <v>380</v>
      </c>
      <c r="M204" s="61" t="s">
        <v>619</v>
      </c>
      <c r="N204" s="61" t="s">
        <v>1106</v>
      </c>
      <c r="O204" s="40" t="s">
        <v>1105</v>
      </c>
    </row>
    <row r="205" spans="1:15" x14ac:dyDescent="0.4">
      <c r="A205" s="60">
        <v>202</v>
      </c>
      <c r="B205" s="60">
        <v>2</v>
      </c>
      <c r="C205" s="61" t="str">
        <f>INDEX(Helper!$N$2:$N$4, MATCH(WIP!B205,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MATCH(WIP!G205, Helper!$A:$A, 0))</f>
        <v>Standard (EADGBE)</v>
      </c>
      <c r="I205" s="60" t="s">
        <v>64</v>
      </c>
      <c r="J205" s="81" t="s">
        <v>13</v>
      </c>
      <c r="K205" s="60" t="str">
        <f>INDEX(Helper!$F:$F, MATCH(WIP!J205, Helper!$E:$E, 0))</f>
        <v>#FF4F53</v>
      </c>
      <c r="L205" s="61" t="s">
        <v>590</v>
      </c>
      <c r="M205" s="61" t="s">
        <v>619</v>
      </c>
      <c r="N205" s="61" t="s">
        <v>1108</v>
      </c>
      <c r="O205" s="40" t="s">
        <v>1107</v>
      </c>
    </row>
    <row r="206" spans="1:15" x14ac:dyDescent="0.4">
      <c r="A206" s="60">
        <v>203</v>
      </c>
      <c r="B206" s="60">
        <v>1</v>
      </c>
      <c r="C206" s="61" t="str">
        <f>INDEX(Helper!$N$2:$N$4, MATCH(WIP!B206,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MATCH(WIP!G206, Helper!$A:$A, 0))</f>
        <v>C#G#C#F#A#D#</v>
      </c>
      <c r="I206" s="60" t="s">
        <v>395</v>
      </c>
      <c r="J206" s="80" t="s">
        <v>15</v>
      </c>
      <c r="K206" s="60" t="str">
        <f>INDEX(Helper!$F:$F, MATCH(WIP!J206, Helper!$E:$E, 0))</f>
        <v>#C2C2A1</v>
      </c>
      <c r="L206" s="61" t="s">
        <v>379</v>
      </c>
      <c r="M206" s="61" t="s">
        <v>619</v>
      </c>
      <c r="N206" s="62" t="s">
        <v>965</v>
      </c>
      <c r="O206" s="40" t="s">
        <v>964</v>
      </c>
    </row>
    <row r="207" spans="1:15" x14ac:dyDescent="0.4">
      <c r="A207" s="60">
        <v>204</v>
      </c>
      <c r="B207" s="60">
        <v>2</v>
      </c>
      <c r="C207" s="61" t="str">
        <f>INDEX(Helper!$N$2:$N$4, MATCH(WIP!B207,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MATCH(WIP!G207, Helper!$A:$A, 0))</f>
        <v>Standard (EADGBE)</v>
      </c>
      <c r="I207" s="60" t="s">
        <v>65</v>
      </c>
      <c r="J207" s="81" t="s">
        <v>13</v>
      </c>
      <c r="K207" s="60" t="str">
        <f>INDEX(Helper!$F:$F, MATCH(WIP!J207, Helper!$E:$E, 0))</f>
        <v>#FF4F53</v>
      </c>
      <c r="L207" s="61" t="s">
        <v>591</v>
      </c>
      <c r="M207" s="61" t="s">
        <v>619</v>
      </c>
      <c r="N207" s="61" t="s">
        <v>1028</v>
      </c>
      <c r="O207" s="40" t="s">
        <v>1027</v>
      </c>
    </row>
    <row r="208" spans="1:15" x14ac:dyDescent="0.4">
      <c r="A208" s="60">
        <v>205</v>
      </c>
      <c r="B208" s="60">
        <v>2</v>
      </c>
      <c r="C208" s="61" t="str">
        <f>INDEX(Helper!$N$2:$N$4, MATCH(WIP!B208,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MATCH(WIP!G208, Helper!$A:$A, 0))</f>
        <v>Standard (EADGBE)</v>
      </c>
      <c r="I208" s="60" t="s">
        <v>66</v>
      </c>
      <c r="J208" s="81" t="s">
        <v>13</v>
      </c>
      <c r="K208" s="60" t="str">
        <f>INDEX(Helper!$F:$F, MATCH(WIP!J208, Helper!$E:$E, 0))</f>
        <v>#FF4F53</v>
      </c>
      <c r="L208" s="61" t="s">
        <v>592</v>
      </c>
      <c r="M208" s="61" t="s">
        <v>619</v>
      </c>
      <c r="N208" s="62" t="s">
        <v>1082</v>
      </c>
      <c r="O208" s="40" t="s">
        <v>1029</v>
      </c>
    </row>
    <row r="209" spans="1:15" x14ac:dyDescent="0.4">
      <c r="A209" s="60">
        <v>206</v>
      </c>
      <c r="B209" s="60">
        <v>2</v>
      </c>
      <c r="C209" s="61" t="str">
        <f>INDEX(Helper!$N$2:$N$4, MATCH(WIP!B209,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MATCH(WIP!G209, Helper!$A:$A, 0))</f>
        <v>Standard (EADGBE)</v>
      </c>
      <c r="I209" s="60" t="s">
        <v>628</v>
      </c>
      <c r="J209" s="81" t="s">
        <v>13</v>
      </c>
      <c r="K209" s="60" t="str">
        <f>INDEX(Helper!$F:$F, MATCH(WIP!J209, Helper!$E:$E, 0))</f>
        <v>#FF4F53</v>
      </c>
      <c r="L209" s="61" t="s">
        <v>593</v>
      </c>
      <c r="M209" s="61" t="s">
        <v>619</v>
      </c>
      <c r="N209" s="61" t="s">
        <v>1031</v>
      </c>
      <c r="O209" s="40" t="s">
        <v>1030</v>
      </c>
    </row>
    <row r="210" spans="1:15" x14ac:dyDescent="0.4">
      <c r="A210" s="60">
        <v>207</v>
      </c>
      <c r="B210" s="60">
        <v>2</v>
      </c>
      <c r="C210" s="61" t="str">
        <f>INDEX(Helper!$N$2:$N$4, MATCH(WIP!B210,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MATCH(WIP!G210, Helper!$A:$A, 0))</f>
        <v>Standard (EADGBE)</v>
      </c>
      <c r="I210" s="60" t="s">
        <v>67</v>
      </c>
      <c r="J210" s="75" t="s">
        <v>10</v>
      </c>
      <c r="K210" s="60" t="str">
        <f>INDEX(Helper!$F:$F, MATCH(WIP!J210, Helper!$E:$E, 0))</f>
        <v>#F5943C</v>
      </c>
      <c r="L210" s="61" t="s">
        <v>594</v>
      </c>
      <c r="M210" s="61" t="s">
        <v>619</v>
      </c>
      <c r="N210" s="61" t="s">
        <v>1033</v>
      </c>
      <c r="O210" s="40" t="s">
        <v>1032</v>
      </c>
    </row>
    <row r="211" spans="1:15" x14ac:dyDescent="0.4">
      <c r="A211" s="60">
        <v>208</v>
      </c>
      <c r="B211" s="60">
        <v>3</v>
      </c>
      <c r="C211" s="61" t="str">
        <f>INDEX(Helper!$N$2:$N$4, MATCH(WIP!B211,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MATCH(WIP!G211, Helper!$A:$A, 0))</f>
        <v>Standard (EADGBE)</v>
      </c>
      <c r="I211" s="60" t="s">
        <v>63</v>
      </c>
      <c r="J211" s="75" t="s">
        <v>10</v>
      </c>
      <c r="K211" s="60" t="str">
        <f>INDEX(Helper!$F:$F, MATCH(WIP!J211, Helper!$E:$E, 0))</f>
        <v>#F5943C</v>
      </c>
      <c r="L211" s="61" t="s">
        <v>595</v>
      </c>
      <c r="M211" s="61" t="s">
        <v>619</v>
      </c>
      <c r="N211" s="62" t="s">
        <v>1040</v>
      </c>
      <c r="O211" s="40" t="s">
        <v>1036</v>
      </c>
    </row>
    <row r="212" spans="1:15" x14ac:dyDescent="0.4">
      <c r="A212" s="60">
        <v>209</v>
      </c>
      <c r="B212" s="60">
        <v>3</v>
      </c>
      <c r="C212" s="61" t="str">
        <f>INDEX(Helper!$N$2:$N$4, MATCH(WIP!B212,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MATCH(WIP!G212, Helper!$A:$A, 0))</f>
        <v>Half Step Down (D#G#C#F#A#D#)</v>
      </c>
      <c r="I212" s="60" t="s">
        <v>908</v>
      </c>
      <c r="J212" s="75" t="s">
        <v>10</v>
      </c>
      <c r="K212" s="60" t="str">
        <f>INDEX(Helper!$F:$F, MATCH(WIP!J212, Helper!$E:$E, 0))</f>
        <v>#F5943C</v>
      </c>
      <c r="L212" s="61" t="s">
        <v>596</v>
      </c>
      <c r="M212" s="61" t="s">
        <v>619</v>
      </c>
      <c r="N212" s="61" t="s">
        <v>1038</v>
      </c>
      <c r="O212" s="40" t="s">
        <v>1037</v>
      </c>
    </row>
    <row r="213" spans="1:15" x14ac:dyDescent="0.4">
      <c r="A213" s="60">
        <v>210</v>
      </c>
      <c r="B213" s="60">
        <v>3</v>
      </c>
      <c r="C213" s="61" t="str">
        <f>INDEX(Helper!$N$2:$N$4, MATCH(WIP!B213,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MATCH(WIP!G213, Helper!$A:$A, 0))</f>
        <v>Half Step Down (D#G#C#F#A#D#)</v>
      </c>
      <c r="I213" s="60" t="s">
        <v>68</v>
      </c>
      <c r="J213" s="75" t="s">
        <v>10</v>
      </c>
      <c r="K213" s="60" t="str">
        <f>INDEX(Helper!$F:$F, MATCH(WIP!J213, Helper!$E:$E, 0))</f>
        <v>#F5943C</v>
      </c>
      <c r="L213" s="61" t="s">
        <v>597</v>
      </c>
      <c r="M213" s="61" t="s">
        <v>619</v>
      </c>
      <c r="N213" s="61" t="s">
        <v>1039</v>
      </c>
      <c r="O213" s="40" t="s">
        <v>1143</v>
      </c>
    </row>
    <row r="214" spans="1:15" x14ac:dyDescent="0.4">
      <c r="A214" s="60">
        <v>211</v>
      </c>
      <c r="B214" s="60">
        <v>3</v>
      </c>
      <c r="C214" s="61" t="str">
        <f>INDEX(Helper!$N$2:$N$4, MATCH(WIP!B214,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MATCH(WIP!G214, Helper!$A:$A, 0))</f>
        <v>Half Step Down (D#G#C#F#A#D#)</v>
      </c>
      <c r="I214" s="60" t="s">
        <v>908</v>
      </c>
      <c r="J214" s="75" t="s">
        <v>10</v>
      </c>
      <c r="K214" s="60" t="str">
        <f>INDEX(Helper!$F:$F, MATCH(WIP!J214, Helper!$E:$E, 0))</f>
        <v>#F5943C</v>
      </c>
      <c r="L214" s="61" t="s">
        <v>598</v>
      </c>
      <c r="M214" s="61" t="s">
        <v>619</v>
      </c>
      <c r="N214" s="61" t="s">
        <v>1041</v>
      </c>
      <c r="O214" s="40" t="s">
        <v>1144</v>
      </c>
    </row>
    <row r="215" spans="1:15" x14ac:dyDescent="0.4">
      <c r="A215" s="60">
        <v>212</v>
      </c>
      <c r="B215" s="60">
        <v>3</v>
      </c>
      <c r="C215" s="61" t="str">
        <f>INDEX(Helper!$N$2:$N$4, MATCH(WIP!B215,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MATCH(WIP!G215, Helper!$A:$A, 0))</f>
        <v>Standard (EADGBE)</v>
      </c>
      <c r="I215" s="60" t="s">
        <v>68</v>
      </c>
      <c r="J215" s="75" t="s">
        <v>10</v>
      </c>
      <c r="K215" s="60" t="str">
        <f>INDEX(Helper!$F:$F, MATCH(WIP!J215, Helper!$E:$E, 0))</f>
        <v>#F5943C</v>
      </c>
      <c r="L215" s="61" t="s">
        <v>599</v>
      </c>
      <c r="M215" s="61" t="s">
        <v>619</v>
      </c>
      <c r="N215" s="62" t="s">
        <v>1043</v>
      </c>
      <c r="O215" s="40" t="s">
        <v>1042</v>
      </c>
    </row>
    <row r="216" spans="1:15" x14ac:dyDescent="0.4">
      <c r="A216" s="60">
        <v>213</v>
      </c>
      <c r="B216" s="60">
        <v>3</v>
      </c>
      <c r="C216" s="61" t="str">
        <f>INDEX(Helper!$N$2:$N$4, MATCH(WIP!B216,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MATCH(WIP!G216, Helper!$A:$A, 0))</f>
        <v>Standard (EADGBE)</v>
      </c>
      <c r="I216" s="60" t="s">
        <v>631</v>
      </c>
      <c r="J216" s="75" t="s">
        <v>10</v>
      </c>
      <c r="K216" s="60" t="str">
        <f>INDEX(Helper!$F:$F, MATCH(WIP!J216, Helper!$E:$E, 0))</f>
        <v>#F5943C</v>
      </c>
      <c r="L216" s="61" t="s">
        <v>378</v>
      </c>
      <c r="M216" s="61" t="s">
        <v>619</v>
      </c>
      <c r="N216" s="62" t="s">
        <v>1049</v>
      </c>
      <c r="O216" s="40" t="s">
        <v>1044</v>
      </c>
    </row>
    <row r="217" spans="1:15" x14ac:dyDescent="0.4">
      <c r="A217" s="60">
        <v>214</v>
      </c>
      <c r="B217" s="60">
        <v>3</v>
      </c>
      <c r="C217" s="61" t="str">
        <f>INDEX(Helper!$N$2:$N$4, MATCH(WIP!B217,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MATCH(WIP!G217, Helper!$A:$A, 0))</f>
        <v>Standard (EADGBE)</v>
      </c>
      <c r="I217" s="60" t="s">
        <v>63</v>
      </c>
      <c r="J217" s="79" t="s">
        <v>19</v>
      </c>
      <c r="K217" s="60" t="str">
        <f>INDEX(Helper!$F:$F, MATCH(WIP!J217, Helper!$E:$E, 0))</f>
        <v>#FFDD21</v>
      </c>
      <c r="L217" s="61" t="s">
        <v>600</v>
      </c>
      <c r="M217" s="61" t="s">
        <v>619</v>
      </c>
      <c r="N217" s="62" t="s">
        <v>1048</v>
      </c>
      <c r="O217" s="40" t="s">
        <v>1045</v>
      </c>
    </row>
    <row r="218" spans="1:15" x14ac:dyDescent="0.4">
      <c r="A218" s="60">
        <v>215</v>
      </c>
      <c r="B218" s="60">
        <v>3</v>
      </c>
      <c r="C218" s="61" t="str">
        <f>INDEX(Helper!$N$2:$N$4, MATCH(WIP!B218,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MATCH(WIP!G218, Helper!$A:$A, 0))</f>
        <v>C#G#C#F#A#D#</v>
      </c>
      <c r="I218" s="60" t="s">
        <v>908</v>
      </c>
      <c r="J218" s="80" t="s">
        <v>15</v>
      </c>
      <c r="K218" s="60" t="str">
        <f>INDEX(Helper!$F:$F, MATCH(WIP!J218, Helper!$E:$E, 0))</f>
        <v>#C2C2A1</v>
      </c>
      <c r="L218" s="61" t="s">
        <v>601</v>
      </c>
      <c r="M218" s="61" t="s">
        <v>619</v>
      </c>
      <c r="N218" s="61" t="s">
        <v>1047</v>
      </c>
      <c r="O218" s="40" t="s">
        <v>1046</v>
      </c>
    </row>
    <row r="219" spans="1:15" x14ac:dyDescent="0.4">
      <c r="A219" s="60">
        <v>216</v>
      </c>
      <c r="B219" s="60">
        <v>2</v>
      </c>
      <c r="C219" s="61" t="str">
        <f>INDEX(Helper!$N$2:$N$4, MATCH(WIP!B219,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MATCH(WIP!G219, Helper!$A:$A, 0))</f>
        <v>CGCFAD</v>
      </c>
      <c r="I219" s="60" t="s">
        <v>68</v>
      </c>
      <c r="J219" s="80" t="s">
        <v>15</v>
      </c>
      <c r="K219" s="60" t="str">
        <f>INDEX(Helper!$F:$F, MATCH(WIP!J219, Helper!$E:$E, 0))</f>
        <v>#C2C2A1</v>
      </c>
      <c r="L219" s="61" t="s">
        <v>602</v>
      </c>
      <c r="M219" s="61" t="s">
        <v>619</v>
      </c>
      <c r="N219" s="61" t="s">
        <v>1051</v>
      </c>
      <c r="O219" s="40" t="s">
        <v>1050</v>
      </c>
    </row>
    <row r="220" spans="1:15" x14ac:dyDescent="0.4">
      <c r="A220" s="60">
        <v>217</v>
      </c>
      <c r="B220" s="60">
        <v>3</v>
      </c>
      <c r="C220" s="61" t="str">
        <f>INDEX(Helper!$N$2:$N$4, MATCH(WIP!B220,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MATCH(WIP!G220, Helper!$A:$A, 0))</f>
        <v>CGCFAD</v>
      </c>
      <c r="I220" s="60" t="s">
        <v>68</v>
      </c>
      <c r="J220" s="80" t="s">
        <v>15</v>
      </c>
      <c r="K220" s="60" t="str">
        <f>INDEX(Helper!$F:$F, MATCH(WIP!J220, Helper!$E:$E, 0))</f>
        <v>#C2C2A1</v>
      </c>
      <c r="L220" s="61" t="s">
        <v>603</v>
      </c>
      <c r="M220" s="61" t="s">
        <v>619</v>
      </c>
      <c r="N220" s="61" t="s">
        <v>1055</v>
      </c>
      <c r="O220" s="40" t="s">
        <v>1054</v>
      </c>
    </row>
    <row r="221" spans="1:15" x14ac:dyDescent="0.4">
      <c r="A221" s="60">
        <v>218</v>
      </c>
      <c r="B221" s="60">
        <v>3</v>
      </c>
      <c r="C221" s="61" t="str">
        <f>INDEX(Helper!$N$2:$N$4, MATCH(WIP!B221,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MATCH(WIP!G221, Helper!$A:$A, 0))</f>
        <v>Half Step Down (D#G#C#F#A#D#)</v>
      </c>
      <c r="I221" s="60" t="s">
        <v>908</v>
      </c>
      <c r="J221" s="81" t="s">
        <v>13</v>
      </c>
      <c r="K221" s="60" t="str">
        <f>INDEX(Helper!$F:$F, MATCH(WIP!J221, Helper!$E:$E, 0))</f>
        <v>#FF4F53</v>
      </c>
      <c r="L221" s="61" t="s">
        <v>604</v>
      </c>
      <c r="M221" s="61" t="s">
        <v>619</v>
      </c>
      <c r="N221" s="61" t="s">
        <v>1057</v>
      </c>
      <c r="O221" s="40" t="s">
        <v>1056</v>
      </c>
    </row>
    <row r="222" spans="1:15" x14ac:dyDescent="0.4">
      <c r="A222" s="60">
        <v>219</v>
      </c>
      <c r="B222" s="60">
        <v>3</v>
      </c>
      <c r="C222" s="61" t="str">
        <f>INDEX(Helper!$N$2:$N$4, MATCH(WIP!B222,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MATCH(WIP!G222, Helper!$A:$A, 0))</f>
        <v>Standard (EADGBE)</v>
      </c>
      <c r="I222" s="60" t="s">
        <v>68</v>
      </c>
      <c r="J222" s="73" t="s">
        <v>21</v>
      </c>
      <c r="K222" s="60" t="str">
        <f>INDEX(Helper!$F:$F, MATCH(WIP!J222, Helper!$E:$E, 0))</f>
        <v>#45F0E2</v>
      </c>
      <c r="L222" s="61" t="s">
        <v>605</v>
      </c>
      <c r="M222" s="61" t="s">
        <v>619</v>
      </c>
      <c r="N222" s="61" t="s">
        <v>1059</v>
      </c>
      <c r="O222" s="40" t="s">
        <v>1058</v>
      </c>
    </row>
    <row r="223" spans="1:15" x14ac:dyDescent="0.4">
      <c r="A223" s="60">
        <v>220</v>
      </c>
      <c r="B223" s="60">
        <v>3</v>
      </c>
      <c r="C223" s="61" t="str">
        <f>INDEX(Helper!$N$2:$N$4, MATCH(WIP!B223,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MATCH(WIP!G223, Helper!$A:$A, 0))</f>
        <v>Standard (EADGBE)</v>
      </c>
      <c r="I223" s="60" t="s">
        <v>395</v>
      </c>
      <c r="J223" s="73" t="s">
        <v>21</v>
      </c>
      <c r="K223" s="60" t="str">
        <f>INDEX(Helper!$F:$F, MATCH(WIP!J223, Helper!$E:$E, 0))</f>
        <v>#45F0E2</v>
      </c>
      <c r="L223" s="61" t="s">
        <v>606</v>
      </c>
      <c r="M223" s="61" t="s">
        <v>619</v>
      </c>
      <c r="N223" s="61" t="s">
        <v>1061</v>
      </c>
      <c r="O223" s="40" t="s">
        <v>1060</v>
      </c>
    </row>
    <row r="224" spans="1:15" x14ac:dyDescent="0.4">
      <c r="A224" s="60">
        <v>221</v>
      </c>
      <c r="B224" s="60">
        <v>3</v>
      </c>
      <c r="C224" s="61" t="str">
        <f>INDEX(Helper!$N$2:$N$4, MATCH(WIP!B224,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MATCH(WIP!G224, Helper!$A:$A, 0))</f>
        <v>Dropped A (AEADF#B)</v>
      </c>
      <c r="I224" s="60" t="s">
        <v>631</v>
      </c>
      <c r="J224" s="80" t="s">
        <v>15</v>
      </c>
      <c r="K224" s="60" t="str">
        <f>INDEX(Helper!$F:$F, MATCH(WIP!J224, Helper!$E:$E, 0))</f>
        <v>#C2C2A1</v>
      </c>
      <c r="L224" s="61" t="s">
        <v>607</v>
      </c>
      <c r="M224" s="61" t="s">
        <v>619</v>
      </c>
      <c r="N224" s="61" t="s">
        <v>1063</v>
      </c>
      <c r="O224" s="40" t="s">
        <v>1062</v>
      </c>
    </row>
    <row r="225" spans="1:15" x14ac:dyDescent="0.4">
      <c r="A225" s="60">
        <v>222</v>
      </c>
      <c r="B225" s="60">
        <v>3</v>
      </c>
      <c r="C225" s="61" t="str">
        <f>INDEX(Helper!$N$2:$N$4, MATCH(WIP!B225,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MATCH(WIP!G225, Helper!$A:$A, 0))</f>
        <v>Drop D (DADGBE)</v>
      </c>
      <c r="I225" s="60" t="s">
        <v>908</v>
      </c>
      <c r="J225" s="80" t="s">
        <v>15</v>
      </c>
      <c r="K225" s="60" t="str">
        <f>INDEX(Helper!$F:$F, MATCH(WIP!J225, Helper!$E:$E, 0))</f>
        <v>#C2C2A1</v>
      </c>
      <c r="L225" s="64" t="s">
        <v>608</v>
      </c>
      <c r="M225" s="61" t="s">
        <v>619</v>
      </c>
      <c r="N225" s="64" t="s">
        <v>1066</v>
      </c>
      <c r="O225" s="40" t="s">
        <v>1135</v>
      </c>
    </row>
    <row r="226" spans="1:15" x14ac:dyDescent="0.4">
      <c r="A226" s="60">
        <v>223</v>
      </c>
      <c r="B226" s="60">
        <v>3</v>
      </c>
      <c r="C226" s="61" t="str">
        <f>INDEX(Helper!$N$2:$N$4, MATCH(WIP!B226,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MATCH(WIP!G226, Helper!$A:$A, 0))</f>
        <v>CGCFAD</v>
      </c>
      <c r="I226" s="60" t="s">
        <v>645</v>
      </c>
      <c r="J226" s="80" t="s">
        <v>15</v>
      </c>
      <c r="K226" s="60" t="str">
        <f>INDEX(Helper!$F:$F, MATCH(WIP!J226, Helper!$E:$E, 0))</f>
        <v>#C2C2A1</v>
      </c>
      <c r="L226" s="61" t="s">
        <v>609</v>
      </c>
      <c r="M226" s="61" t="s">
        <v>619</v>
      </c>
      <c r="N226" s="62" t="s">
        <v>1068</v>
      </c>
      <c r="O226" s="40" t="s">
        <v>1067</v>
      </c>
    </row>
    <row r="227" spans="1:15" x14ac:dyDescent="0.4">
      <c r="A227" s="60">
        <v>224</v>
      </c>
      <c r="B227" s="60">
        <v>3</v>
      </c>
      <c r="C227" s="61" t="str">
        <f>INDEX(Helper!$N$2:$N$4, MATCH(WIP!B227,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MATCH(WIP!G227, Helper!$A:$A, 0))</f>
        <v>Standard (EADGBE)</v>
      </c>
      <c r="I227" s="60" t="s">
        <v>60</v>
      </c>
      <c r="J227" s="79" t="s">
        <v>19</v>
      </c>
      <c r="K227" s="60" t="str">
        <f>INDEX(Helper!$F:$F, MATCH(WIP!J227, Helper!$E:$E, 0))</f>
        <v>#FFDD21</v>
      </c>
      <c r="L227" s="61" t="s">
        <v>382</v>
      </c>
      <c r="M227" s="61" t="s">
        <v>619</v>
      </c>
      <c r="N227" s="62" t="s">
        <v>1070</v>
      </c>
      <c r="O227" s="40" t="s">
        <v>1069</v>
      </c>
    </row>
    <row r="228" spans="1:15" x14ac:dyDescent="0.4">
      <c r="A228" s="60">
        <v>225</v>
      </c>
      <c r="B228" s="60">
        <v>3</v>
      </c>
      <c r="C228" s="61" t="str">
        <f>INDEX(Helper!$N$2:$N$4, MATCH(WIP!B228,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MATCH(WIP!G228, Helper!$A:$A, 0))</f>
        <v>Standard (EADGBE)</v>
      </c>
      <c r="I228" s="60" t="s">
        <v>395</v>
      </c>
      <c r="J228" s="81" t="s">
        <v>13</v>
      </c>
      <c r="K228" s="60" t="str">
        <f>INDEX(Helper!$F:$F, MATCH(WIP!J228, Helper!$E:$E, 0))</f>
        <v>#FF4F53</v>
      </c>
      <c r="L228" s="61" t="s">
        <v>610</v>
      </c>
      <c r="M228" s="61" t="s">
        <v>619</v>
      </c>
      <c r="N228" s="61" t="s">
        <v>996</v>
      </c>
      <c r="O228" s="40" t="s">
        <v>995</v>
      </c>
    </row>
    <row r="229" spans="1:15" x14ac:dyDescent="0.4">
      <c r="A229" s="60">
        <v>226</v>
      </c>
      <c r="B229" s="60">
        <v>3</v>
      </c>
      <c r="C229" s="61" t="str">
        <f>INDEX(Helper!$N$2:$N$4, MATCH(WIP!B229,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MATCH(WIP!G229, Helper!$A:$A, 0))</f>
        <v>Standard (EADGBE)</v>
      </c>
      <c r="I229" s="60" t="s">
        <v>67</v>
      </c>
      <c r="J229" s="80" t="s">
        <v>15</v>
      </c>
      <c r="K229" s="60" t="str">
        <f>INDEX(Helper!$F:$F, MATCH(WIP!J229, Helper!$E:$E, 0))</f>
        <v>#C2C2A1</v>
      </c>
      <c r="L229" s="61" t="s">
        <v>398</v>
      </c>
      <c r="M229" s="61" t="s">
        <v>619</v>
      </c>
      <c r="N229" s="61" t="s">
        <v>1072</v>
      </c>
      <c r="O229" s="40" t="s">
        <v>1071</v>
      </c>
    </row>
    <row r="230" spans="1:15" x14ac:dyDescent="0.4">
      <c r="A230" s="60">
        <v>227</v>
      </c>
      <c r="B230" s="60">
        <v>3</v>
      </c>
      <c r="C230" s="61" t="str">
        <f>INDEX(Helper!$N$2:$N$4, MATCH(WIP!B230,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MATCH(WIP!G230, Helper!$A:$A, 0))</f>
        <v>Drop D (DADGBE)</v>
      </c>
      <c r="I230" s="60" t="s">
        <v>65</v>
      </c>
      <c r="J230" s="81" t="s">
        <v>13</v>
      </c>
      <c r="K230" s="60" t="str">
        <f>INDEX(Helper!$F:$F, MATCH(WIP!J230, Helper!$E:$E, 0))</f>
        <v>#FF4F53</v>
      </c>
      <c r="L230" s="61" t="s">
        <v>483</v>
      </c>
      <c r="M230" s="61" t="s">
        <v>619</v>
      </c>
      <c r="N230" s="61" t="s">
        <v>1073</v>
      </c>
      <c r="O230" s="40" t="s">
        <v>1134</v>
      </c>
    </row>
    <row r="231" spans="1:15" x14ac:dyDescent="0.4">
      <c r="A231" s="60">
        <v>228</v>
      </c>
      <c r="B231" s="60">
        <v>1</v>
      </c>
      <c r="C231" s="61" t="str">
        <f>INDEX(Helper!$N$2:$N$4, MATCH(WIP!B231,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MATCH(WIP!G231, Helper!$A:$A, 0))</f>
        <v>Standard (EADGBE)</v>
      </c>
      <c r="I231" s="60" t="s">
        <v>645</v>
      </c>
      <c r="J231" s="81" t="s">
        <v>13</v>
      </c>
      <c r="K231" s="60" t="str">
        <f>INDEX(Helper!$F:$F, MATCH(WIP!J231, Helper!$E:$E, 0))</f>
        <v>#FF4F53</v>
      </c>
      <c r="L231" s="61" t="s">
        <v>994</v>
      </c>
      <c r="M231" s="61" t="s">
        <v>648</v>
      </c>
      <c r="N231" s="62" t="s">
        <v>1075</v>
      </c>
      <c r="O231" s="40" t="s">
        <v>1074</v>
      </c>
    </row>
    <row r="232" spans="1:15" x14ac:dyDescent="0.4">
      <c r="A232" s="60">
        <v>229</v>
      </c>
      <c r="B232" s="60">
        <v>2</v>
      </c>
      <c r="C232" s="61" t="str">
        <f>INDEX(Helper!$N$2:$N$4, MATCH(WIP!B232,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MATCH(WIP!G232, Helper!$A:$A, 0))</f>
        <v>Half Step Down (D#G#C#F#A#D#)</v>
      </c>
      <c r="I232" s="60" t="s">
        <v>639</v>
      </c>
      <c r="J232" s="81" t="s">
        <v>13</v>
      </c>
      <c r="K232" s="60" t="str">
        <f>INDEX(Helper!$F:$F, MATCH(WIP!J232, Helper!$E:$E, 0))</f>
        <v>#FF4F53</v>
      </c>
      <c r="L232" s="61" t="s">
        <v>1076</v>
      </c>
      <c r="M232" s="61" t="s">
        <v>619</v>
      </c>
      <c r="N232" s="62" t="s">
        <v>1077</v>
      </c>
      <c r="O232" s="40" t="s">
        <v>1109</v>
      </c>
    </row>
    <row r="233" spans="1:15" x14ac:dyDescent="0.4">
      <c r="A233" s="60">
        <v>230</v>
      </c>
      <c r="B233" s="60">
        <v>3</v>
      </c>
      <c r="C233" s="61" t="str">
        <f>INDEX(Helper!$N$2:$N$4, MATCH(WIP!B233, Helper!$M$2:$M$4, 0))</f>
        <v>Advanced</v>
      </c>
      <c r="D233" s="61" t="s">
        <v>254</v>
      </c>
      <c r="E233" s="61" t="s">
        <v>1081</v>
      </c>
      <c r="F233" s="5">
        <v>0</v>
      </c>
      <c r="G233" s="60">
        <v>1</v>
      </c>
      <c r="H233" s="60" t="str">
        <f>INDEX(Helper!$C:$C, MATCH(WIP!G233, Helper!$A:$A, 0))</f>
        <v>Standard (EADGBE)</v>
      </c>
      <c r="I233" s="60" t="s">
        <v>990</v>
      </c>
      <c r="J233" s="80" t="s">
        <v>15</v>
      </c>
      <c r="K233" s="60" t="str">
        <f>INDEX(Helper!$F:$F, MATCH(WIP!J233, Helper!$E:$E, 0))</f>
        <v>#C2C2A1</v>
      </c>
      <c r="L233" s="61" t="s">
        <v>1078</v>
      </c>
      <c r="M233" s="61" t="s">
        <v>619</v>
      </c>
      <c r="N233" s="62" t="s">
        <v>1080</v>
      </c>
      <c r="O233" s="40" t="s">
        <v>1079</v>
      </c>
    </row>
  </sheetData>
  <autoFilter ref="A2:O233"/>
  <sortState ref="H238:H469">
    <sortCondition ref="H238:H469"/>
  </sortState>
  <mergeCells count="3">
    <mergeCell ref="J1:K1"/>
    <mergeCell ref="B1:C1"/>
    <mergeCell ref="G1:H1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</hyperlink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3"/>
  <sheetViews>
    <sheetView workbookViewId="0">
      <selection activeCell="E14" sqref="E14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customWidth="1"/>
    <col min="8" max="8" width="26.921875" customWidth="1"/>
    <col min="9" max="9" width="6.3046875" customWidth="1"/>
    <col min="10" max="10" width="16" customWidth="1"/>
    <col min="12" max="14" width="18" customWidth="1"/>
    <col min="15" max="15" width="123.69140625" style="1" customWidth="1"/>
  </cols>
  <sheetData>
    <row r="1" spans="1:15" x14ac:dyDescent="0.4">
      <c r="A1" s="109" t="s">
        <v>0</v>
      </c>
      <c r="B1" s="112" t="s">
        <v>1</v>
      </c>
      <c r="C1" s="113"/>
      <c r="D1" s="109" t="s">
        <v>2</v>
      </c>
      <c r="E1" s="109" t="s">
        <v>3</v>
      </c>
      <c r="F1" s="98" t="s">
        <v>75</v>
      </c>
      <c r="G1" s="110" t="s">
        <v>9</v>
      </c>
      <c r="H1" s="111"/>
      <c r="I1" s="109" t="s">
        <v>8</v>
      </c>
      <c r="J1" s="109" t="s">
        <v>4</v>
      </c>
      <c r="K1" s="109"/>
      <c r="L1" s="109" t="s">
        <v>7</v>
      </c>
      <c r="M1" s="98" t="s">
        <v>618</v>
      </c>
      <c r="N1" s="98" t="s">
        <v>613</v>
      </c>
      <c r="O1" s="109" t="s">
        <v>71</v>
      </c>
    </row>
    <row r="2" spans="1:15" x14ac:dyDescent="0.4">
      <c r="A2" s="109"/>
      <c r="B2" s="114"/>
      <c r="C2" s="115"/>
      <c r="D2" s="109"/>
      <c r="E2" s="109"/>
      <c r="F2" s="99"/>
      <c r="G2" s="8" t="s">
        <v>57</v>
      </c>
      <c r="H2" s="8" t="s">
        <v>58</v>
      </c>
      <c r="I2" s="109"/>
      <c r="J2" s="8" t="s">
        <v>6</v>
      </c>
      <c r="K2" s="8" t="s">
        <v>5</v>
      </c>
      <c r="L2" s="109"/>
      <c r="M2" s="99"/>
      <c r="N2" s="99"/>
      <c r="O2" s="109"/>
    </row>
    <row r="3" spans="1:15" x14ac:dyDescent="0.4">
      <c r="A3" s="4" t="str">
        <f t="shared" ref="A3:O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</row>
    <row r="4" spans="1:15" x14ac:dyDescent="0.4">
      <c r="A4" s="60">
        <v>1</v>
      </c>
      <c r="B4" s="60">
        <v>2</v>
      </c>
      <c r="C4" s="61" t="str">
        <f>INDEX(Helper!$N$2:$N$4, MATCH(B4, Helper!$M$2:$M$4, 0))</f>
        <v>Intermediate</v>
      </c>
      <c r="D4" s="71" t="s">
        <v>237</v>
      </c>
      <c r="E4" s="72" t="s">
        <v>217</v>
      </c>
      <c r="F4" s="5">
        <v>0</v>
      </c>
      <c r="G4" s="60">
        <v>1</v>
      </c>
      <c r="H4" s="60" t="str">
        <f>INDEX(Helper!$C:$C, MATCH(G4, Helper!$A:$A, 0))</f>
        <v>Standard (EADGBE)</v>
      </c>
      <c r="I4" s="60" t="s">
        <v>62</v>
      </c>
      <c r="J4" s="73" t="s">
        <v>21</v>
      </c>
      <c r="K4" s="60" t="str">
        <f>INDEX(Helper!$F:$F, MATCH(J4, Helper!$E:$E, 0))</f>
        <v>#45F0E2</v>
      </c>
      <c r="L4" s="61" t="s">
        <v>808</v>
      </c>
      <c r="M4" s="61" t="s">
        <v>619</v>
      </c>
      <c r="N4" s="62" t="s">
        <v>649</v>
      </c>
      <c r="O4" s="21" t="s">
        <v>642</v>
      </c>
    </row>
    <row r="5" spans="1:15" x14ac:dyDescent="0.4">
      <c r="A5" s="60">
        <v>2</v>
      </c>
      <c r="B5" s="60">
        <v>1</v>
      </c>
      <c r="C5" s="61" t="str">
        <f>INDEX(Helper!$N$2:$N$4, MATCH(B5, Helper!$M$2:$M$4, 0))</f>
        <v>Beginner</v>
      </c>
      <c r="D5" s="74" t="s">
        <v>186</v>
      </c>
      <c r="E5" s="72" t="s">
        <v>218</v>
      </c>
      <c r="F5" s="5">
        <v>1</v>
      </c>
      <c r="G5" s="60">
        <v>1</v>
      </c>
      <c r="H5" s="60" t="str">
        <f>INDEX(Helper!$C:$C, MATCH(G5, Helper!$A:$A, 0))</f>
        <v>Standard (EADGBE)</v>
      </c>
      <c r="I5" s="60" t="s">
        <v>59</v>
      </c>
      <c r="J5" s="75" t="s">
        <v>10</v>
      </c>
      <c r="K5" s="60" t="str">
        <f>INDEX(Helper!$F:$F, MATCH(J5, Helper!$E:$E, 0))</f>
        <v>#F5943C</v>
      </c>
      <c r="L5" s="61" t="s">
        <v>399</v>
      </c>
      <c r="M5" s="61" t="s">
        <v>619</v>
      </c>
      <c r="N5" s="62" t="s">
        <v>650</v>
      </c>
      <c r="O5" s="21" t="s">
        <v>800</v>
      </c>
    </row>
    <row r="6" spans="1:15" x14ac:dyDescent="0.4">
      <c r="A6" s="60">
        <v>3</v>
      </c>
      <c r="B6" s="60">
        <v>1</v>
      </c>
      <c r="C6" s="61" t="str">
        <f>INDEX(Helper!$N$2:$N$4, MATCH(B6, Helper!$M$2:$M$4, 0))</f>
        <v>Beginner</v>
      </c>
      <c r="D6" s="74" t="s">
        <v>34</v>
      </c>
      <c r="E6" s="72" t="s">
        <v>219</v>
      </c>
      <c r="F6" s="5">
        <v>1</v>
      </c>
      <c r="G6" s="60">
        <v>1</v>
      </c>
      <c r="H6" s="60" t="str">
        <f>INDEX(Helper!$C:$C, MATCH(G6, Helper!$A:$A, 0))</f>
        <v>Standard (EADGBE)</v>
      </c>
      <c r="I6" s="60" t="s">
        <v>65</v>
      </c>
      <c r="J6" s="75" t="s">
        <v>10</v>
      </c>
      <c r="K6" s="60" t="str">
        <f>INDEX(Helper!$F:$F, MATCH(J6, Helper!$E:$E, 0))</f>
        <v>#F5943C</v>
      </c>
      <c r="L6" s="61" t="s">
        <v>393</v>
      </c>
      <c r="M6" s="61" t="s">
        <v>619</v>
      </c>
      <c r="N6" s="62" t="s">
        <v>653</v>
      </c>
      <c r="O6" s="21" t="s">
        <v>643</v>
      </c>
    </row>
    <row r="7" spans="1:15" x14ac:dyDescent="0.4">
      <c r="A7" s="60">
        <v>4</v>
      </c>
      <c r="B7" s="60">
        <v>1</v>
      </c>
      <c r="C7" s="61" t="str">
        <f>INDEX(Helper!$N$2:$N$4, MATCH(B7, Helper!$M$2:$M$4, 0))</f>
        <v>Beginner</v>
      </c>
      <c r="D7" s="74" t="s">
        <v>134</v>
      </c>
      <c r="E7" s="72" t="s">
        <v>220</v>
      </c>
      <c r="F7" s="5">
        <v>0</v>
      </c>
      <c r="G7" s="60">
        <v>1</v>
      </c>
      <c r="H7" s="60" t="str">
        <f>INDEX(Helper!$C:$C, MATCH(G7, Helper!$A:$A, 0))</f>
        <v>Standard (EADGBE)</v>
      </c>
      <c r="I7" s="60" t="s">
        <v>67</v>
      </c>
      <c r="J7" s="73" t="s">
        <v>21</v>
      </c>
      <c r="K7" s="60" t="str">
        <f>INDEX(Helper!$F:$F, MATCH(J7, Helper!$E:$E, 0))</f>
        <v>#45F0E2</v>
      </c>
      <c r="L7" s="61" t="s">
        <v>400</v>
      </c>
      <c r="M7" s="61" t="s">
        <v>619</v>
      </c>
      <c r="N7" s="62" t="s">
        <v>654</v>
      </c>
      <c r="O7" s="21" t="s">
        <v>798</v>
      </c>
    </row>
    <row r="8" spans="1:15" x14ac:dyDescent="0.4">
      <c r="A8" s="60">
        <v>5</v>
      </c>
      <c r="B8" s="60">
        <v>1</v>
      </c>
      <c r="C8" s="61" t="str">
        <f>INDEX(Helper!$N$2:$N$4, MATCH(B8, Helper!$M$2:$M$4, 0))</f>
        <v>Beginner</v>
      </c>
      <c r="D8" s="74" t="s">
        <v>221</v>
      </c>
      <c r="E8" s="72" t="s">
        <v>401</v>
      </c>
      <c r="F8" s="5">
        <v>0</v>
      </c>
      <c r="G8" s="60">
        <v>1</v>
      </c>
      <c r="H8" s="60" t="str">
        <f>INDEX(Helper!$C:$C, MATCH(G8, Helper!$A:$A, 0))</f>
        <v>Standard (EADGBE)</v>
      </c>
      <c r="I8" s="60" t="s">
        <v>395</v>
      </c>
      <c r="J8" s="75" t="s">
        <v>10</v>
      </c>
      <c r="K8" s="60" t="str">
        <f>INDEX(Helper!$F:$F, MATCH(J8, Helper!$E:$E, 0))</f>
        <v>#F5943C</v>
      </c>
      <c r="L8" s="61" t="s">
        <v>402</v>
      </c>
      <c r="M8" s="61" t="s">
        <v>619</v>
      </c>
      <c r="N8" s="62" t="s">
        <v>655</v>
      </c>
      <c r="O8" s="21" t="s">
        <v>746</v>
      </c>
    </row>
    <row r="9" spans="1:15" x14ac:dyDescent="0.4">
      <c r="A9" s="60">
        <v>6</v>
      </c>
      <c r="B9" s="60">
        <v>1</v>
      </c>
      <c r="C9" s="61" t="str">
        <f>INDEX(Helper!$N$2:$N$4, MATCH(B9, Helper!$M$2:$M$4, 0))</f>
        <v>Beginner</v>
      </c>
      <c r="D9" s="74" t="s">
        <v>222</v>
      </c>
      <c r="E9" s="72" t="s">
        <v>223</v>
      </c>
      <c r="F9" s="5">
        <v>0</v>
      </c>
      <c r="G9" s="60">
        <v>1</v>
      </c>
      <c r="H9" s="60" t="str">
        <f>INDEX(Helper!$C:$C, MATCH(G9, Helper!$A:$A, 0))</f>
        <v>Standard (EADGBE)</v>
      </c>
      <c r="I9" s="60" t="s">
        <v>624</v>
      </c>
      <c r="J9" s="76" t="s">
        <v>29</v>
      </c>
      <c r="K9" s="60" t="str">
        <f>INDEX(Helper!$F:$F, MATCH(J9, Helper!$E:$E, 0))</f>
        <v>#66E586</v>
      </c>
      <c r="L9" s="61" t="s">
        <v>403</v>
      </c>
      <c r="M9" s="61" t="s">
        <v>619</v>
      </c>
      <c r="N9" s="62" t="s">
        <v>656</v>
      </c>
      <c r="O9" s="21" t="s">
        <v>1180</v>
      </c>
    </row>
    <row r="10" spans="1:15" x14ac:dyDescent="0.4">
      <c r="A10" s="60">
        <v>7</v>
      </c>
      <c r="B10" s="60">
        <v>1</v>
      </c>
      <c r="C10" s="61" t="str">
        <f>INDEX(Helper!$N$2:$N$4, MATCH(B10, Helper!$M$2:$M$4, 0))</f>
        <v>Beginner</v>
      </c>
      <c r="D10" s="74" t="s">
        <v>224</v>
      </c>
      <c r="E10" s="66" t="s">
        <v>225</v>
      </c>
      <c r="F10" s="5">
        <v>0</v>
      </c>
      <c r="G10" s="60">
        <v>1</v>
      </c>
      <c r="H10" s="60" t="str">
        <f>INDEX(Helper!$C:$C, MATCH(G10, Helper!$A:$A, 0))</f>
        <v>Standard (EADGBE)</v>
      </c>
      <c r="I10" s="60" t="s">
        <v>63</v>
      </c>
      <c r="J10" s="75" t="s">
        <v>10</v>
      </c>
      <c r="K10" s="60" t="str">
        <f>INDEX(Helper!$F:$F, MATCH(J10, Helper!$E:$E, 0))</f>
        <v>#F5943C</v>
      </c>
      <c r="L10" s="61" t="s">
        <v>394</v>
      </c>
      <c r="M10" s="61" t="s">
        <v>619</v>
      </c>
      <c r="N10" s="62" t="s">
        <v>657</v>
      </c>
      <c r="O10" s="21" t="s">
        <v>1110</v>
      </c>
    </row>
    <row r="11" spans="1:15" x14ac:dyDescent="0.4">
      <c r="A11" s="60">
        <v>8</v>
      </c>
      <c r="B11" s="60">
        <v>1</v>
      </c>
      <c r="C11" s="61" t="str">
        <f>INDEX(Helper!$N$2:$N$4, MATCH(B11, Helper!$M$2:$M$4, 0))</f>
        <v>Beginner</v>
      </c>
      <c r="D11" s="74" t="s">
        <v>226</v>
      </c>
      <c r="E11" s="66" t="s">
        <v>227</v>
      </c>
      <c r="F11" s="5">
        <v>1</v>
      </c>
      <c r="G11" s="60">
        <v>3</v>
      </c>
      <c r="H11" s="60" t="str">
        <f>INDEX(Helper!$C:$C, MATCH(G11, Helper!$A:$A, 0))</f>
        <v>Half Step Down (D#G#C#F#A#D#)</v>
      </c>
      <c r="I11" s="60" t="s">
        <v>623</v>
      </c>
      <c r="J11" s="77" t="s">
        <v>11</v>
      </c>
      <c r="K11" s="60" t="str">
        <f>INDEX(Helper!$F:$F, MATCH(J11, Helper!$E:$E, 0))</f>
        <v>#E8AD1D</v>
      </c>
      <c r="L11" s="61" t="s">
        <v>387</v>
      </c>
      <c r="M11" s="61" t="s">
        <v>619</v>
      </c>
      <c r="N11" s="62" t="s">
        <v>658</v>
      </c>
      <c r="O11" s="21" t="s">
        <v>818</v>
      </c>
    </row>
    <row r="12" spans="1:15" x14ac:dyDescent="0.4">
      <c r="A12" s="60">
        <v>9</v>
      </c>
      <c r="B12" s="60">
        <v>1</v>
      </c>
      <c r="C12" s="61" t="str">
        <f>INDEX(Helper!$N$2:$N$4, MATCH(B12, Helper!$M$2:$M$4, 0))</f>
        <v>Beginner</v>
      </c>
      <c r="D12" s="74" t="s">
        <v>34</v>
      </c>
      <c r="E12" s="66" t="s">
        <v>228</v>
      </c>
      <c r="F12" s="5">
        <v>0</v>
      </c>
      <c r="G12" s="60">
        <v>1</v>
      </c>
      <c r="H12" s="60" t="str">
        <f>INDEX(Helper!$C:$C, MATCH(G12, Helper!$A:$A, 0))</f>
        <v>Standard (EADGBE)</v>
      </c>
      <c r="I12" s="60" t="s">
        <v>63</v>
      </c>
      <c r="J12" s="75" t="s">
        <v>10</v>
      </c>
      <c r="K12" s="60" t="str">
        <f>INDEX(Helper!$F:$F, MATCH(J12, Helper!$E:$E, 0))</f>
        <v>#F5943C</v>
      </c>
      <c r="L12" s="61" t="s">
        <v>404</v>
      </c>
      <c r="M12" s="61" t="s">
        <v>619</v>
      </c>
      <c r="N12" s="62" t="s">
        <v>659</v>
      </c>
      <c r="O12" s="21" t="s">
        <v>1181</v>
      </c>
    </row>
    <row r="13" spans="1:15" x14ac:dyDescent="0.4">
      <c r="A13" s="60">
        <v>10</v>
      </c>
      <c r="B13" s="60">
        <v>1</v>
      </c>
      <c r="C13" s="61" t="str">
        <f>INDEX(Helper!$N$2:$N$4, MATCH(B13, Helper!$M$2:$M$4, 0))</f>
        <v>Beginner</v>
      </c>
      <c r="D13" s="74" t="s">
        <v>229</v>
      </c>
      <c r="E13" s="66" t="s">
        <v>230</v>
      </c>
      <c r="F13" s="5">
        <v>1</v>
      </c>
      <c r="G13" s="60">
        <v>1</v>
      </c>
      <c r="H13" s="60" t="str">
        <f>INDEX(Helper!$C:$C, MATCH(G13, Helper!$A:$A, 0))</f>
        <v>Standard (EADGBE)</v>
      </c>
      <c r="I13" s="60" t="s">
        <v>63</v>
      </c>
      <c r="J13" s="75" t="s">
        <v>10</v>
      </c>
      <c r="K13" s="60" t="str">
        <f>INDEX(Helper!$F:$F, MATCH(J13, Helper!$E:$E, 0))</f>
        <v>#F5943C</v>
      </c>
      <c r="L13" s="61" t="s">
        <v>405</v>
      </c>
      <c r="M13" s="61" t="s">
        <v>619</v>
      </c>
      <c r="N13" s="62" t="s">
        <v>660</v>
      </c>
      <c r="O13" s="21" t="s">
        <v>747</v>
      </c>
    </row>
    <row r="14" spans="1:15" x14ac:dyDescent="0.4">
      <c r="A14" s="60">
        <v>11</v>
      </c>
      <c r="B14" s="60">
        <v>1</v>
      </c>
      <c r="C14" s="61" t="str">
        <f>INDEX(Helper!$N$2:$N$4, MATCH(B14, Helper!$M$2:$M$4, 0))</f>
        <v>Beginner</v>
      </c>
      <c r="D14" s="78" t="s">
        <v>93</v>
      </c>
      <c r="E14" s="66" t="s">
        <v>231</v>
      </c>
      <c r="F14" s="5">
        <v>0</v>
      </c>
      <c r="G14" s="60">
        <v>1</v>
      </c>
      <c r="H14" s="60" t="str">
        <f>INDEX(Helper!$C:$C, MATCH(G14, Helper!$A:$A, 0))</f>
        <v>Standard (EADGBE)</v>
      </c>
      <c r="I14" s="60" t="s">
        <v>395</v>
      </c>
      <c r="J14" s="77" t="s">
        <v>11</v>
      </c>
      <c r="K14" s="60" t="str">
        <f>INDEX(Helper!$F:$F, MATCH(J14, Helper!$E:$E, 0))</f>
        <v>#E8AD1D</v>
      </c>
      <c r="L14" s="61" t="s">
        <v>406</v>
      </c>
      <c r="M14" s="61" t="s">
        <v>619</v>
      </c>
      <c r="N14" s="62" t="s">
        <v>661</v>
      </c>
      <c r="O14" s="21" t="s">
        <v>748</v>
      </c>
    </row>
    <row r="15" spans="1:15" x14ac:dyDescent="0.4">
      <c r="A15" s="60">
        <v>12</v>
      </c>
      <c r="B15" s="60">
        <v>2</v>
      </c>
      <c r="C15" s="61" t="str">
        <f>INDEX(Helper!$N$2:$N$4, MATCH(B15, Helper!$M$2:$M$4, 0))</f>
        <v>Intermediate</v>
      </c>
      <c r="D15" s="66" t="s">
        <v>99</v>
      </c>
      <c r="E15" s="66" t="s">
        <v>234</v>
      </c>
      <c r="F15" s="5">
        <v>0</v>
      </c>
      <c r="G15" s="60">
        <v>1</v>
      </c>
      <c r="H15" s="60" t="str">
        <f>INDEX(Helper!$C:$C, MATCH(G15, Helper!$A:$A, 0))</f>
        <v>Standard (EADGBE)</v>
      </c>
      <c r="I15" s="60" t="s">
        <v>61</v>
      </c>
      <c r="J15" s="75" t="s">
        <v>10</v>
      </c>
      <c r="K15" s="60" t="str">
        <f>INDEX(Helper!$F:$F, MATCH(J15, Helper!$E:$E, 0))</f>
        <v>#F5943C</v>
      </c>
      <c r="L15" s="61" t="s">
        <v>407</v>
      </c>
      <c r="M15" s="61" t="s">
        <v>619</v>
      </c>
      <c r="N15" s="62" t="s">
        <v>662</v>
      </c>
      <c r="O15" s="21" t="s">
        <v>1226</v>
      </c>
    </row>
    <row r="16" spans="1:15" x14ac:dyDescent="0.4">
      <c r="A16" s="60">
        <v>13</v>
      </c>
      <c r="B16" s="60">
        <v>1</v>
      </c>
      <c r="C16" s="61" t="str">
        <f>INDEX(Helper!$N$2:$N$4, MATCH(B16, Helper!$M$2:$M$4, 0))</f>
        <v>Beginner</v>
      </c>
      <c r="D16" s="78" t="s">
        <v>235</v>
      </c>
      <c r="E16" s="66" t="s">
        <v>236</v>
      </c>
      <c r="F16" s="5">
        <v>1</v>
      </c>
      <c r="G16" s="60">
        <v>1</v>
      </c>
      <c r="H16" s="60" t="str">
        <f>INDEX(Helper!$C:$C, MATCH(G16, Helper!$A:$A, 0))</f>
        <v>Standard (EADGBE)</v>
      </c>
      <c r="I16" s="60" t="s">
        <v>67</v>
      </c>
      <c r="J16" s="75" t="s">
        <v>10</v>
      </c>
      <c r="K16" s="60" t="str">
        <f>INDEX(Helper!$F:$F, MATCH(J16, Helper!$E:$E, 0))</f>
        <v>#F5943C</v>
      </c>
      <c r="L16" s="61" t="s">
        <v>408</v>
      </c>
      <c r="M16" s="61" t="s">
        <v>619</v>
      </c>
      <c r="N16" s="62" t="s">
        <v>663</v>
      </c>
      <c r="O16" s="21" t="s">
        <v>749</v>
      </c>
    </row>
    <row r="17" spans="1:15" x14ac:dyDescent="0.4">
      <c r="A17" s="60">
        <v>14</v>
      </c>
      <c r="B17" s="60">
        <v>1</v>
      </c>
      <c r="C17" s="61" t="str">
        <f>INDEX(Helper!$N$2:$N$4, MATCH(B17, Helper!$M$2:$M$4, 0))</f>
        <v>Beginner</v>
      </c>
      <c r="D17" s="66" t="s">
        <v>237</v>
      </c>
      <c r="E17" s="66" t="s">
        <v>238</v>
      </c>
      <c r="F17" s="5">
        <v>1</v>
      </c>
      <c r="G17" s="60">
        <v>1</v>
      </c>
      <c r="H17" s="60" t="str">
        <f>INDEX(Helper!$C:$C, MATCH(G17, Helper!$A:$A, 0))</f>
        <v>Standard (EADGBE)</v>
      </c>
      <c r="I17" s="60" t="s">
        <v>65</v>
      </c>
      <c r="J17" s="79" t="s">
        <v>22</v>
      </c>
      <c r="K17" s="60" t="str">
        <f>INDEX(Helper!$F:$F, MATCH(J17, Helper!$E:$E, 0))</f>
        <v>#FFDF66</v>
      </c>
      <c r="L17" s="61" t="s">
        <v>409</v>
      </c>
      <c r="M17" s="61" t="s">
        <v>619</v>
      </c>
      <c r="N17" s="62" t="s">
        <v>664</v>
      </c>
      <c r="O17" s="21" t="s">
        <v>750</v>
      </c>
    </row>
    <row r="18" spans="1:15" x14ac:dyDescent="0.4">
      <c r="A18" s="60">
        <v>15</v>
      </c>
      <c r="B18" s="60">
        <v>1</v>
      </c>
      <c r="C18" s="61" t="str">
        <f>INDEX(Helper!$N$2:$N$4, MATCH(B18, Helper!$M$2:$M$4, 0))</f>
        <v>Beginner</v>
      </c>
      <c r="D18" s="71" t="s">
        <v>36</v>
      </c>
      <c r="E18" s="72" t="s">
        <v>55</v>
      </c>
      <c r="F18" s="5">
        <v>1</v>
      </c>
      <c r="G18" s="60">
        <v>1</v>
      </c>
      <c r="H18" s="60" t="str">
        <f>INDEX(Helper!$C:$C, MATCH(G18, Helper!$A:$A, 0))</f>
        <v>Standard (EADGBE)</v>
      </c>
      <c r="I18" s="60" t="s">
        <v>623</v>
      </c>
      <c r="J18" s="80" t="s">
        <v>15</v>
      </c>
      <c r="K18" s="60" t="str">
        <f>INDEX(Helper!$F:$F, MATCH(J18, Helper!$E:$E, 0))</f>
        <v>#C2C2A1</v>
      </c>
      <c r="L18" s="61" t="s">
        <v>410</v>
      </c>
      <c r="M18" s="61" t="s">
        <v>619</v>
      </c>
      <c r="N18" s="62" t="s">
        <v>665</v>
      </c>
      <c r="O18" s="21" t="s">
        <v>751</v>
      </c>
    </row>
    <row r="19" spans="1:15" x14ac:dyDescent="0.4">
      <c r="A19" s="60">
        <v>16</v>
      </c>
      <c r="B19" s="60">
        <v>1</v>
      </c>
      <c r="C19" s="61" t="str">
        <f>INDEX(Helper!$N$2:$N$4, MATCH(B19, Helper!$M$2:$M$4, 0))</f>
        <v>Beginner</v>
      </c>
      <c r="D19" s="74" t="s">
        <v>125</v>
      </c>
      <c r="E19" s="66" t="s">
        <v>239</v>
      </c>
      <c r="F19" s="5">
        <v>1</v>
      </c>
      <c r="G19" s="60">
        <v>1</v>
      </c>
      <c r="H19" s="60" t="str">
        <f>INDEX(Helper!$C:$C, MATCH(G19, Helper!$A:$A, 0))</f>
        <v>Standard (EADGBE)</v>
      </c>
      <c r="I19" s="60" t="s">
        <v>623</v>
      </c>
      <c r="J19" s="81" t="s">
        <v>13</v>
      </c>
      <c r="K19" s="60" t="str">
        <f>INDEX(Helper!$F:$F, MATCH(J19, Helper!$E:$E, 0))</f>
        <v>#FF4F53</v>
      </c>
      <c r="L19" s="61" t="s">
        <v>411</v>
      </c>
      <c r="M19" s="61" t="s">
        <v>619</v>
      </c>
      <c r="N19" s="62" t="s">
        <v>666</v>
      </c>
      <c r="O19" s="21" t="s">
        <v>819</v>
      </c>
    </row>
    <row r="20" spans="1:15" x14ac:dyDescent="0.4">
      <c r="A20" s="60">
        <v>17</v>
      </c>
      <c r="B20" s="60">
        <v>1</v>
      </c>
      <c r="C20" s="61" t="str">
        <f>INDEX(Helper!$N$2:$N$4, MATCH(B20, Helper!$M$2:$M$4, 0))</f>
        <v>Beginner</v>
      </c>
      <c r="D20" s="71" t="s">
        <v>226</v>
      </c>
      <c r="E20" s="72" t="s">
        <v>240</v>
      </c>
      <c r="F20" s="5">
        <v>1</v>
      </c>
      <c r="G20" s="60">
        <v>1</v>
      </c>
      <c r="H20" s="60" t="str">
        <f>INDEX(Helper!$C:$C, MATCH(G20, Helper!$A:$A, 0))</f>
        <v>Standard (EADGBE)</v>
      </c>
      <c r="I20" s="60" t="s">
        <v>624</v>
      </c>
      <c r="J20" s="82" t="s">
        <v>371</v>
      </c>
      <c r="K20" s="60" t="str">
        <f>INDEX(Helper!$F:$F, MATCH(J20, Helper!$E:$E, 0))</f>
        <v>#B3F141</v>
      </c>
      <c r="L20" s="61" t="s">
        <v>412</v>
      </c>
      <c r="M20" s="61" t="s">
        <v>619</v>
      </c>
      <c r="N20" s="62" t="s">
        <v>667</v>
      </c>
      <c r="O20" s="21" t="s">
        <v>752</v>
      </c>
    </row>
    <row r="21" spans="1:15" x14ac:dyDescent="0.4">
      <c r="A21" s="60">
        <v>18</v>
      </c>
      <c r="B21" s="60">
        <v>1</v>
      </c>
      <c r="C21" s="61" t="str">
        <f>INDEX(Helper!$N$2:$N$4, MATCH(B21, Helper!$M$2:$M$4, 0))</f>
        <v>Beginner</v>
      </c>
      <c r="D21" s="74" t="s">
        <v>413</v>
      </c>
      <c r="E21" s="66" t="s">
        <v>241</v>
      </c>
      <c r="F21" s="5">
        <v>0</v>
      </c>
      <c r="G21" s="60">
        <v>1</v>
      </c>
      <c r="H21" s="60" t="str">
        <f>INDEX(Helper!$C:$C, MATCH(G21, Helper!$A:$A, 0))</f>
        <v>Standard (EADGBE)</v>
      </c>
      <c r="I21" s="60" t="s">
        <v>625</v>
      </c>
      <c r="J21" s="76" t="s">
        <v>372</v>
      </c>
      <c r="K21" s="60" t="str">
        <f>INDEX(Helper!$F:$F, MATCH(J21, Helper!$E:$E, 0))</f>
        <v>#B3F141</v>
      </c>
      <c r="L21" s="61" t="s">
        <v>414</v>
      </c>
      <c r="M21" s="61" t="s">
        <v>619</v>
      </c>
      <c r="N21" s="63" t="s">
        <v>668</v>
      </c>
      <c r="O21" s="21" t="s">
        <v>753</v>
      </c>
    </row>
    <row r="22" spans="1:15" x14ac:dyDescent="0.4">
      <c r="A22" s="60">
        <v>19</v>
      </c>
      <c r="B22" s="60">
        <v>1</v>
      </c>
      <c r="C22" s="61" t="str">
        <f>INDEX(Helper!$N$2:$N$4, MATCH(B22, Helper!$M$2:$M$4, 0))</f>
        <v>Beginner</v>
      </c>
      <c r="D22" s="66" t="s">
        <v>242</v>
      </c>
      <c r="E22" s="66" t="s">
        <v>243</v>
      </c>
      <c r="F22" s="5">
        <v>0</v>
      </c>
      <c r="G22" s="60">
        <v>4</v>
      </c>
      <c r="H22" s="60" t="str">
        <f>INDEX(Helper!$C:$C, MATCH(G22, Helper!$A:$A, 0))</f>
        <v>Open A (EAC#EAE)</v>
      </c>
      <c r="I22" s="60" t="s">
        <v>63</v>
      </c>
      <c r="J22" s="81" t="s">
        <v>13</v>
      </c>
      <c r="K22" s="60" t="str">
        <f>INDEX(Helper!$F:$F, MATCH(J22, Helper!$E:$E, 0))</f>
        <v>#FF4F53</v>
      </c>
      <c r="L22" s="61" t="s">
        <v>415</v>
      </c>
      <c r="M22" s="61" t="s">
        <v>619</v>
      </c>
      <c r="N22" s="63" t="s">
        <v>669</v>
      </c>
      <c r="O22" s="21" t="s">
        <v>1225</v>
      </c>
    </row>
    <row r="23" spans="1:15" x14ac:dyDescent="0.4">
      <c r="A23" s="60">
        <v>20</v>
      </c>
      <c r="B23" s="60">
        <v>1</v>
      </c>
      <c r="C23" s="61" t="str">
        <f>INDEX(Helper!$N$2:$N$4, MATCH(B23, Helper!$M$2:$M$4, 0))</f>
        <v>Beginner</v>
      </c>
      <c r="D23" s="61" t="s">
        <v>237</v>
      </c>
      <c r="E23" s="61" t="s">
        <v>244</v>
      </c>
      <c r="F23" s="5">
        <v>1</v>
      </c>
      <c r="G23" s="60">
        <v>1</v>
      </c>
      <c r="H23" s="60" t="str">
        <f>INDEX(Helper!$C:$C, MATCH(G23, Helper!$A:$A, 0))</f>
        <v>Standard (EADGBE)</v>
      </c>
      <c r="I23" s="60" t="s">
        <v>395</v>
      </c>
      <c r="J23" s="73" t="s">
        <v>21</v>
      </c>
      <c r="K23" s="60" t="str">
        <f>INDEX(Helper!$F:$F, MATCH(J23, Helper!$E:$E, 0))</f>
        <v>#45F0E2</v>
      </c>
      <c r="L23" s="61" t="s">
        <v>416</v>
      </c>
      <c r="M23" s="61" t="s">
        <v>619</v>
      </c>
      <c r="N23" s="62" t="s">
        <v>670</v>
      </c>
      <c r="O23" s="21" t="s">
        <v>1189</v>
      </c>
    </row>
    <row r="24" spans="1:15" x14ac:dyDescent="0.4">
      <c r="A24" s="60">
        <v>21</v>
      </c>
      <c r="B24" s="60">
        <v>1</v>
      </c>
      <c r="C24" s="61" t="str">
        <f>INDEX(Helper!$N$2:$N$4, MATCH(B24, Helper!$M$2:$M$4, 0))</f>
        <v>Beginner</v>
      </c>
      <c r="D24" s="61" t="s">
        <v>245</v>
      </c>
      <c r="E24" s="61" t="s">
        <v>246</v>
      </c>
      <c r="F24" s="5">
        <v>1</v>
      </c>
      <c r="G24" s="60">
        <v>1</v>
      </c>
      <c r="H24" s="60" t="str">
        <f>INDEX(Helper!$C:$C, MATCH(G24, Helper!$A:$A, 0))</f>
        <v>Standard (EADGBE)</v>
      </c>
      <c r="I24" s="60" t="s">
        <v>623</v>
      </c>
      <c r="J24" s="80" t="s">
        <v>15</v>
      </c>
      <c r="K24" s="60" t="str">
        <f>INDEX(Helper!$F:$F, MATCH(J24, Helper!$E:$E, 0))</f>
        <v>#C2C2A1</v>
      </c>
      <c r="L24" s="61" t="s">
        <v>417</v>
      </c>
      <c r="M24" s="61" t="s">
        <v>619</v>
      </c>
      <c r="N24" s="62" t="s">
        <v>671</v>
      </c>
      <c r="O24" s="21" t="s">
        <v>801</v>
      </c>
    </row>
    <row r="25" spans="1:15" x14ac:dyDescent="0.4">
      <c r="A25" s="60">
        <v>22</v>
      </c>
      <c r="B25" s="60">
        <v>1</v>
      </c>
      <c r="C25" s="61" t="str">
        <f>INDEX(Helper!$N$2:$N$4, MATCH(B25, Helper!$M$2:$M$4, 0))</f>
        <v>Beginner</v>
      </c>
      <c r="D25" s="61" t="s">
        <v>34</v>
      </c>
      <c r="E25" s="61" t="s">
        <v>53</v>
      </c>
      <c r="F25" s="5">
        <v>0</v>
      </c>
      <c r="G25" s="60">
        <v>1</v>
      </c>
      <c r="H25" s="60" t="str">
        <f>INDEX(Helper!$C:$C, MATCH(G25, Helper!$A:$A, 0))</f>
        <v>Standard (EADGBE)</v>
      </c>
      <c r="I25" s="60" t="s">
        <v>395</v>
      </c>
      <c r="J25" s="75" t="s">
        <v>10</v>
      </c>
      <c r="K25" s="60" t="str">
        <f>INDEX(Helper!$F:$F, MATCH(J25, Helper!$E:$E, 0))</f>
        <v>#F5943C</v>
      </c>
      <c r="L25" s="61" t="s">
        <v>418</v>
      </c>
      <c r="M25" s="61" t="s">
        <v>619</v>
      </c>
      <c r="N25" s="62" t="s">
        <v>672</v>
      </c>
      <c r="O25" s="21" t="s">
        <v>802</v>
      </c>
    </row>
    <row r="26" spans="1:15" x14ac:dyDescent="0.4">
      <c r="A26" s="60">
        <v>23</v>
      </c>
      <c r="B26" s="60">
        <v>1</v>
      </c>
      <c r="C26" s="61" t="str">
        <f>INDEX(Helper!$N$2:$N$4, MATCH(B26, Helper!$M$2:$M$4, 0))</f>
        <v>Beginner</v>
      </c>
      <c r="D26" s="61" t="s">
        <v>247</v>
      </c>
      <c r="E26" s="61" t="s">
        <v>248</v>
      </c>
      <c r="F26" s="5">
        <v>0</v>
      </c>
      <c r="G26" s="60">
        <v>1</v>
      </c>
      <c r="H26" s="60" t="str">
        <f>INDEX(Helper!$C:$C, MATCH(G26, Helper!$A:$A, 0))</f>
        <v>Standard (EADGBE)</v>
      </c>
      <c r="I26" s="60" t="s">
        <v>59</v>
      </c>
      <c r="J26" s="80" t="s">
        <v>15</v>
      </c>
      <c r="K26" s="60" t="str">
        <f>INDEX(Helper!$F:$F, MATCH(J26, Helper!$E:$E, 0))</f>
        <v>#C2C2A1</v>
      </c>
      <c r="L26" s="61" t="s">
        <v>419</v>
      </c>
      <c r="M26" s="61" t="s">
        <v>619</v>
      </c>
      <c r="N26" s="62" t="s">
        <v>673</v>
      </c>
      <c r="O26" s="21" t="s">
        <v>756</v>
      </c>
    </row>
    <row r="27" spans="1:15" x14ac:dyDescent="0.4">
      <c r="A27" s="60">
        <v>24</v>
      </c>
      <c r="B27" s="60">
        <v>1</v>
      </c>
      <c r="C27" s="61" t="str">
        <f>INDEX(Helper!$N$2:$N$4, MATCH(B27, Helper!$M$2:$M$4, 0))</f>
        <v>Beginner</v>
      </c>
      <c r="D27" s="61" t="s">
        <v>249</v>
      </c>
      <c r="E27" s="61" t="s">
        <v>250</v>
      </c>
      <c r="F27" s="5">
        <v>0</v>
      </c>
      <c r="G27" s="60">
        <v>1</v>
      </c>
      <c r="H27" s="60" t="str">
        <f>INDEX(Helper!$C:$C, MATCH(G27, Helper!$A:$A, 0))</f>
        <v>Standard (EADGBE)</v>
      </c>
      <c r="I27" s="60" t="s">
        <v>395</v>
      </c>
      <c r="J27" s="83" t="s">
        <v>12</v>
      </c>
      <c r="K27" s="60" t="str">
        <f>INDEX(Helper!$F:$F, MATCH(J27, Helper!$E:$E, 0))</f>
        <v>#FFE129</v>
      </c>
      <c r="L27" s="61" t="s">
        <v>420</v>
      </c>
      <c r="M27" s="61" t="s">
        <v>619</v>
      </c>
      <c r="N27" s="62" t="s">
        <v>674</v>
      </c>
      <c r="O27" s="21" t="s">
        <v>1177</v>
      </c>
    </row>
    <row r="28" spans="1:15" x14ac:dyDescent="0.4">
      <c r="A28" s="60">
        <v>25</v>
      </c>
      <c r="B28" s="60">
        <v>1</v>
      </c>
      <c r="C28" s="61" t="str">
        <f>INDEX(Helper!$N$2:$N$4, MATCH(B28, Helper!$M$2:$M$4, 0))</f>
        <v>Beginner</v>
      </c>
      <c r="D28" s="61" t="s">
        <v>252</v>
      </c>
      <c r="E28" s="61" t="s">
        <v>253</v>
      </c>
      <c r="F28" s="5">
        <v>1</v>
      </c>
      <c r="G28" s="60">
        <v>1</v>
      </c>
      <c r="H28" s="60" t="str">
        <f>INDEX(Helper!$C:$C, MATCH(G28, Helper!$A:$A, 0))</f>
        <v>Standard (EADGBE)</v>
      </c>
      <c r="I28" s="60" t="s">
        <v>65</v>
      </c>
      <c r="J28" s="75" t="s">
        <v>10</v>
      </c>
      <c r="K28" s="60" t="str">
        <f>INDEX(Helper!$F:$F, MATCH(J28, Helper!$E:$E, 0))</f>
        <v>#F5943C</v>
      </c>
      <c r="L28" s="61" t="s">
        <v>421</v>
      </c>
      <c r="M28" s="61" t="s">
        <v>619</v>
      </c>
      <c r="N28" s="62" t="s">
        <v>674</v>
      </c>
      <c r="O28" s="21" t="s">
        <v>809</v>
      </c>
    </row>
    <row r="29" spans="1:15" x14ac:dyDescent="0.4">
      <c r="A29" s="60">
        <v>26</v>
      </c>
      <c r="B29" s="60">
        <v>1</v>
      </c>
      <c r="C29" s="61" t="str">
        <f>INDEX(Helper!$N$2:$N$4, MATCH(B29, Helper!$M$2:$M$4, 0))</f>
        <v>Beginner</v>
      </c>
      <c r="D29" s="61" t="s">
        <v>257</v>
      </c>
      <c r="E29" s="61" t="s">
        <v>258</v>
      </c>
      <c r="F29" s="5">
        <v>0</v>
      </c>
      <c r="G29" s="60">
        <v>1</v>
      </c>
      <c r="H29" s="60" t="str">
        <f>INDEX(Helper!$C:$C, MATCH(G29, Helper!$A:$A, 0))</f>
        <v>Standard (EADGBE)</v>
      </c>
      <c r="I29" s="60" t="s">
        <v>63</v>
      </c>
      <c r="J29" s="77" t="s">
        <v>11</v>
      </c>
      <c r="K29" s="60" t="str">
        <f>INDEX(Helper!$F:$F, MATCH(J29, Helper!$E:$E, 0))</f>
        <v>#E8AD1D</v>
      </c>
      <c r="L29" s="61" t="s">
        <v>422</v>
      </c>
      <c r="M29" s="61" t="s">
        <v>619</v>
      </c>
      <c r="N29" s="62" t="s">
        <v>675</v>
      </c>
      <c r="O29" s="21" t="s">
        <v>758</v>
      </c>
    </row>
    <row r="30" spans="1:15" x14ac:dyDescent="0.4">
      <c r="A30" s="60">
        <v>27</v>
      </c>
      <c r="B30" s="60">
        <v>1</v>
      </c>
      <c r="C30" s="61" t="str">
        <f>INDEX(Helper!$N$2:$N$4, MATCH(B30, Helper!$M$2:$M$4, 0))</f>
        <v>Beginner</v>
      </c>
      <c r="D30" s="61" t="s">
        <v>259</v>
      </c>
      <c r="E30" s="61" t="s">
        <v>260</v>
      </c>
      <c r="F30" s="5">
        <v>0</v>
      </c>
      <c r="G30" s="60">
        <v>3</v>
      </c>
      <c r="H30" s="60" t="str">
        <f>INDEX(Helper!$C:$C, MATCH(G30, Helper!$A:$A, 0))</f>
        <v>Half Step Down (D#G#C#F#A#D#)</v>
      </c>
      <c r="I30" s="60" t="s">
        <v>65</v>
      </c>
      <c r="J30" s="84" t="s">
        <v>14</v>
      </c>
      <c r="K30" s="60" t="str">
        <f>INDEX(Helper!$F:$F, MATCH(J30, Helper!$E:$E, 0))</f>
        <v>#FFE000</v>
      </c>
      <c r="L30" s="61" t="s">
        <v>423</v>
      </c>
      <c r="M30" s="61" t="s">
        <v>619</v>
      </c>
      <c r="N30" s="62" t="s">
        <v>676</v>
      </c>
      <c r="O30" s="21" t="s">
        <v>759</v>
      </c>
    </row>
    <row r="31" spans="1:15" x14ac:dyDescent="0.4">
      <c r="A31" s="60">
        <v>28</v>
      </c>
      <c r="B31" s="60">
        <v>1</v>
      </c>
      <c r="C31" s="61" t="str">
        <f>INDEX(Helper!$N$2:$N$4, MATCH(B31, Helper!$M$2:$M$4, 0))</f>
        <v>Beginner</v>
      </c>
      <c r="D31" s="61" t="s">
        <v>261</v>
      </c>
      <c r="E31" s="61" t="s">
        <v>262</v>
      </c>
      <c r="F31" s="5">
        <v>1</v>
      </c>
      <c r="G31" s="60">
        <v>1</v>
      </c>
      <c r="H31" s="60" t="str">
        <f>INDEX(Helper!$C:$C, MATCH(G31, Helper!$A:$A, 0))</f>
        <v>Standard (EADGBE)</v>
      </c>
      <c r="I31" s="60" t="s">
        <v>623</v>
      </c>
      <c r="J31" s="76" t="s">
        <v>372</v>
      </c>
      <c r="K31" s="60" t="str">
        <f>INDEX(Helper!$F:$F, MATCH(J31, Helper!$E:$E, 0))</f>
        <v>#B3F141</v>
      </c>
      <c r="L31" s="61" t="s">
        <v>424</v>
      </c>
      <c r="M31" s="61" t="s">
        <v>619</v>
      </c>
      <c r="N31" s="62" t="s">
        <v>677</v>
      </c>
      <c r="O31" s="21" t="s">
        <v>825</v>
      </c>
    </row>
    <row r="32" spans="1:15" x14ac:dyDescent="0.4">
      <c r="A32" s="60">
        <v>29</v>
      </c>
      <c r="B32" s="60">
        <v>1</v>
      </c>
      <c r="C32" s="61" t="str">
        <f>INDEX(Helper!$N$2:$N$4, MATCH(B32, Helper!$M$2:$M$4, 0))</f>
        <v>Beginner</v>
      </c>
      <c r="D32" s="61" t="s">
        <v>263</v>
      </c>
      <c r="E32" s="61" t="s">
        <v>264</v>
      </c>
      <c r="F32" s="5">
        <v>1</v>
      </c>
      <c r="G32" s="60">
        <v>1</v>
      </c>
      <c r="H32" s="60" t="str">
        <f>INDEX(Helper!$C:$C, MATCH(G32, Helper!$A:$A, 0))</f>
        <v>Standard (EADGBE)</v>
      </c>
      <c r="I32" s="60" t="s">
        <v>623</v>
      </c>
      <c r="J32" s="81" t="s">
        <v>13</v>
      </c>
      <c r="K32" s="60" t="str">
        <f>INDEX(Helper!$F:$F, MATCH(J32, Helper!$E:$E, 0))</f>
        <v>#FF4F53</v>
      </c>
      <c r="L32" s="61" t="s">
        <v>425</v>
      </c>
      <c r="M32" s="61" t="s">
        <v>619</v>
      </c>
      <c r="N32" s="62" t="s">
        <v>678</v>
      </c>
      <c r="O32" s="21" t="s">
        <v>1195</v>
      </c>
    </row>
    <row r="33" spans="1:15" x14ac:dyDescent="0.4">
      <c r="A33" s="60">
        <v>30</v>
      </c>
      <c r="B33" s="60">
        <v>1</v>
      </c>
      <c r="C33" s="61" t="str">
        <f>INDEX(Helper!$N$2:$N$4, MATCH(B33, Helper!$M$2:$M$4, 0))</f>
        <v>Beginner</v>
      </c>
      <c r="D33" s="61" t="s">
        <v>265</v>
      </c>
      <c r="E33" s="61" t="s">
        <v>266</v>
      </c>
      <c r="F33" s="5">
        <v>1</v>
      </c>
      <c r="G33" s="60">
        <v>1</v>
      </c>
      <c r="H33" s="60" t="str">
        <f>INDEX(Helper!$C:$C, MATCH(G33, Helper!$A:$A, 0))</f>
        <v>Standard (EADGBE)</v>
      </c>
      <c r="I33" s="60" t="s">
        <v>63</v>
      </c>
      <c r="J33" s="75" t="s">
        <v>10</v>
      </c>
      <c r="K33" s="60" t="str">
        <f>INDEX(Helper!$F:$F, MATCH(J33, Helper!$E:$E, 0))</f>
        <v>#F5943C</v>
      </c>
      <c r="L33" s="61" t="s">
        <v>426</v>
      </c>
      <c r="M33" s="61" t="s">
        <v>619</v>
      </c>
      <c r="N33" s="62" t="s">
        <v>679</v>
      </c>
      <c r="O33" s="21" t="s">
        <v>1200</v>
      </c>
    </row>
    <row r="34" spans="1:15" x14ac:dyDescent="0.4">
      <c r="A34" s="60">
        <v>31</v>
      </c>
      <c r="B34" s="60">
        <v>3</v>
      </c>
      <c r="C34" s="61" t="str">
        <f>INDEX(Helper!$N$2:$N$4, MATCH(B34, Helper!$M$2:$M$4, 0))</f>
        <v>Advanced</v>
      </c>
      <c r="D34" s="61" t="s">
        <v>267</v>
      </c>
      <c r="E34" s="61" t="s">
        <v>268</v>
      </c>
      <c r="F34" s="5">
        <v>0</v>
      </c>
      <c r="G34" s="60">
        <v>3</v>
      </c>
      <c r="H34" s="60" t="str">
        <f>INDEX(Helper!$C:$C, MATCH(G34, Helper!$A:$A, 0))</f>
        <v>Half Step Down (D#G#C#F#A#D#)</v>
      </c>
      <c r="I34" s="60" t="s">
        <v>69</v>
      </c>
      <c r="J34" s="80" t="s">
        <v>25</v>
      </c>
      <c r="K34" s="60" t="str">
        <f>INDEX(Helper!$F:$F, MATCH(J34, Helper!$E:$E, 0))</f>
        <v>#C2C2A1</v>
      </c>
      <c r="L34" s="61" t="s">
        <v>427</v>
      </c>
      <c r="M34" s="61" t="s">
        <v>619</v>
      </c>
      <c r="N34" s="62" t="s">
        <v>680</v>
      </c>
      <c r="O34" s="21" t="s">
        <v>1137</v>
      </c>
    </row>
    <row r="35" spans="1:15" x14ac:dyDescent="0.4">
      <c r="A35" s="60">
        <v>32</v>
      </c>
      <c r="B35" s="60">
        <v>1</v>
      </c>
      <c r="C35" s="61" t="str">
        <f>INDEX(Helper!$N$2:$N$4, MATCH(B35, Helper!$M$2:$M$4, 0))</f>
        <v>Beginner</v>
      </c>
      <c r="D35" s="61" t="s">
        <v>269</v>
      </c>
      <c r="E35" s="61" t="s">
        <v>270</v>
      </c>
      <c r="F35" s="5">
        <v>1</v>
      </c>
      <c r="G35" s="60">
        <v>1</v>
      </c>
      <c r="H35" s="60" t="str">
        <f>INDEX(Helper!$C:$C, MATCH(G35, Helper!$A:$A, 0))</f>
        <v>Standard (EADGBE)</v>
      </c>
      <c r="I35" s="60" t="s">
        <v>644</v>
      </c>
      <c r="J35" s="80" t="s">
        <v>25</v>
      </c>
      <c r="K35" s="60" t="str">
        <f>INDEX(Helper!$F:$F, MATCH(J35, Helper!$E:$E, 0))</f>
        <v>#C2C2A1</v>
      </c>
      <c r="L35" s="61" t="s">
        <v>428</v>
      </c>
      <c r="M35" s="61" t="s">
        <v>619</v>
      </c>
      <c r="N35" s="62" t="s">
        <v>681</v>
      </c>
      <c r="O35" s="21" t="s">
        <v>1112</v>
      </c>
    </row>
    <row r="36" spans="1:15" x14ac:dyDescent="0.4">
      <c r="A36" s="60">
        <v>33</v>
      </c>
      <c r="B36" s="60">
        <v>1</v>
      </c>
      <c r="C36" s="61" t="str">
        <f>INDEX(Helper!$N$2:$N$4, MATCH(B36, Helper!$M$2:$M$4, 0))</f>
        <v>Beginner</v>
      </c>
      <c r="D36" s="61" t="s">
        <v>271</v>
      </c>
      <c r="E36" s="61" t="s">
        <v>272</v>
      </c>
      <c r="F36" s="5">
        <v>0</v>
      </c>
      <c r="G36" s="60">
        <v>1</v>
      </c>
      <c r="H36" s="60" t="str">
        <f>INDEX(Helper!$C:$C, MATCH(G36, Helper!$A:$A, 0))</f>
        <v>Standard (EADGBE)</v>
      </c>
      <c r="I36" s="60" t="s">
        <v>623</v>
      </c>
      <c r="J36" s="80" t="s">
        <v>15</v>
      </c>
      <c r="K36" s="60" t="str">
        <f>INDEX(Helper!$F:$F, MATCH(J36, Helper!$E:$E, 0))</f>
        <v>#C2C2A1</v>
      </c>
      <c r="L36" s="61" t="s">
        <v>429</v>
      </c>
      <c r="M36" s="61" t="s">
        <v>619</v>
      </c>
      <c r="N36" s="62" t="s">
        <v>682</v>
      </c>
      <c r="O36" s="21" t="s">
        <v>807</v>
      </c>
    </row>
    <row r="37" spans="1:15" x14ac:dyDescent="0.4">
      <c r="A37" s="60">
        <v>34</v>
      </c>
      <c r="B37" s="60">
        <v>1</v>
      </c>
      <c r="C37" s="61" t="str">
        <f>INDEX(Helper!$N$2:$N$4, MATCH(B37, Helper!$M$2:$M$4, 0))</f>
        <v>Beginner</v>
      </c>
      <c r="D37" s="61" t="s">
        <v>38</v>
      </c>
      <c r="E37" s="61" t="s">
        <v>273</v>
      </c>
      <c r="F37" s="5">
        <v>1</v>
      </c>
      <c r="G37" s="60">
        <v>1</v>
      </c>
      <c r="H37" s="60" t="str">
        <f>INDEX(Helper!$C:$C, MATCH(G37, Helper!$A:$A, 0))</f>
        <v>Standard (EADGBE)</v>
      </c>
      <c r="I37" s="60" t="s">
        <v>61</v>
      </c>
      <c r="J37" s="75" t="s">
        <v>10</v>
      </c>
      <c r="K37" s="60" t="str">
        <f>INDEX(Helper!$F:$F, MATCH(J37, Helper!$E:$E, 0))</f>
        <v>#F5943C</v>
      </c>
      <c r="L37" s="61" t="s">
        <v>430</v>
      </c>
      <c r="M37" s="61" t="s">
        <v>619</v>
      </c>
      <c r="N37" s="62" t="s">
        <v>683</v>
      </c>
      <c r="O37" s="21" t="s">
        <v>761</v>
      </c>
    </row>
    <row r="38" spans="1:15" x14ac:dyDescent="0.4">
      <c r="A38" s="60">
        <v>35</v>
      </c>
      <c r="B38" s="60">
        <v>1</v>
      </c>
      <c r="C38" s="61" t="str">
        <f>INDEX(Helper!$N$2:$N$4, MATCH(B38, Helper!$M$2:$M$4, 0))</f>
        <v>Beginner</v>
      </c>
      <c r="D38" s="61" t="s">
        <v>39</v>
      </c>
      <c r="E38" s="61" t="s">
        <v>54</v>
      </c>
      <c r="F38" s="5">
        <v>1</v>
      </c>
      <c r="G38" s="60">
        <v>3</v>
      </c>
      <c r="H38" s="60" t="str">
        <f>INDEX(Helper!$C:$C, MATCH(G38, Helper!$A:$A, 0))</f>
        <v>Half Step Down (D#G#C#F#A#D#)</v>
      </c>
      <c r="I38" s="60" t="s">
        <v>68</v>
      </c>
      <c r="J38" s="85" t="s">
        <v>17</v>
      </c>
      <c r="K38" s="60" t="str">
        <f>INDEX(Helper!$F:$F, MATCH(J38, Helper!$E:$E, 0))</f>
        <v>#F75269</v>
      </c>
      <c r="L38" s="61" t="s">
        <v>431</v>
      </c>
      <c r="M38" s="61" t="s">
        <v>619</v>
      </c>
      <c r="N38" s="62" t="s">
        <v>684</v>
      </c>
      <c r="O38" s="21" t="s">
        <v>1183</v>
      </c>
    </row>
    <row r="39" spans="1:15" x14ac:dyDescent="0.4">
      <c r="A39" s="60">
        <v>36</v>
      </c>
      <c r="B39" s="60">
        <v>1</v>
      </c>
      <c r="C39" s="61" t="str">
        <f>INDEX(Helper!$N$2:$N$4, MATCH(B39, Helper!$M$2:$M$4, 0))</f>
        <v>Beginner</v>
      </c>
      <c r="D39" s="61" t="s">
        <v>40</v>
      </c>
      <c r="E39" s="61" t="s">
        <v>56</v>
      </c>
      <c r="F39" s="5">
        <v>0</v>
      </c>
      <c r="G39" s="60">
        <v>2</v>
      </c>
      <c r="H39" s="60" t="str">
        <f>INDEX(Helper!$C:$C, MATCH(G39, Helper!$A:$A, 0))</f>
        <v>Drop D (DADGBE)</v>
      </c>
      <c r="I39" s="60" t="s">
        <v>628</v>
      </c>
      <c r="J39" s="81" t="s">
        <v>13</v>
      </c>
      <c r="K39" s="60" t="str">
        <f>INDEX(Helper!$F:$F, MATCH(J39, Helper!$E:$E, 0))</f>
        <v>#FF4F53</v>
      </c>
      <c r="L39" s="61" t="s">
        <v>432</v>
      </c>
      <c r="M39" s="61" t="s">
        <v>619</v>
      </c>
      <c r="N39" s="62" t="s">
        <v>685</v>
      </c>
      <c r="O39" s="21" t="s">
        <v>763</v>
      </c>
    </row>
    <row r="40" spans="1:15" x14ac:dyDescent="0.4">
      <c r="A40" s="60">
        <v>37</v>
      </c>
      <c r="B40" s="60">
        <v>1</v>
      </c>
      <c r="C40" s="61" t="str">
        <f>INDEX(Helper!$N$2:$N$4, MATCH(B40, Helper!$M$2:$M$4, 0))</f>
        <v>Beginner</v>
      </c>
      <c r="D40" s="61" t="s">
        <v>232</v>
      </c>
      <c r="E40" s="61" t="s">
        <v>274</v>
      </c>
      <c r="F40" s="5">
        <v>0</v>
      </c>
      <c r="G40" s="60">
        <v>5</v>
      </c>
      <c r="H40" s="60" t="str">
        <f>INDEX(Helper!$C:$C, MATCH(G40, Helper!$A:$A, 0))</f>
        <v>Whole Step Down (DGCFAD)</v>
      </c>
      <c r="I40" s="60" t="s">
        <v>631</v>
      </c>
      <c r="J40" s="85" t="s">
        <v>17</v>
      </c>
      <c r="K40" s="60" t="str">
        <f>INDEX(Helper!$F:$F, MATCH(J40, Helper!$E:$E, 0))</f>
        <v>#F75269</v>
      </c>
      <c r="L40" s="61" t="s">
        <v>433</v>
      </c>
      <c r="M40" s="61" t="s">
        <v>619</v>
      </c>
      <c r="N40" s="62" t="s">
        <v>686</v>
      </c>
      <c r="O40" s="21" t="s">
        <v>764</v>
      </c>
    </row>
    <row r="41" spans="1:15" x14ac:dyDescent="0.4">
      <c r="A41" s="60">
        <v>38</v>
      </c>
      <c r="B41" s="60">
        <v>1</v>
      </c>
      <c r="C41" s="61" t="str">
        <f>INDEX(Helper!$N$2:$N$4, MATCH(B41, Helper!$M$2:$M$4, 0))</f>
        <v>Beginner</v>
      </c>
      <c r="D41" s="61" t="s">
        <v>127</v>
      </c>
      <c r="E41" s="61" t="s">
        <v>275</v>
      </c>
      <c r="F41" s="5">
        <v>0</v>
      </c>
      <c r="G41" s="60">
        <v>1</v>
      </c>
      <c r="H41" s="60" t="str">
        <f>INDEX(Helper!$C:$C, MATCH(G41, Helper!$A:$A, 0))</f>
        <v>Standard (EADGBE)</v>
      </c>
      <c r="I41" s="60" t="s">
        <v>395</v>
      </c>
      <c r="J41" s="75" t="s">
        <v>10</v>
      </c>
      <c r="K41" s="60" t="str">
        <f>INDEX(Helper!$F:$F, MATCH(J41, Helper!$E:$E, 0))</f>
        <v>#F5943C</v>
      </c>
      <c r="L41" s="61" t="s">
        <v>434</v>
      </c>
      <c r="M41" s="61" t="s">
        <v>619</v>
      </c>
      <c r="N41" s="62" t="s">
        <v>687</v>
      </c>
      <c r="O41" s="21" t="s">
        <v>765</v>
      </c>
    </row>
    <row r="42" spans="1:15" x14ac:dyDescent="0.4">
      <c r="A42" s="60">
        <v>39</v>
      </c>
      <c r="B42" s="60">
        <v>1</v>
      </c>
      <c r="C42" s="61" t="str">
        <f>INDEX(Helper!$N$2:$N$4, MATCH(B42, Helper!$M$2:$M$4, 0))</f>
        <v>Beginner</v>
      </c>
      <c r="D42" s="61" t="s">
        <v>276</v>
      </c>
      <c r="E42" s="61" t="s">
        <v>277</v>
      </c>
      <c r="F42" s="5">
        <v>1</v>
      </c>
      <c r="G42" s="60">
        <v>1</v>
      </c>
      <c r="H42" s="60" t="str">
        <f>INDEX(Helper!$C:$C, MATCH(G42, Helper!$A:$A, 0))</f>
        <v>Standard (EADGBE)</v>
      </c>
      <c r="I42" s="60" t="s">
        <v>645</v>
      </c>
      <c r="J42" s="80" t="s">
        <v>15</v>
      </c>
      <c r="K42" s="60" t="str">
        <f>INDEX(Helper!$F:$F, MATCH(J42, Helper!$E:$E, 0))</f>
        <v>#C2C2A1</v>
      </c>
      <c r="L42" s="61" t="s">
        <v>435</v>
      </c>
      <c r="M42" s="61" t="s">
        <v>619</v>
      </c>
      <c r="N42" s="62" t="s">
        <v>688</v>
      </c>
      <c r="O42" s="21" t="s">
        <v>1212</v>
      </c>
    </row>
    <row r="43" spans="1:15" x14ac:dyDescent="0.4">
      <c r="A43" s="60">
        <v>40</v>
      </c>
      <c r="B43" s="60">
        <v>1</v>
      </c>
      <c r="C43" s="61" t="str">
        <f>INDEX(Helper!$N$2:$N$4, MATCH(B43, Helper!$M$2:$M$4, 0))</f>
        <v>Beginner</v>
      </c>
      <c r="D43" s="61" t="s">
        <v>140</v>
      </c>
      <c r="E43" s="61" t="s">
        <v>278</v>
      </c>
      <c r="F43" s="5">
        <v>1</v>
      </c>
      <c r="G43" s="60">
        <v>1</v>
      </c>
      <c r="H43" s="60" t="str">
        <f>INDEX(Helper!$C:$C, MATCH(G43, Helper!$A:$A, 0))</f>
        <v>Standard (EADGBE)</v>
      </c>
      <c r="I43" s="60" t="s">
        <v>395</v>
      </c>
      <c r="J43" s="77" t="s">
        <v>11</v>
      </c>
      <c r="K43" s="60" t="str">
        <f>INDEX(Helper!$F:$F, MATCH(J43, Helper!$E:$E, 0))</f>
        <v>#E8AD1D</v>
      </c>
      <c r="L43" s="61" t="s">
        <v>436</v>
      </c>
      <c r="M43" s="61" t="s">
        <v>619</v>
      </c>
      <c r="N43" s="62" t="s">
        <v>689</v>
      </c>
      <c r="O43" s="21" t="s">
        <v>767</v>
      </c>
    </row>
    <row r="44" spans="1:15" x14ac:dyDescent="0.4">
      <c r="A44" s="60">
        <v>41</v>
      </c>
      <c r="B44" s="60">
        <v>1</v>
      </c>
      <c r="C44" s="61" t="str">
        <f>INDEX(Helper!$N$2:$N$4, MATCH(B44, Helper!$M$2:$M$4, 0))</f>
        <v>Beginner</v>
      </c>
      <c r="D44" s="61" t="s">
        <v>88</v>
      </c>
      <c r="E44" s="61" t="s">
        <v>279</v>
      </c>
      <c r="F44" s="5">
        <v>1</v>
      </c>
      <c r="G44" s="60">
        <v>2</v>
      </c>
      <c r="H44" s="60" t="str">
        <f>INDEX(Helper!$C:$C, MATCH(G44, Helper!$A:$A, 0))</f>
        <v>Drop D (DADGBE)</v>
      </c>
      <c r="I44" s="60" t="s">
        <v>631</v>
      </c>
      <c r="J44" s="81" t="s">
        <v>13</v>
      </c>
      <c r="K44" s="60" t="str">
        <f>INDEX(Helper!$F:$F, MATCH(J44, Helper!$E:$E, 0))</f>
        <v>#FF4F53</v>
      </c>
      <c r="L44" s="61" t="s">
        <v>437</v>
      </c>
      <c r="M44" s="61" t="s">
        <v>619</v>
      </c>
      <c r="N44" s="62" t="s">
        <v>690</v>
      </c>
      <c r="O44" s="21" t="s">
        <v>1127</v>
      </c>
    </row>
    <row r="45" spans="1:15" x14ac:dyDescent="0.4">
      <c r="A45" s="60">
        <v>42</v>
      </c>
      <c r="B45" s="60">
        <v>1</v>
      </c>
      <c r="C45" s="61" t="str">
        <f>INDEX(Helper!$N$2:$N$4, MATCH(B45, Helper!$M$2:$M$4, 0))</f>
        <v>Beginner</v>
      </c>
      <c r="D45" s="61" t="s">
        <v>78</v>
      </c>
      <c r="E45" s="61" t="s">
        <v>280</v>
      </c>
      <c r="F45" s="5">
        <v>1</v>
      </c>
      <c r="G45" s="60">
        <v>6</v>
      </c>
      <c r="H45" s="60" t="str">
        <f>INDEX(Helper!$C:$C, MATCH(G45, Helper!$A:$A, 0))</f>
        <v>Drop DG (DGDGBE)</v>
      </c>
      <c r="I45" s="60" t="s">
        <v>62</v>
      </c>
      <c r="J45" s="81" t="s">
        <v>13</v>
      </c>
      <c r="K45" s="60" t="str">
        <f>INDEX(Helper!$F:$F, MATCH(J45, Helper!$E:$E, 0))</f>
        <v>#FF4F53</v>
      </c>
      <c r="L45" s="61" t="s">
        <v>438</v>
      </c>
      <c r="M45" s="61" t="s">
        <v>619</v>
      </c>
      <c r="N45" s="62" t="s">
        <v>691</v>
      </c>
      <c r="O45" s="21" t="s">
        <v>768</v>
      </c>
    </row>
    <row r="46" spans="1:15" x14ac:dyDescent="0.4">
      <c r="A46" s="60">
        <v>43</v>
      </c>
      <c r="B46" s="60">
        <v>1</v>
      </c>
      <c r="C46" s="61" t="str">
        <f>INDEX(Helper!$N$2:$N$4, MATCH(B46, Helper!$M$2:$M$4, 0))</f>
        <v>Beginner</v>
      </c>
      <c r="D46" s="61" t="s">
        <v>281</v>
      </c>
      <c r="E46" s="61" t="s">
        <v>282</v>
      </c>
      <c r="F46" s="5">
        <v>1</v>
      </c>
      <c r="G46" s="60">
        <v>1</v>
      </c>
      <c r="H46" s="60" t="str">
        <f>INDEX(Helper!$C:$C, MATCH(G46, Helper!$A:$A, 0))</f>
        <v>Standard (EADGBE)</v>
      </c>
      <c r="I46" s="60" t="s">
        <v>645</v>
      </c>
      <c r="J46" s="77" t="s">
        <v>11</v>
      </c>
      <c r="K46" s="60" t="str">
        <f>INDEX(Helper!$F:$F, MATCH(J46, Helper!$E:$E, 0))</f>
        <v>#E8AD1D</v>
      </c>
      <c r="L46" s="61" t="s">
        <v>439</v>
      </c>
      <c r="M46" s="61" t="s">
        <v>619</v>
      </c>
      <c r="N46" s="62" t="s">
        <v>692</v>
      </c>
      <c r="O46" s="21" t="s">
        <v>1186</v>
      </c>
    </row>
    <row r="47" spans="1:15" x14ac:dyDescent="0.4">
      <c r="A47" s="60">
        <v>44</v>
      </c>
      <c r="B47" s="60">
        <v>1</v>
      </c>
      <c r="C47" s="61" t="str">
        <f>INDEX(Helper!$N$2:$N$4, MATCH(B47, Helper!$M$2:$M$4, 0))</f>
        <v>Beginner</v>
      </c>
      <c r="D47" s="61" t="s">
        <v>261</v>
      </c>
      <c r="E47" s="61" t="s">
        <v>283</v>
      </c>
      <c r="F47" s="5">
        <v>1</v>
      </c>
      <c r="G47" s="60">
        <v>1</v>
      </c>
      <c r="H47" s="60" t="str">
        <f>INDEX(Helper!$C:$C, MATCH(G47, Helper!$A:$A, 0))</f>
        <v>Standard (EADGBE)</v>
      </c>
      <c r="I47" s="60" t="s">
        <v>395</v>
      </c>
      <c r="J47" s="75" t="s">
        <v>10</v>
      </c>
      <c r="K47" s="60" t="str">
        <f>INDEX(Helper!$F:$F, MATCH(J47, Helper!$E:$E, 0))</f>
        <v>#F5943C</v>
      </c>
      <c r="L47" s="61" t="s">
        <v>440</v>
      </c>
      <c r="M47" s="61" t="s">
        <v>619</v>
      </c>
      <c r="N47" s="62" t="s">
        <v>693</v>
      </c>
      <c r="O47" s="21" t="s">
        <v>1211</v>
      </c>
    </row>
    <row r="48" spans="1:15" x14ac:dyDescent="0.4">
      <c r="A48" s="60">
        <v>45</v>
      </c>
      <c r="B48" s="60">
        <v>2</v>
      </c>
      <c r="C48" s="61" t="str">
        <f>INDEX(Helper!$N$2:$N$4, MATCH(B48, Helper!$M$2:$M$4, 0))</f>
        <v>Intermediate</v>
      </c>
      <c r="D48" s="61" t="s">
        <v>41</v>
      </c>
      <c r="E48" s="61" t="s">
        <v>745</v>
      </c>
      <c r="F48" s="5">
        <v>0</v>
      </c>
      <c r="G48" s="60">
        <v>3</v>
      </c>
      <c r="H48" s="60" t="str">
        <f>INDEX(Helper!$C:$C, MATCH(G48, Helper!$A:$A, 0))</f>
        <v>Half Step Down (D#G#C#F#A#D#)</v>
      </c>
      <c r="I48" s="60" t="s">
        <v>631</v>
      </c>
      <c r="J48" s="75" t="s">
        <v>10</v>
      </c>
      <c r="K48" s="60" t="str">
        <f>INDEX(Helper!$F:$F, MATCH(J48, Helper!$E:$E, 0))</f>
        <v>#F5943C</v>
      </c>
      <c r="L48" s="61" t="s">
        <v>441</v>
      </c>
      <c r="M48" s="61" t="s">
        <v>619</v>
      </c>
      <c r="N48" s="62" t="s">
        <v>694</v>
      </c>
      <c r="O48" s="21" t="s">
        <v>769</v>
      </c>
    </row>
    <row r="49" spans="1:15" x14ac:dyDescent="0.4">
      <c r="A49" s="60">
        <v>46</v>
      </c>
      <c r="B49" s="60">
        <v>2</v>
      </c>
      <c r="C49" s="61" t="str">
        <f>INDEX(Helper!$N$2:$N$4, MATCH(B49, Helper!$M$2:$M$4, 0))</f>
        <v>Intermediate</v>
      </c>
      <c r="D49" s="61" t="s">
        <v>284</v>
      </c>
      <c r="E49" s="61" t="s">
        <v>285</v>
      </c>
      <c r="F49" s="5">
        <v>0</v>
      </c>
      <c r="G49" s="60">
        <v>1</v>
      </c>
      <c r="H49" s="60" t="str">
        <f>INDEX(Helper!$C:$C, MATCH(G49, Helper!$A:$A, 0))</f>
        <v>Standard (EADGBE)</v>
      </c>
      <c r="I49" s="60" t="s">
        <v>65</v>
      </c>
      <c r="J49" s="79" t="s">
        <v>24</v>
      </c>
      <c r="K49" s="60" t="str">
        <f>INDEX(Helper!$F:$F, MATCH(J49, Helper!$E:$E, 0))</f>
        <v>#F1D764</v>
      </c>
      <c r="L49" s="61" t="s">
        <v>442</v>
      </c>
      <c r="M49" s="61" t="s">
        <v>619</v>
      </c>
      <c r="N49" s="62" t="s">
        <v>695</v>
      </c>
      <c r="O49" s="21" t="s">
        <v>1204</v>
      </c>
    </row>
    <row r="50" spans="1:15" x14ac:dyDescent="0.4">
      <c r="A50" s="60">
        <v>47</v>
      </c>
      <c r="B50" s="60">
        <v>2</v>
      </c>
      <c r="C50" s="61" t="str">
        <f>INDEX(Helper!$N$2:$N$4, MATCH(B50, Helper!$M$2:$M$4, 0))</f>
        <v>Intermediate</v>
      </c>
      <c r="D50" s="61" t="s">
        <v>245</v>
      </c>
      <c r="E50" s="61" t="s">
        <v>286</v>
      </c>
      <c r="F50" s="5">
        <v>0</v>
      </c>
      <c r="G50" s="60">
        <v>1</v>
      </c>
      <c r="H50" s="60" t="str">
        <f>INDEX(Helper!$C:$C, MATCH(G50, Helper!$A:$A, 0))</f>
        <v>Standard (EADGBE)</v>
      </c>
      <c r="I50" s="60" t="s">
        <v>645</v>
      </c>
      <c r="J50" s="80" t="s">
        <v>15</v>
      </c>
      <c r="K50" s="60" t="str">
        <f>INDEX(Helper!$F:$F, MATCH(J50, Helper!$E:$E, 0))</f>
        <v>#C2C2A1</v>
      </c>
      <c r="L50" s="61" t="s">
        <v>443</v>
      </c>
      <c r="M50" s="61" t="s">
        <v>619</v>
      </c>
      <c r="N50" s="62" t="s">
        <v>696</v>
      </c>
      <c r="O50" s="21" t="s">
        <v>1217</v>
      </c>
    </row>
    <row r="51" spans="1:15" x14ac:dyDescent="0.4">
      <c r="A51" s="60">
        <v>48</v>
      </c>
      <c r="B51" s="60">
        <v>2</v>
      </c>
      <c r="C51" s="61" t="str">
        <f>INDEX(Helper!$N$2:$N$4, MATCH(B51, Helper!$M$2:$M$4, 0))</f>
        <v>Intermediate</v>
      </c>
      <c r="D51" s="61" t="s">
        <v>99</v>
      </c>
      <c r="E51" s="61" t="s">
        <v>287</v>
      </c>
      <c r="F51" s="5">
        <v>1</v>
      </c>
      <c r="G51" s="60">
        <v>1</v>
      </c>
      <c r="H51" s="60" t="str">
        <f>INDEX(Helper!$C:$C, MATCH(G51, Helper!$A:$A, 0))</f>
        <v>Standard (EADGBE)</v>
      </c>
      <c r="I51" s="60" t="s">
        <v>644</v>
      </c>
      <c r="J51" s="75" t="s">
        <v>10</v>
      </c>
      <c r="K51" s="60" t="str">
        <f>INDEX(Helper!$F:$F, MATCH(J51, Helper!$E:$E, 0))</f>
        <v>#F5943C</v>
      </c>
      <c r="L51" s="61" t="s">
        <v>444</v>
      </c>
      <c r="M51" s="61" t="s">
        <v>619</v>
      </c>
      <c r="N51" s="62" t="s">
        <v>697</v>
      </c>
      <c r="O51" s="21" t="s">
        <v>772</v>
      </c>
    </row>
    <row r="52" spans="1:15" x14ac:dyDescent="0.4">
      <c r="A52" s="60">
        <v>49</v>
      </c>
      <c r="B52" s="60">
        <v>2</v>
      </c>
      <c r="C52" s="61" t="str">
        <f>INDEX(Helper!$N$2:$N$4, MATCH(B52, Helper!$M$2:$M$4, 0))</f>
        <v>Intermediate</v>
      </c>
      <c r="D52" s="61" t="s">
        <v>288</v>
      </c>
      <c r="E52" s="61" t="s">
        <v>289</v>
      </c>
      <c r="F52" s="5">
        <v>0</v>
      </c>
      <c r="G52" s="60">
        <v>3</v>
      </c>
      <c r="H52" s="60" t="str">
        <f>INDEX(Helper!$C:$C, MATCH(G52, Helper!$A:$A, 0))</f>
        <v>Half Step Down (D#G#C#F#A#D#)</v>
      </c>
      <c r="I52" s="60" t="s">
        <v>395</v>
      </c>
      <c r="J52" s="76" t="s">
        <v>28</v>
      </c>
      <c r="K52" s="60" t="str">
        <f>INDEX(Helper!$F:$F, MATCH(J52, Helper!$E:$E, 0))</f>
        <v>#B3F141</v>
      </c>
      <c r="L52" s="61" t="s">
        <v>445</v>
      </c>
      <c r="M52" s="61" t="s">
        <v>619</v>
      </c>
      <c r="N52" s="62" t="s">
        <v>698</v>
      </c>
      <c r="O52" s="21" t="s">
        <v>773</v>
      </c>
    </row>
    <row r="53" spans="1:15" x14ac:dyDescent="0.4">
      <c r="A53" s="60">
        <v>50</v>
      </c>
      <c r="B53" s="60">
        <v>2</v>
      </c>
      <c r="C53" s="61" t="str">
        <f>INDEX(Helper!$N$2:$N$4, MATCH(B53, Helper!$M$2:$M$4, 0))</f>
        <v>Intermediate</v>
      </c>
      <c r="D53" s="61" t="s">
        <v>88</v>
      </c>
      <c r="E53" s="61" t="s">
        <v>290</v>
      </c>
      <c r="F53" s="5">
        <v>0</v>
      </c>
      <c r="G53" s="60">
        <v>1</v>
      </c>
      <c r="H53" s="60" t="str">
        <f>INDEX(Helper!$C:$C, MATCH(G53, Helper!$A:$A, 0))</f>
        <v>Standard (EADGBE)</v>
      </c>
      <c r="I53" s="60" t="s">
        <v>63</v>
      </c>
      <c r="J53" s="81" t="s">
        <v>13</v>
      </c>
      <c r="K53" s="60" t="str">
        <f>INDEX(Helper!$F:$F, MATCH(J53, Helper!$E:$E, 0))</f>
        <v>#FF4F53</v>
      </c>
      <c r="L53" s="61" t="s">
        <v>446</v>
      </c>
      <c r="M53" s="61" t="s">
        <v>619</v>
      </c>
      <c r="N53" s="62" t="s">
        <v>699</v>
      </c>
      <c r="O53" s="21" t="s">
        <v>811</v>
      </c>
    </row>
    <row r="54" spans="1:15" x14ac:dyDescent="0.4">
      <c r="A54" s="60">
        <v>51</v>
      </c>
      <c r="B54" s="60">
        <v>2</v>
      </c>
      <c r="C54" s="61" t="str">
        <f>INDEX(Helper!$N$2:$N$4, MATCH(B54, Helper!$M$2:$M$4, 0))</f>
        <v>Intermediate</v>
      </c>
      <c r="D54" s="61" t="s">
        <v>102</v>
      </c>
      <c r="E54" s="61" t="s">
        <v>291</v>
      </c>
      <c r="F54" s="5">
        <v>0</v>
      </c>
      <c r="G54" s="60">
        <v>1</v>
      </c>
      <c r="H54" s="60" t="str">
        <f>INDEX(Helper!$C:$C, MATCH(G54, Helper!$A:$A, 0))</f>
        <v>Standard (EADGBE)</v>
      </c>
      <c r="I54" s="60" t="s">
        <v>395</v>
      </c>
      <c r="J54" s="86" t="s">
        <v>373</v>
      </c>
      <c r="K54" s="60" t="str">
        <f>INDEX(Helper!$F:$F, MATCH(J54, Helper!$E:$E, 0))</f>
        <v>#C476D4</v>
      </c>
      <c r="L54" s="64" t="s">
        <v>447</v>
      </c>
      <c r="M54" s="61" t="s">
        <v>619</v>
      </c>
      <c r="N54" s="64" t="s">
        <v>700</v>
      </c>
      <c r="O54" s="21" t="s">
        <v>1113</v>
      </c>
    </row>
    <row r="55" spans="1:15" x14ac:dyDescent="0.4">
      <c r="A55" s="60">
        <v>52</v>
      </c>
      <c r="B55" s="60">
        <v>2</v>
      </c>
      <c r="C55" s="61" t="str">
        <f>INDEX(Helper!$N$2:$N$4, MATCH(B55, Helper!$M$2:$M$4, 0))</f>
        <v>Intermediate</v>
      </c>
      <c r="D55" s="61" t="s">
        <v>292</v>
      </c>
      <c r="E55" s="61" t="s">
        <v>293</v>
      </c>
      <c r="F55" s="5">
        <v>1</v>
      </c>
      <c r="G55" s="60">
        <v>1</v>
      </c>
      <c r="H55" s="60" t="str">
        <f>INDEX(Helper!$C:$C, MATCH(G55, Helper!$A:$A, 0))</f>
        <v>Standard (EADGBE)</v>
      </c>
      <c r="I55" s="60" t="s">
        <v>639</v>
      </c>
      <c r="J55" s="76" t="s">
        <v>374</v>
      </c>
      <c r="K55" s="60" t="str">
        <f>INDEX(Helper!$F:$F, MATCH(J55, Helper!$E:$E, 0))</f>
        <v>#B3F141</v>
      </c>
      <c r="L55" s="61" t="s">
        <v>448</v>
      </c>
      <c r="M55" s="61" t="s">
        <v>619</v>
      </c>
      <c r="N55" s="62" t="s">
        <v>701</v>
      </c>
      <c r="O55" s="21" t="s">
        <v>774</v>
      </c>
    </row>
    <row r="56" spans="1:15" x14ac:dyDescent="0.4">
      <c r="A56" s="60">
        <v>53</v>
      </c>
      <c r="B56" s="60">
        <v>2</v>
      </c>
      <c r="C56" s="61" t="str">
        <f>INDEX(Helper!$N$2:$N$4, MATCH(B56, Helper!$M$2:$M$4, 0))</f>
        <v>Intermediate</v>
      </c>
      <c r="D56" s="61" t="s">
        <v>90</v>
      </c>
      <c r="E56" s="61" t="s">
        <v>294</v>
      </c>
      <c r="F56" s="5">
        <v>1</v>
      </c>
      <c r="G56" s="60">
        <v>1</v>
      </c>
      <c r="H56" s="60" t="str">
        <f>INDEX(Helper!$C:$C, MATCH(G56, Helper!$A:$A, 0))</f>
        <v>Standard (EADGBE)</v>
      </c>
      <c r="I56" s="60" t="s">
        <v>62</v>
      </c>
      <c r="J56" s="81" t="s">
        <v>13</v>
      </c>
      <c r="K56" s="60" t="str">
        <f>INDEX(Helper!$F:$F, MATCH(J56, Helper!$E:$E, 0))</f>
        <v>#FF4F53</v>
      </c>
      <c r="L56" s="61" t="s">
        <v>449</v>
      </c>
      <c r="M56" s="61" t="s">
        <v>619</v>
      </c>
      <c r="N56" s="62" t="s">
        <v>702</v>
      </c>
      <c r="O56" s="21" t="s">
        <v>812</v>
      </c>
    </row>
    <row r="57" spans="1:15" x14ac:dyDescent="0.4">
      <c r="A57" s="60">
        <v>54</v>
      </c>
      <c r="B57" s="60">
        <v>2</v>
      </c>
      <c r="C57" s="61" t="str">
        <f>INDEX(Helper!$N$2:$N$4, MATCH(B57, Helper!$M$2:$M$4, 0))</f>
        <v>Intermediate</v>
      </c>
      <c r="D57" s="61" t="s">
        <v>34</v>
      </c>
      <c r="E57" s="61" t="s">
        <v>295</v>
      </c>
      <c r="F57" s="5">
        <v>1</v>
      </c>
      <c r="G57" s="60">
        <v>1</v>
      </c>
      <c r="H57" s="60" t="str">
        <f>INDEX(Helper!$C:$C, MATCH(G57, Helper!$A:$A, 0))</f>
        <v>Standard (EADGBE)</v>
      </c>
      <c r="I57" s="60" t="s">
        <v>59</v>
      </c>
      <c r="J57" s="75" t="s">
        <v>10</v>
      </c>
      <c r="K57" s="60" t="str">
        <f>INDEX(Helper!$F:$F, MATCH(J57, Helper!$E:$E, 0))</f>
        <v>#F5943C</v>
      </c>
      <c r="L57" s="61" t="s">
        <v>450</v>
      </c>
      <c r="M57" s="61" t="s">
        <v>619</v>
      </c>
      <c r="N57" s="62" t="s">
        <v>703</v>
      </c>
      <c r="O57" s="21" t="s">
        <v>775</v>
      </c>
    </row>
    <row r="58" spans="1:15" x14ac:dyDescent="0.4">
      <c r="A58" s="60">
        <v>55</v>
      </c>
      <c r="B58" s="60">
        <v>2</v>
      </c>
      <c r="C58" s="61" t="str">
        <f>INDEX(Helper!$N$2:$N$4, MATCH(B58, Helper!$M$2:$M$4, 0))</f>
        <v>Intermediate</v>
      </c>
      <c r="D58" s="61" t="s">
        <v>296</v>
      </c>
      <c r="E58" s="61" t="s">
        <v>297</v>
      </c>
      <c r="F58" s="5">
        <v>0</v>
      </c>
      <c r="G58" s="60">
        <v>1</v>
      </c>
      <c r="H58" s="60" t="str">
        <f>INDEX(Helper!$C:$C, MATCH(G58, Helper!$A:$A, 0))</f>
        <v>Standard (EADGBE)</v>
      </c>
      <c r="I58" s="60" t="s">
        <v>59</v>
      </c>
      <c r="J58" s="77" t="s">
        <v>11</v>
      </c>
      <c r="K58" s="60" t="str">
        <f>INDEX(Helper!$F:$F, MATCH(J58, Helper!$E:$E, 0))</f>
        <v>#E8AD1D</v>
      </c>
      <c r="L58" s="61" t="s">
        <v>451</v>
      </c>
      <c r="M58" s="61" t="s">
        <v>619</v>
      </c>
      <c r="N58" s="62" t="s">
        <v>704</v>
      </c>
      <c r="O58" s="21" t="s">
        <v>776</v>
      </c>
    </row>
    <row r="59" spans="1:15" x14ac:dyDescent="0.4">
      <c r="A59" s="60">
        <v>56</v>
      </c>
      <c r="B59" s="60">
        <v>1</v>
      </c>
      <c r="C59" s="61" t="str">
        <f>INDEX(Helper!$N$2:$N$4, MATCH(B59, Helper!$M$2:$M$4, 0))</f>
        <v>Beginner</v>
      </c>
      <c r="D59" s="61" t="s">
        <v>271</v>
      </c>
      <c r="E59" s="61" t="s">
        <v>298</v>
      </c>
      <c r="F59" s="5">
        <v>1</v>
      </c>
      <c r="G59" s="60">
        <v>1</v>
      </c>
      <c r="H59" s="60" t="str">
        <f>INDEX(Helper!$C:$C, MATCH(G59, Helper!$A:$A, 0))</f>
        <v>Standard (EADGBE)</v>
      </c>
      <c r="I59" s="60" t="s">
        <v>395</v>
      </c>
      <c r="J59" s="80" t="s">
        <v>15</v>
      </c>
      <c r="K59" s="60" t="str">
        <f>INDEX(Helper!$F:$F, MATCH(J59, Helper!$E:$E, 0))</f>
        <v>#C2C2A1</v>
      </c>
      <c r="L59" s="61" t="s">
        <v>452</v>
      </c>
      <c r="M59" s="61" t="s">
        <v>619</v>
      </c>
      <c r="N59" s="62" t="s">
        <v>705</v>
      </c>
      <c r="O59" s="21" t="s">
        <v>777</v>
      </c>
    </row>
    <row r="60" spans="1:15" x14ac:dyDescent="0.4">
      <c r="A60" s="60">
        <v>57</v>
      </c>
      <c r="B60" s="60">
        <v>2</v>
      </c>
      <c r="C60" s="61" t="str">
        <f>INDEX(Helper!$N$2:$N$4, MATCH(B60, Helper!$M$2:$M$4, 0))</f>
        <v>Intermediate</v>
      </c>
      <c r="D60" s="61" t="s">
        <v>42</v>
      </c>
      <c r="E60" s="61" t="s">
        <v>45</v>
      </c>
      <c r="F60" s="5">
        <v>0</v>
      </c>
      <c r="G60" s="60">
        <v>1</v>
      </c>
      <c r="H60" s="60" t="str">
        <f>INDEX(Helper!$C:$C, MATCH(G60, Helper!$A:$A, 0))</f>
        <v>Standard (EADGBE)</v>
      </c>
      <c r="I60" s="60" t="s">
        <v>65</v>
      </c>
      <c r="J60" s="86" t="s">
        <v>373</v>
      </c>
      <c r="K60" s="60" t="str">
        <f>INDEX(Helper!$F:$F, MATCH(J60, Helper!$E:$E, 0))</f>
        <v>#C476D4</v>
      </c>
      <c r="L60" s="61" t="s">
        <v>72</v>
      </c>
      <c r="M60" s="61" t="s">
        <v>619</v>
      </c>
      <c r="N60" s="62" t="s">
        <v>706</v>
      </c>
      <c r="O60" s="21" t="s">
        <v>1197</v>
      </c>
    </row>
    <row r="61" spans="1:15" x14ac:dyDescent="0.4">
      <c r="A61" s="60">
        <v>58</v>
      </c>
      <c r="B61" s="60">
        <v>1</v>
      </c>
      <c r="C61" s="61" t="str">
        <f>INDEX(Helper!$N$2:$N$4, MATCH(B61, Helper!$M$2:$M$4, 0))</f>
        <v>Beginner</v>
      </c>
      <c r="D61" s="61" t="s">
        <v>299</v>
      </c>
      <c r="E61" s="61" t="s">
        <v>300</v>
      </c>
      <c r="F61" s="5">
        <v>0</v>
      </c>
      <c r="G61" s="60">
        <v>1</v>
      </c>
      <c r="H61" s="60" t="str">
        <f>INDEX(Helper!$C:$C, MATCH(G61, Helper!$A:$A, 0))</f>
        <v>Standard (EADGBE)</v>
      </c>
      <c r="I61" s="60" t="s">
        <v>623</v>
      </c>
      <c r="J61" s="80" t="s">
        <v>15</v>
      </c>
      <c r="K61" s="60" t="str">
        <f>INDEX(Helper!$F:$F, MATCH(J61, Helper!$E:$E, 0))</f>
        <v>#C2C2A1</v>
      </c>
      <c r="L61" s="61" t="s">
        <v>390</v>
      </c>
      <c r="M61" s="61" t="s">
        <v>619</v>
      </c>
      <c r="N61" s="62" t="s">
        <v>651</v>
      </c>
      <c r="O61" s="21" t="s">
        <v>778</v>
      </c>
    </row>
    <row r="62" spans="1:15" x14ac:dyDescent="0.4">
      <c r="A62" s="60">
        <v>59</v>
      </c>
      <c r="B62" s="60">
        <v>1</v>
      </c>
      <c r="C62" s="61" t="str">
        <f>INDEX(Helper!$N$2:$N$4, MATCH(B62, Helper!$M$2:$M$4, 0))</f>
        <v>Beginner</v>
      </c>
      <c r="D62" s="61" t="s">
        <v>301</v>
      </c>
      <c r="E62" s="61" t="s">
        <v>302</v>
      </c>
      <c r="F62" s="5">
        <v>1</v>
      </c>
      <c r="G62" s="60">
        <v>1</v>
      </c>
      <c r="H62" s="60" t="str">
        <f>INDEX(Helper!$C:$C, MATCH(G62, Helper!$A:$A, 0))</f>
        <v>Standard (EADGBE)</v>
      </c>
      <c r="I62" s="60" t="s">
        <v>59</v>
      </c>
      <c r="J62" s="75" t="s">
        <v>10</v>
      </c>
      <c r="K62" s="60" t="str">
        <f>INDEX(Helper!$F:$F, MATCH(J62, Helper!$E:$E, 0))</f>
        <v>#F5943C</v>
      </c>
      <c r="L62" s="61" t="s">
        <v>453</v>
      </c>
      <c r="M62" s="61" t="s">
        <v>619</v>
      </c>
      <c r="N62" s="62" t="s">
        <v>652</v>
      </c>
      <c r="O62" s="21" t="s">
        <v>779</v>
      </c>
    </row>
    <row r="63" spans="1:15" x14ac:dyDescent="0.4">
      <c r="A63" s="60">
        <v>60</v>
      </c>
      <c r="B63" s="60">
        <v>2</v>
      </c>
      <c r="C63" s="61" t="str">
        <f>INDEX(Helper!$N$2:$N$4, MATCH(B63, Helper!$M$2:$M$4, 0))</f>
        <v>Intermediate</v>
      </c>
      <c r="D63" s="61" t="s">
        <v>271</v>
      </c>
      <c r="E63" s="61" t="s">
        <v>303</v>
      </c>
      <c r="F63" s="5">
        <v>1</v>
      </c>
      <c r="G63" s="60">
        <v>1</v>
      </c>
      <c r="H63" s="60" t="str">
        <f>INDEX(Helper!$C:$C, MATCH(G63, Helper!$A:$A, 0))</f>
        <v>Standard (EADGBE)</v>
      </c>
      <c r="I63" s="60" t="s">
        <v>66</v>
      </c>
      <c r="J63" s="80" t="s">
        <v>15</v>
      </c>
      <c r="K63" s="60" t="str">
        <f>INDEX(Helper!$F:$F, MATCH(J63, Helper!$E:$E, 0))</f>
        <v>#C2C2A1</v>
      </c>
      <c r="L63" s="61" t="s">
        <v>454</v>
      </c>
      <c r="M63" s="61" t="s">
        <v>619</v>
      </c>
      <c r="N63" s="62" t="s">
        <v>707</v>
      </c>
      <c r="O63" s="21" t="s">
        <v>780</v>
      </c>
    </row>
    <row r="64" spans="1:15" x14ac:dyDescent="0.4">
      <c r="A64" s="60">
        <v>61</v>
      </c>
      <c r="B64" s="60">
        <v>2</v>
      </c>
      <c r="C64" s="61" t="str">
        <f>INDEX(Helper!$N$2:$N$4, MATCH(B64, Helper!$M$2:$M$4, 0))</f>
        <v>Intermediate</v>
      </c>
      <c r="D64" s="61" t="s">
        <v>254</v>
      </c>
      <c r="E64" s="61" t="s">
        <v>255</v>
      </c>
      <c r="F64" s="5">
        <v>1</v>
      </c>
      <c r="G64" s="60">
        <v>1</v>
      </c>
      <c r="H64" s="60" t="str">
        <f>INDEX(Helper!$C:$C, MATCH(G64, Helper!$A:$A, 0))</f>
        <v>Standard (EADGBE)</v>
      </c>
      <c r="I64" s="60" t="s">
        <v>59</v>
      </c>
      <c r="J64" s="80" t="s">
        <v>15</v>
      </c>
      <c r="K64" s="60" t="str">
        <f>INDEX(Helper!$F:$F, MATCH(J64, Helper!$E:$E, 0))</f>
        <v>#C2C2A1</v>
      </c>
      <c r="L64" s="61" t="s">
        <v>455</v>
      </c>
      <c r="M64" s="61" t="s">
        <v>619</v>
      </c>
      <c r="N64" s="62" t="s">
        <v>708</v>
      </c>
      <c r="O64" s="21" t="s">
        <v>781</v>
      </c>
    </row>
    <row r="65" spans="1:15" x14ac:dyDescent="0.4">
      <c r="A65" s="60">
        <v>62</v>
      </c>
      <c r="B65" s="60">
        <v>2</v>
      </c>
      <c r="C65" s="61" t="str">
        <f>INDEX(Helper!$N$2:$N$4, MATCH(B65, Helper!$M$2:$M$4, 0))</f>
        <v>Intermediate</v>
      </c>
      <c r="D65" s="61" t="s">
        <v>237</v>
      </c>
      <c r="E65" s="61" t="s">
        <v>304</v>
      </c>
      <c r="F65" s="5">
        <v>0</v>
      </c>
      <c r="G65" s="60">
        <v>1</v>
      </c>
      <c r="H65" s="60" t="str">
        <f>INDEX(Helper!$C:$C, MATCH(G65, Helper!$A:$A, 0))</f>
        <v>Standard (EADGBE)</v>
      </c>
      <c r="I65" s="60" t="s">
        <v>63</v>
      </c>
      <c r="J65" s="79" t="s">
        <v>22</v>
      </c>
      <c r="K65" s="60" t="str">
        <f>INDEX(Helper!$F:$F, MATCH(J65, Helper!$E:$E, 0))</f>
        <v>#FFDF66</v>
      </c>
      <c r="L65" s="61" t="s">
        <v>456</v>
      </c>
      <c r="M65" s="61" t="s">
        <v>619</v>
      </c>
      <c r="N65" s="62" t="s">
        <v>709</v>
      </c>
      <c r="O65" s="21" t="s">
        <v>782</v>
      </c>
    </row>
    <row r="66" spans="1:15" x14ac:dyDescent="0.4">
      <c r="A66" s="60">
        <v>63</v>
      </c>
      <c r="B66" s="60">
        <v>2</v>
      </c>
      <c r="C66" s="61" t="str">
        <f>INDEX(Helper!$N$2:$N$4, MATCH(B66, Helper!$M$2:$M$4, 0))</f>
        <v>Intermediate</v>
      </c>
      <c r="D66" s="61" t="s">
        <v>305</v>
      </c>
      <c r="E66" s="61" t="s">
        <v>306</v>
      </c>
      <c r="F66" s="5">
        <v>0</v>
      </c>
      <c r="G66" s="60">
        <v>1</v>
      </c>
      <c r="H66" s="60" t="str">
        <f>INDEX(Helper!$C:$C, MATCH(G66, Helper!$A:$A, 0))</f>
        <v>Standard (EADGBE)</v>
      </c>
      <c r="I66" s="60" t="s">
        <v>624</v>
      </c>
      <c r="J66" s="75" t="s">
        <v>10</v>
      </c>
      <c r="K66" s="60" t="str">
        <f>INDEX(Helper!$F:$F, MATCH(J66, Helper!$E:$E, 0))</f>
        <v>#F5943C</v>
      </c>
      <c r="L66" s="61" t="s">
        <v>457</v>
      </c>
      <c r="M66" s="61" t="s">
        <v>619</v>
      </c>
      <c r="N66" s="62" t="s">
        <v>710</v>
      </c>
      <c r="O66" s="21" t="s">
        <v>783</v>
      </c>
    </row>
    <row r="67" spans="1:15" x14ac:dyDescent="0.4">
      <c r="A67" s="60">
        <v>64</v>
      </c>
      <c r="B67" s="60">
        <v>2</v>
      </c>
      <c r="C67" s="61" t="str">
        <f>INDEX(Helper!$N$2:$N$4, MATCH(B67, Helper!$M$2:$M$4, 0))</f>
        <v>Intermediate</v>
      </c>
      <c r="D67" s="61" t="s">
        <v>307</v>
      </c>
      <c r="E67" s="61" t="s">
        <v>459</v>
      </c>
      <c r="F67" s="5">
        <v>1</v>
      </c>
      <c r="G67" s="60">
        <v>1</v>
      </c>
      <c r="H67" s="60" t="str">
        <f>INDEX(Helper!$C:$C, MATCH(G67, Helper!$A:$A, 0))</f>
        <v>Standard (EADGBE)</v>
      </c>
      <c r="I67" s="60" t="s">
        <v>66</v>
      </c>
      <c r="J67" s="87" t="s">
        <v>27</v>
      </c>
      <c r="K67" s="60" t="str">
        <f>INDEX(Helper!$F:$F, MATCH(J67, Helper!$E:$E, 0))</f>
        <v>#B2DB4B</v>
      </c>
      <c r="L67" s="61" t="s">
        <v>458</v>
      </c>
      <c r="M67" s="61" t="s">
        <v>619</v>
      </c>
      <c r="N67" s="62" t="s">
        <v>711</v>
      </c>
      <c r="O67" s="21" t="s">
        <v>1114</v>
      </c>
    </row>
    <row r="68" spans="1:15" x14ac:dyDescent="0.4">
      <c r="A68" s="60">
        <v>65</v>
      </c>
      <c r="B68" s="60">
        <v>2</v>
      </c>
      <c r="C68" s="61" t="str">
        <f>INDEX(Helper!$N$2:$N$4, MATCH(B68, Helper!$M$2:$M$4, 0))</f>
        <v>Intermediate</v>
      </c>
      <c r="D68" s="61" t="s">
        <v>635</v>
      </c>
      <c r="E68" s="61" t="s">
        <v>308</v>
      </c>
      <c r="F68" s="5">
        <v>1</v>
      </c>
      <c r="G68" s="60">
        <v>1</v>
      </c>
      <c r="H68" s="60" t="str">
        <f>INDEX(Helper!$C:$C, MATCH(G68, Helper!$A:$A, 0))</f>
        <v>Standard (EADGBE)</v>
      </c>
      <c r="I68" s="60" t="s">
        <v>65</v>
      </c>
      <c r="J68" s="75" t="s">
        <v>10</v>
      </c>
      <c r="K68" s="60" t="str">
        <f>INDEX(Helper!$F:$F, MATCH(J68, Helper!$E:$E, 0))</f>
        <v>#F5943C</v>
      </c>
      <c r="L68" s="61" t="s">
        <v>806</v>
      </c>
      <c r="M68" s="61" t="s">
        <v>619</v>
      </c>
      <c r="N68" s="62" t="s">
        <v>712</v>
      </c>
      <c r="O68" s="21" t="s">
        <v>784</v>
      </c>
    </row>
    <row r="69" spans="1:15" x14ac:dyDescent="0.4">
      <c r="A69" s="60">
        <v>66</v>
      </c>
      <c r="B69" s="60">
        <v>2</v>
      </c>
      <c r="C69" s="61" t="str">
        <f>INDEX(Helper!$N$2:$N$4, MATCH(B69, Helper!$M$2:$M$4, 0))</f>
        <v>Intermediate</v>
      </c>
      <c r="D69" s="61" t="s">
        <v>309</v>
      </c>
      <c r="E69" s="61" t="s">
        <v>310</v>
      </c>
      <c r="F69" s="5">
        <v>1</v>
      </c>
      <c r="G69" s="60">
        <v>1</v>
      </c>
      <c r="H69" s="60" t="str">
        <f>INDEX(Helper!$C:$C, MATCH(G69, Helper!$A:$A, 0))</f>
        <v>Standard (EADGBE)</v>
      </c>
      <c r="I69" s="60" t="s">
        <v>623</v>
      </c>
      <c r="J69" s="77" t="s">
        <v>11</v>
      </c>
      <c r="K69" s="60" t="str">
        <f>INDEX(Helper!$F:$F, MATCH(J69, Helper!$E:$E, 0))</f>
        <v>#E8AD1D</v>
      </c>
      <c r="L69" s="61" t="s">
        <v>460</v>
      </c>
      <c r="M69" s="61" t="s">
        <v>619</v>
      </c>
      <c r="N69" s="62" t="s">
        <v>713</v>
      </c>
      <c r="O69" s="21" t="s">
        <v>797</v>
      </c>
    </row>
    <row r="70" spans="1:15" x14ac:dyDescent="0.4">
      <c r="A70" s="60">
        <v>67</v>
      </c>
      <c r="B70" s="60">
        <v>2</v>
      </c>
      <c r="C70" s="61" t="str">
        <f>INDEX(Helper!$N$2:$N$4, MATCH(B70, Helper!$M$2:$M$4, 0))</f>
        <v>Intermediate</v>
      </c>
      <c r="D70" s="61" t="s">
        <v>311</v>
      </c>
      <c r="E70" s="61" t="s">
        <v>312</v>
      </c>
      <c r="F70" s="5">
        <v>1</v>
      </c>
      <c r="G70" s="60">
        <v>1</v>
      </c>
      <c r="H70" s="60" t="str">
        <f>INDEX(Helper!$C:$C, MATCH(G70, Helper!$A:$A, 0))</f>
        <v>Standard (EADGBE)</v>
      </c>
      <c r="I70" s="60" t="s">
        <v>395</v>
      </c>
      <c r="J70" s="79" t="s">
        <v>26</v>
      </c>
      <c r="K70" s="60" t="str">
        <f>INDEX(Helper!$F:$F, MATCH(J70, Helper!$E:$E, 0))</f>
        <v>#FFFFCC</v>
      </c>
      <c r="L70" s="61" t="s">
        <v>461</v>
      </c>
      <c r="M70" s="61" t="s">
        <v>619</v>
      </c>
      <c r="N70" s="62" t="s">
        <v>714</v>
      </c>
      <c r="O70" s="21" t="s">
        <v>1115</v>
      </c>
    </row>
    <row r="71" spans="1:15" x14ac:dyDescent="0.4">
      <c r="A71" s="60">
        <v>68</v>
      </c>
      <c r="B71" s="60">
        <v>2</v>
      </c>
      <c r="C71" s="61" t="str">
        <f>INDEX(Helper!$N$2:$N$4, MATCH(B71, Helper!$M$2:$M$4, 0))</f>
        <v>Intermediate</v>
      </c>
      <c r="D71" s="61" t="s">
        <v>313</v>
      </c>
      <c r="E71" s="61" t="s">
        <v>314</v>
      </c>
      <c r="F71" s="5">
        <v>1</v>
      </c>
      <c r="G71" s="60">
        <v>1</v>
      </c>
      <c r="H71" s="60" t="str">
        <f>INDEX(Helper!$C:$C, MATCH(G71, Helper!$A:$A, 0))</f>
        <v>Standard (EADGBE)</v>
      </c>
      <c r="I71" s="60" t="s">
        <v>625</v>
      </c>
      <c r="J71" s="79" t="s">
        <v>22</v>
      </c>
      <c r="K71" s="60" t="str">
        <f>INDEX(Helper!$F:$F, MATCH(J71, Helper!$E:$E, 0))</f>
        <v>#FFDF66</v>
      </c>
      <c r="L71" s="61" t="s">
        <v>462</v>
      </c>
      <c r="M71" s="61" t="s">
        <v>619</v>
      </c>
      <c r="N71" s="62" t="s">
        <v>715</v>
      </c>
      <c r="O71" s="21" t="s">
        <v>1205</v>
      </c>
    </row>
    <row r="72" spans="1:15" x14ac:dyDescent="0.4">
      <c r="A72" s="60">
        <v>69</v>
      </c>
      <c r="B72" s="60">
        <v>2</v>
      </c>
      <c r="C72" s="61" t="str">
        <f>INDEX(Helper!$N$2:$N$4, MATCH(B72, Helper!$M$2:$M$4, 0))</f>
        <v>Intermediate</v>
      </c>
      <c r="D72" s="61" t="s">
        <v>43</v>
      </c>
      <c r="E72" s="61" t="s">
        <v>47</v>
      </c>
      <c r="F72" s="5">
        <v>0</v>
      </c>
      <c r="G72" s="60">
        <v>1</v>
      </c>
      <c r="H72" s="60" t="str">
        <f>INDEX(Helper!$C:$C, MATCH(G72, Helper!$A:$A, 0))</f>
        <v>Standard (EADGBE)</v>
      </c>
      <c r="I72" s="60" t="s">
        <v>61</v>
      </c>
      <c r="J72" s="75" t="s">
        <v>23</v>
      </c>
      <c r="K72" s="60" t="str">
        <f>INDEX(Helper!$F:$F, MATCH(J72, Helper!$E:$E, 0))</f>
        <v>#F1D764</v>
      </c>
      <c r="L72" s="61" t="s">
        <v>463</v>
      </c>
      <c r="M72" s="61" t="s">
        <v>619</v>
      </c>
      <c r="N72" s="62" t="s">
        <v>716</v>
      </c>
      <c r="O72" s="21" t="s">
        <v>785</v>
      </c>
    </row>
    <row r="73" spans="1:15" x14ac:dyDescent="0.4">
      <c r="A73" s="60">
        <v>70</v>
      </c>
      <c r="B73" s="60">
        <v>3</v>
      </c>
      <c r="C73" s="61" t="str">
        <f>INDEX(Helper!$N$2:$N$4, MATCH(B73, Helper!$M$2:$M$4, 0))</f>
        <v>Advanced</v>
      </c>
      <c r="D73" s="61" t="s">
        <v>210</v>
      </c>
      <c r="E73" s="61" t="s">
        <v>211</v>
      </c>
      <c r="F73" s="5">
        <v>1</v>
      </c>
      <c r="G73" s="60">
        <v>3</v>
      </c>
      <c r="H73" s="60" t="str">
        <f>INDEX(Helper!$C:$C, MATCH(G73, Helper!$A:$A, 0))</f>
        <v>Half Step Down (D#G#C#F#A#D#)</v>
      </c>
      <c r="I73" s="60" t="s">
        <v>639</v>
      </c>
      <c r="J73" s="73" t="s">
        <v>21</v>
      </c>
      <c r="K73" s="60" t="str">
        <f>INDEX(Helper!$F:$F, MATCH(J73, Helper!$E:$E, 0))</f>
        <v>#45F0E2</v>
      </c>
      <c r="L73" s="61" t="s">
        <v>392</v>
      </c>
      <c r="M73" s="61" t="s">
        <v>619</v>
      </c>
      <c r="N73" s="62" t="s">
        <v>717</v>
      </c>
      <c r="O73" s="21" t="s">
        <v>1138</v>
      </c>
    </row>
    <row r="74" spans="1:15" x14ac:dyDescent="0.4">
      <c r="A74" s="60">
        <v>71</v>
      </c>
      <c r="B74" s="60">
        <v>2</v>
      </c>
      <c r="C74" s="61" t="str">
        <f>INDEX(Helper!$N$2:$N$4, MATCH(B74, Helper!$M$2:$M$4, 0))</f>
        <v>Intermediate</v>
      </c>
      <c r="D74" s="61" t="s">
        <v>315</v>
      </c>
      <c r="E74" s="61" t="s">
        <v>316</v>
      </c>
      <c r="F74" s="5">
        <v>1</v>
      </c>
      <c r="G74" s="60">
        <v>1</v>
      </c>
      <c r="H74" s="60" t="str">
        <f>INDEX(Helper!$C:$C, MATCH(G74, Helper!$A:$A, 0))</f>
        <v>Standard (EADGBE)</v>
      </c>
      <c r="I74" s="60" t="s">
        <v>63</v>
      </c>
      <c r="J74" s="76" t="s">
        <v>29</v>
      </c>
      <c r="K74" s="60" t="str">
        <f>INDEX(Helper!$F:$F, MATCH(J74, Helper!$E:$E, 0))</f>
        <v>#66E586</v>
      </c>
      <c r="L74" s="61" t="s">
        <v>464</v>
      </c>
      <c r="M74" s="61" t="s">
        <v>619</v>
      </c>
      <c r="N74" s="62" t="s">
        <v>718</v>
      </c>
      <c r="O74" s="21" t="s">
        <v>646</v>
      </c>
    </row>
    <row r="75" spans="1:15" x14ac:dyDescent="0.4">
      <c r="A75" s="60">
        <v>72</v>
      </c>
      <c r="B75" s="60">
        <v>2</v>
      </c>
      <c r="C75" s="61" t="str">
        <f>INDEX(Helper!$N$2:$N$4, MATCH(B75, Helper!$M$2:$M$4, 0))</f>
        <v>Intermediate</v>
      </c>
      <c r="D75" s="61" t="s">
        <v>38</v>
      </c>
      <c r="E75" s="61" t="s">
        <v>317</v>
      </c>
      <c r="F75" s="5">
        <v>0</v>
      </c>
      <c r="G75" s="60">
        <v>1</v>
      </c>
      <c r="H75" s="60" t="str">
        <f>INDEX(Helper!$C:$C, MATCH(G75, Helper!$A:$A, 0))</f>
        <v>Standard (EADGBE)</v>
      </c>
      <c r="I75" s="60" t="s">
        <v>628</v>
      </c>
      <c r="J75" s="75" t="s">
        <v>10</v>
      </c>
      <c r="K75" s="60" t="str">
        <f>INDEX(Helper!$F:$F, MATCH(J75, Helper!$E:$E, 0))</f>
        <v>#F5943C</v>
      </c>
      <c r="L75" s="61" t="s">
        <v>465</v>
      </c>
      <c r="M75" s="61" t="s">
        <v>619</v>
      </c>
      <c r="N75" s="62" t="s">
        <v>719</v>
      </c>
      <c r="O75" s="21" t="s">
        <v>786</v>
      </c>
    </row>
    <row r="76" spans="1:15" x14ac:dyDescent="0.4">
      <c r="A76" s="60">
        <v>73</v>
      </c>
      <c r="B76" s="60">
        <v>2</v>
      </c>
      <c r="C76" s="61" t="str">
        <f>INDEX(Helper!$N$2:$N$4, MATCH(B76, Helper!$M$2:$M$4, 0))</f>
        <v>Intermediate</v>
      </c>
      <c r="D76" s="61" t="s">
        <v>318</v>
      </c>
      <c r="E76" s="61" t="s">
        <v>319</v>
      </c>
      <c r="F76" s="5">
        <v>1</v>
      </c>
      <c r="G76" s="60">
        <v>1</v>
      </c>
      <c r="H76" s="60" t="str">
        <f>INDEX(Helper!$C:$C, MATCH(G76, Helper!$A:$A, 0))</f>
        <v>Standard (EADGBE)</v>
      </c>
      <c r="I76" s="60" t="s">
        <v>63</v>
      </c>
      <c r="J76" s="79" t="s">
        <v>22</v>
      </c>
      <c r="K76" s="60" t="str">
        <f>INDEX(Helper!$F:$F, MATCH(J76, Helper!$E:$E, 0))</f>
        <v>#FFDF66</v>
      </c>
      <c r="L76" s="61" t="s">
        <v>391</v>
      </c>
      <c r="M76" s="61" t="s">
        <v>619</v>
      </c>
      <c r="N76" s="62" t="s">
        <v>720</v>
      </c>
      <c r="O76" s="21" t="s">
        <v>1223</v>
      </c>
    </row>
    <row r="77" spans="1:15" x14ac:dyDescent="0.4">
      <c r="A77" s="60">
        <v>74</v>
      </c>
      <c r="B77" s="60">
        <v>2</v>
      </c>
      <c r="C77" s="61" t="str">
        <f>INDEX(Helper!$N$2:$N$4, MATCH(B77, Helper!$M$2:$M$4, 0))</f>
        <v>Intermediate</v>
      </c>
      <c r="D77" s="61" t="s">
        <v>320</v>
      </c>
      <c r="E77" s="61" t="s">
        <v>321</v>
      </c>
      <c r="F77" s="5">
        <v>1</v>
      </c>
      <c r="G77" s="60">
        <v>1</v>
      </c>
      <c r="H77" s="60" t="str">
        <f>INDEX(Helper!$C:$C, MATCH(G77, Helper!$A:$A, 0))</f>
        <v>Standard (EADGBE)</v>
      </c>
      <c r="I77" s="60" t="s">
        <v>61</v>
      </c>
      <c r="J77" s="79" t="s">
        <v>19</v>
      </c>
      <c r="K77" s="60" t="str">
        <f>INDEX(Helper!$F:$F, MATCH(J77, Helper!$E:$E, 0))</f>
        <v>#FFDD21</v>
      </c>
      <c r="L77" s="61" t="s">
        <v>466</v>
      </c>
      <c r="M77" s="61" t="s">
        <v>648</v>
      </c>
      <c r="N77" s="62" t="s">
        <v>647</v>
      </c>
      <c r="O77" s="21" t="s">
        <v>1207</v>
      </c>
    </row>
    <row r="78" spans="1:15" x14ac:dyDescent="0.4">
      <c r="A78" s="60">
        <v>75</v>
      </c>
      <c r="B78" s="60">
        <v>2</v>
      </c>
      <c r="C78" s="61" t="str">
        <f>INDEX(Helper!$N$2:$N$4, MATCH(B78, Helper!$M$2:$M$4, 0))</f>
        <v>Intermediate</v>
      </c>
      <c r="D78" s="61" t="s">
        <v>42</v>
      </c>
      <c r="E78" s="61" t="s">
        <v>46</v>
      </c>
      <c r="F78" s="5">
        <v>1</v>
      </c>
      <c r="G78" s="60">
        <v>1</v>
      </c>
      <c r="H78" s="60" t="str">
        <f>INDEX(Helper!$C:$C, MATCH(G78, Helper!$A:$A, 0))</f>
        <v>Standard (EADGBE)</v>
      </c>
      <c r="I78" s="60" t="s">
        <v>70</v>
      </c>
      <c r="J78" s="86" t="s">
        <v>373</v>
      </c>
      <c r="K78" s="60" t="str">
        <f>INDEX(Helper!$F:$F, MATCH(J78, Helper!$E:$E, 0))</f>
        <v>#C476D4</v>
      </c>
      <c r="L78" s="61" t="s">
        <v>467</v>
      </c>
      <c r="M78" s="61" t="s">
        <v>619</v>
      </c>
      <c r="N78" s="62" t="s">
        <v>721</v>
      </c>
      <c r="O78" s="21" t="s">
        <v>788</v>
      </c>
    </row>
    <row r="79" spans="1:15" x14ac:dyDescent="0.4">
      <c r="A79" s="60">
        <v>76</v>
      </c>
      <c r="B79" s="60">
        <v>2</v>
      </c>
      <c r="C79" s="61" t="str">
        <f>INDEX(Helper!$N$2:$N$4, MATCH(B79, Helper!$M$2:$M$4, 0))</f>
        <v>Intermediate</v>
      </c>
      <c r="D79" s="61" t="s">
        <v>78</v>
      </c>
      <c r="E79" s="61" t="s">
        <v>322</v>
      </c>
      <c r="F79" s="5">
        <v>1</v>
      </c>
      <c r="G79" s="60">
        <v>1</v>
      </c>
      <c r="H79" s="60" t="str">
        <f>INDEX(Helper!$C:$C, MATCH(G79, Helper!$A:$A, 0))</f>
        <v>Standard (EADGBE)</v>
      </c>
      <c r="I79" s="60" t="s">
        <v>631</v>
      </c>
      <c r="J79" s="81" t="s">
        <v>13</v>
      </c>
      <c r="K79" s="60" t="str">
        <f>INDEX(Helper!$F:$F, MATCH(J79, Helper!$E:$E, 0))</f>
        <v>#FF4F53</v>
      </c>
      <c r="L79" s="61" t="s">
        <v>468</v>
      </c>
      <c r="M79" s="61" t="s">
        <v>619</v>
      </c>
      <c r="N79" s="62" t="s">
        <v>722</v>
      </c>
      <c r="O79" s="21" t="s">
        <v>815</v>
      </c>
    </row>
    <row r="80" spans="1:15" x14ac:dyDescent="0.4">
      <c r="A80" s="60">
        <v>77</v>
      </c>
      <c r="B80" s="60">
        <v>2</v>
      </c>
      <c r="C80" s="61" t="str">
        <f>INDEX(Helper!$N$2:$N$4, MATCH(B80, Helper!$M$2:$M$4, 0))</f>
        <v>Intermediate</v>
      </c>
      <c r="D80" s="61" t="s">
        <v>78</v>
      </c>
      <c r="E80" s="61" t="s">
        <v>79</v>
      </c>
      <c r="F80" s="5">
        <v>0</v>
      </c>
      <c r="G80" s="60">
        <v>1</v>
      </c>
      <c r="H80" s="60" t="str">
        <f>INDEX(Helper!$C:$C, MATCH(G80, Helper!$A:$A, 0))</f>
        <v>Standard (EADGBE)</v>
      </c>
      <c r="I80" s="60" t="s">
        <v>65</v>
      </c>
      <c r="J80" s="81" t="s">
        <v>13</v>
      </c>
      <c r="K80" s="60" t="str">
        <f>INDEX(Helper!$F:$F, MATCH(J80, Helper!$E:$E, 0))</f>
        <v>#FF4F53</v>
      </c>
      <c r="L80" s="61" t="s">
        <v>469</v>
      </c>
      <c r="M80" s="61" t="s">
        <v>619</v>
      </c>
      <c r="N80" s="62" t="s">
        <v>723</v>
      </c>
      <c r="O80" s="21" t="s">
        <v>1123</v>
      </c>
    </row>
    <row r="81" spans="1:15" x14ac:dyDescent="0.4">
      <c r="A81" s="60">
        <v>78</v>
      </c>
      <c r="B81" s="60">
        <v>2</v>
      </c>
      <c r="C81" s="61" t="str">
        <f>INDEX(Helper!$N$2:$N$4, MATCH(B81, Helper!$M$2:$M$4, 0))</f>
        <v>Intermediate</v>
      </c>
      <c r="D81" s="61" t="s">
        <v>323</v>
      </c>
      <c r="E81" s="61" t="s">
        <v>324</v>
      </c>
      <c r="F81" s="5">
        <v>0</v>
      </c>
      <c r="G81" s="60">
        <v>1</v>
      </c>
      <c r="H81" s="60" t="str">
        <f>INDEX(Helper!$C:$C, MATCH(G81, Helper!$A:$A, 0))</f>
        <v>Standard (EADGBE)</v>
      </c>
      <c r="I81" s="60" t="s">
        <v>623</v>
      </c>
      <c r="J81" s="75" t="s">
        <v>10</v>
      </c>
      <c r="K81" s="60" t="str">
        <f>INDEX(Helper!$F:$F, MATCH(J81, Helper!$E:$E, 0))</f>
        <v>#F5943C</v>
      </c>
      <c r="L81" s="61" t="s">
        <v>470</v>
      </c>
      <c r="M81" s="61" t="s">
        <v>619</v>
      </c>
      <c r="N81" s="62" t="s">
        <v>724</v>
      </c>
      <c r="O81" s="21" t="s">
        <v>803</v>
      </c>
    </row>
    <row r="82" spans="1:15" x14ac:dyDescent="0.4">
      <c r="A82" s="60">
        <v>79</v>
      </c>
      <c r="B82" s="60">
        <v>2</v>
      </c>
      <c r="C82" s="61" t="str">
        <f>INDEX(Helper!$N$2:$N$4, MATCH(B82, Helper!$M$2:$M$4, 0))</f>
        <v>Intermediate</v>
      </c>
      <c r="D82" s="61" t="s">
        <v>140</v>
      </c>
      <c r="E82" s="61" t="s">
        <v>325</v>
      </c>
      <c r="F82" s="5">
        <v>0</v>
      </c>
      <c r="G82" s="60">
        <v>1</v>
      </c>
      <c r="H82" s="60" t="str">
        <f>INDEX(Helper!$C:$C, MATCH(G82, Helper!$A:$A, 0))</f>
        <v>Standard (EADGBE)</v>
      </c>
      <c r="I82" s="60" t="s">
        <v>65</v>
      </c>
      <c r="J82" s="88" t="s">
        <v>20</v>
      </c>
      <c r="K82" s="60" t="str">
        <f>INDEX(Helper!$F:$F, MATCH(J82, Helper!$E:$E, 0))</f>
        <v>#8AF1AA</v>
      </c>
      <c r="L82" s="61" t="s">
        <v>389</v>
      </c>
      <c r="M82" s="61" t="s">
        <v>619</v>
      </c>
      <c r="N82" s="62" t="s">
        <v>725</v>
      </c>
      <c r="O82" s="21" t="s">
        <v>789</v>
      </c>
    </row>
    <row r="83" spans="1:15" x14ac:dyDescent="0.4">
      <c r="A83" s="60">
        <v>80</v>
      </c>
      <c r="B83" s="60">
        <v>2</v>
      </c>
      <c r="C83" s="61" t="str">
        <f>INDEX(Helper!$N$2:$N$4, MATCH(B83, Helper!$M$2:$M$4, 0))</f>
        <v>Intermediate</v>
      </c>
      <c r="D83" s="61" t="s">
        <v>252</v>
      </c>
      <c r="E83" s="61" t="s">
        <v>326</v>
      </c>
      <c r="F83" s="5">
        <v>0</v>
      </c>
      <c r="G83" s="60">
        <v>1</v>
      </c>
      <c r="H83" s="60" t="str">
        <f>INDEX(Helper!$C:$C, MATCH(G83, Helper!$A:$A, 0))</f>
        <v>Standard (EADGBE)</v>
      </c>
      <c r="I83" s="60" t="s">
        <v>62</v>
      </c>
      <c r="J83" s="77" t="s">
        <v>11</v>
      </c>
      <c r="K83" s="60" t="str">
        <f>INDEX(Helper!$F:$F, MATCH(J83, Helper!$E:$E, 0))</f>
        <v>#E8AD1D</v>
      </c>
      <c r="L83" s="61" t="s">
        <v>471</v>
      </c>
      <c r="M83" s="61" t="s">
        <v>619</v>
      </c>
      <c r="N83" s="62" t="s">
        <v>726</v>
      </c>
      <c r="O83" s="21" t="s">
        <v>1116</v>
      </c>
    </row>
    <row r="84" spans="1:15" x14ac:dyDescent="0.4">
      <c r="A84" s="60">
        <v>81</v>
      </c>
      <c r="B84" s="60">
        <v>2</v>
      </c>
      <c r="C84" s="61" t="str">
        <f>INDEX(Helper!$N$2:$N$4, MATCH(B84, Helper!$M$2:$M$4, 0))</f>
        <v>Intermediate</v>
      </c>
      <c r="D84" s="61" t="s">
        <v>327</v>
      </c>
      <c r="E84" s="61" t="s">
        <v>328</v>
      </c>
      <c r="F84" s="5">
        <v>1</v>
      </c>
      <c r="G84" s="60">
        <v>1</v>
      </c>
      <c r="H84" s="60" t="str">
        <f>INDEX(Helper!$C:$C, MATCH(G84, Helper!$A:$A, 0))</f>
        <v>Standard (EADGBE)</v>
      </c>
      <c r="I84" s="60" t="s">
        <v>65</v>
      </c>
      <c r="J84" s="81" t="s">
        <v>13</v>
      </c>
      <c r="K84" s="60" t="str">
        <f>INDEX(Helper!$F:$F, MATCH(J84, Helper!$E:$E, 0))</f>
        <v>#FF4F53</v>
      </c>
      <c r="L84" s="61" t="s">
        <v>473</v>
      </c>
      <c r="M84" s="61" t="s">
        <v>619</v>
      </c>
      <c r="N84" s="62" t="s">
        <v>727</v>
      </c>
      <c r="O84" s="21" t="s">
        <v>790</v>
      </c>
    </row>
    <row r="85" spans="1:15" x14ac:dyDescent="0.4">
      <c r="A85" s="60">
        <v>82</v>
      </c>
      <c r="B85" s="60">
        <v>2</v>
      </c>
      <c r="C85" s="61" t="str">
        <f>INDEX(Helper!$N$2:$N$4, MATCH(B85, Helper!$M$2:$M$4, 0))</f>
        <v>Intermediate</v>
      </c>
      <c r="D85" s="61" t="s">
        <v>329</v>
      </c>
      <c r="E85" s="61" t="s">
        <v>330</v>
      </c>
      <c r="F85" s="5">
        <v>1</v>
      </c>
      <c r="G85" s="60">
        <v>1</v>
      </c>
      <c r="H85" s="60" t="str">
        <f>INDEX(Helper!$C:$C, MATCH(G85, Helper!$A:$A, 0))</f>
        <v>Standard (EADGBE)</v>
      </c>
      <c r="I85" s="60" t="s">
        <v>62</v>
      </c>
      <c r="J85" s="76" t="s">
        <v>372</v>
      </c>
      <c r="K85" s="60" t="str">
        <f>INDEX(Helper!$F:$F, MATCH(J85, Helper!$E:$E, 0))</f>
        <v>#B3F141</v>
      </c>
      <c r="L85" s="61" t="s">
        <v>474</v>
      </c>
      <c r="M85" s="61" t="s">
        <v>619</v>
      </c>
      <c r="N85" s="62" t="s">
        <v>728</v>
      </c>
      <c r="O85" s="22" t="s">
        <v>820</v>
      </c>
    </row>
    <row r="86" spans="1:15" x14ac:dyDescent="0.4">
      <c r="A86" s="60">
        <v>83</v>
      </c>
      <c r="B86" s="60">
        <v>2</v>
      </c>
      <c r="C86" s="61" t="str">
        <f>INDEX(Helper!$N$2:$N$4, MATCH(B86, Helper!$M$2:$M$4, 0))</f>
        <v>Intermediate</v>
      </c>
      <c r="D86" s="61" t="s">
        <v>90</v>
      </c>
      <c r="E86" s="65" t="s">
        <v>331</v>
      </c>
      <c r="F86" s="5">
        <v>0</v>
      </c>
      <c r="G86" s="60">
        <v>1</v>
      </c>
      <c r="H86" s="60" t="str">
        <f>INDEX(Helper!$C:$C, MATCH(G86, Helper!$A:$A, 0))</f>
        <v>Standard (EADGBE)</v>
      </c>
      <c r="I86" s="60" t="s">
        <v>63</v>
      </c>
      <c r="J86" s="81" t="s">
        <v>13</v>
      </c>
      <c r="K86" s="60" t="str">
        <f>INDEX(Helper!$F:$F, MATCH(J86, Helper!$E:$E, 0))</f>
        <v>#FF4F53</v>
      </c>
      <c r="L86" s="61" t="s">
        <v>475</v>
      </c>
      <c r="M86" s="61" t="s">
        <v>619</v>
      </c>
      <c r="N86" s="62" t="s">
        <v>729</v>
      </c>
      <c r="O86" s="21" t="s">
        <v>821</v>
      </c>
    </row>
    <row r="87" spans="1:15" x14ac:dyDescent="0.4">
      <c r="A87" s="60">
        <v>84</v>
      </c>
      <c r="B87" s="60">
        <v>2</v>
      </c>
      <c r="C87" s="61" t="str">
        <f>INDEX(Helper!$N$2:$N$4, MATCH(B87, Helper!$M$2:$M$4, 0))</f>
        <v>Intermediate</v>
      </c>
      <c r="D87" s="61" t="s">
        <v>90</v>
      </c>
      <c r="E87" s="61" t="s">
        <v>251</v>
      </c>
      <c r="F87" s="5">
        <v>1</v>
      </c>
      <c r="G87" s="60">
        <v>1</v>
      </c>
      <c r="H87" s="60" t="str">
        <f>INDEX(Helper!$C:$C, MATCH(G87, Helper!$A:$A, 0))</f>
        <v>Standard (EADGBE)</v>
      </c>
      <c r="I87" s="60" t="s">
        <v>59</v>
      </c>
      <c r="J87" s="81" t="s">
        <v>13</v>
      </c>
      <c r="K87" s="60" t="str">
        <f>INDEX(Helper!$F:$F, MATCH(J87, Helper!$E:$E, 0))</f>
        <v>#FF4F53</v>
      </c>
      <c r="L87" s="61" t="s">
        <v>476</v>
      </c>
      <c r="M87" s="61" t="s">
        <v>619</v>
      </c>
      <c r="N87" s="62" t="s">
        <v>730</v>
      </c>
      <c r="O87" s="21" t="s">
        <v>791</v>
      </c>
    </row>
    <row r="88" spans="1:15" x14ac:dyDescent="0.4">
      <c r="A88" s="60">
        <v>85</v>
      </c>
      <c r="B88" s="60">
        <v>2</v>
      </c>
      <c r="C88" s="61" t="str">
        <f>INDEX(Helper!$N$2:$N$4, MATCH(B88, Helper!$M$2:$M$4, 0))</f>
        <v>Intermediate</v>
      </c>
      <c r="D88" s="61" t="s">
        <v>332</v>
      </c>
      <c r="E88" s="61" t="s">
        <v>333</v>
      </c>
      <c r="F88" s="5">
        <v>1</v>
      </c>
      <c r="G88" s="60">
        <v>2</v>
      </c>
      <c r="H88" s="60" t="str">
        <f>INDEX(Helper!$C:$C, MATCH(G88, Helper!$A:$A, 0))</f>
        <v>Drop D (DADGBE)</v>
      </c>
      <c r="I88" s="60" t="s">
        <v>62</v>
      </c>
      <c r="J88" s="80" t="s">
        <v>16</v>
      </c>
      <c r="K88" s="60" t="str">
        <f>INDEX(Helper!$F:$F, MATCH(J88, Helper!$E:$E, 0))</f>
        <v>#C2C2A1</v>
      </c>
      <c r="L88" s="61" t="s">
        <v>477</v>
      </c>
      <c r="M88" s="61" t="s">
        <v>632</v>
      </c>
      <c r="N88" s="62" t="s">
        <v>731</v>
      </c>
      <c r="O88" s="21" t="s">
        <v>1136</v>
      </c>
    </row>
    <row r="89" spans="1:15" x14ac:dyDescent="0.4">
      <c r="A89" s="60">
        <v>86</v>
      </c>
      <c r="B89" s="60">
        <v>2</v>
      </c>
      <c r="C89" s="61" t="str">
        <f>INDEX(Helper!$N$2:$N$4, MATCH(B89, Helper!$M$2:$M$4, 0))</f>
        <v>Intermediate</v>
      </c>
      <c r="D89" s="61" t="s">
        <v>127</v>
      </c>
      <c r="E89" s="61" t="s">
        <v>334</v>
      </c>
      <c r="F89" s="5">
        <v>0</v>
      </c>
      <c r="G89" s="60">
        <v>7</v>
      </c>
      <c r="H89" s="60" t="str">
        <f>INDEX(Helper!$C:$C, MATCH(G89, Helper!$A:$A, 0))</f>
        <v>(DADGAD)</v>
      </c>
      <c r="I89" s="60" t="s">
        <v>631</v>
      </c>
      <c r="J89" s="75" t="s">
        <v>10</v>
      </c>
      <c r="K89" s="60" t="str">
        <f>INDEX(Helper!$F:$F, MATCH(J89, Helper!$E:$E, 0))</f>
        <v>#F5943C</v>
      </c>
      <c r="L89" s="61" t="s">
        <v>478</v>
      </c>
      <c r="M89" s="61" t="s">
        <v>619</v>
      </c>
      <c r="N89" s="62" t="s">
        <v>732</v>
      </c>
      <c r="O89" s="47" t="s">
        <v>792</v>
      </c>
    </row>
    <row r="90" spans="1:15" x14ac:dyDescent="0.4">
      <c r="A90" s="60">
        <v>87</v>
      </c>
      <c r="B90" s="60">
        <v>2</v>
      </c>
      <c r="C90" s="61" t="str">
        <f>INDEX(Helper!$N$2:$N$4, MATCH(B90, Helper!$M$2:$M$4, 0))</f>
        <v>Intermediate</v>
      </c>
      <c r="D90" s="61" t="s">
        <v>335</v>
      </c>
      <c r="E90" s="61" t="s">
        <v>336</v>
      </c>
      <c r="F90" s="5">
        <v>1</v>
      </c>
      <c r="G90" s="60">
        <v>1</v>
      </c>
      <c r="H90" s="60" t="str">
        <f>INDEX(Helper!$C:$C, MATCH(G90, Helper!$A:$A, 0))</f>
        <v>Standard (EADGBE)</v>
      </c>
      <c r="I90" s="60" t="s">
        <v>61</v>
      </c>
      <c r="J90" s="75" t="s">
        <v>10</v>
      </c>
      <c r="K90" s="60" t="str">
        <f>INDEX(Helper!$F:$F, MATCH(J90, Helper!$E:$E, 0))</f>
        <v>#F5943C</v>
      </c>
      <c r="L90" s="61" t="s">
        <v>479</v>
      </c>
      <c r="M90" s="61" t="s">
        <v>619</v>
      </c>
      <c r="N90" s="62" t="s">
        <v>733</v>
      </c>
      <c r="O90" s="21" t="s">
        <v>822</v>
      </c>
    </row>
    <row r="91" spans="1:15" x14ac:dyDescent="0.4">
      <c r="A91" s="60">
        <v>88</v>
      </c>
      <c r="B91" s="60">
        <v>2</v>
      </c>
      <c r="C91" s="61" t="str">
        <f>INDEX(Helper!$N$2:$N$4, MATCH(B91, Helper!$M$2:$M$4, 0))</f>
        <v>Intermediate</v>
      </c>
      <c r="D91" s="61" t="s">
        <v>318</v>
      </c>
      <c r="E91" s="61" t="s">
        <v>337</v>
      </c>
      <c r="F91" s="5">
        <v>0</v>
      </c>
      <c r="G91" s="60">
        <v>1</v>
      </c>
      <c r="H91" s="60" t="str">
        <f>INDEX(Helper!$C:$C, MATCH(G91, Helper!$A:$A, 0))</f>
        <v>Standard (EADGBE)</v>
      </c>
      <c r="I91" s="60" t="s">
        <v>66</v>
      </c>
      <c r="J91" s="79" t="s">
        <v>22</v>
      </c>
      <c r="K91" s="60" t="str">
        <f>INDEX(Helper!$F:$F, MATCH(J91, Helper!$E:$E, 0))</f>
        <v>#FFDF66</v>
      </c>
      <c r="L91" s="61" t="s">
        <v>480</v>
      </c>
      <c r="M91" s="61" t="s">
        <v>619</v>
      </c>
      <c r="N91" s="62" t="s">
        <v>734</v>
      </c>
      <c r="O91" s="21" t="s">
        <v>793</v>
      </c>
    </row>
    <row r="92" spans="1:15" x14ac:dyDescent="0.4">
      <c r="A92" s="60">
        <v>89</v>
      </c>
      <c r="B92" s="60">
        <v>2</v>
      </c>
      <c r="C92" s="61" t="str">
        <f>INDEX(Helper!$N$2:$N$4, MATCH(B92, Helper!$M$2:$M$4, 0))</f>
        <v>Intermediate</v>
      </c>
      <c r="D92" s="61" t="s">
        <v>78</v>
      </c>
      <c r="E92" s="61" t="s">
        <v>80</v>
      </c>
      <c r="F92" s="5">
        <v>0</v>
      </c>
      <c r="G92" s="60">
        <v>1</v>
      </c>
      <c r="H92" s="60" t="str">
        <f>INDEX(Helper!$C:$C, MATCH(G92, Helper!$A:$A, 0))</f>
        <v>Standard (EADGBE)</v>
      </c>
      <c r="I92" s="60" t="s">
        <v>59</v>
      </c>
      <c r="J92" s="81" t="s">
        <v>13</v>
      </c>
      <c r="K92" s="60" t="str">
        <f>INDEX(Helper!$F:$F, MATCH(J92, Helper!$E:$E, 0))</f>
        <v>#FF4F53</v>
      </c>
      <c r="L92" s="61" t="s">
        <v>481</v>
      </c>
      <c r="M92" s="61" t="s">
        <v>619</v>
      </c>
      <c r="N92" s="62" t="s">
        <v>735</v>
      </c>
      <c r="O92" s="21" t="s">
        <v>1117</v>
      </c>
    </row>
    <row r="93" spans="1:15" x14ac:dyDescent="0.4">
      <c r="A93" s="60">
        <v>90</v>
      </c>
      <c r="B93" s="60">
        <v>2</v>
      </c>
      <c r="C93" s="61" t="str">
        <f>INDEX(Helper!$N$2:$N$4, MATCH(B93, Helper!$M$2:$M$4, 0))</f>
        <v>Intermediate</v>
      </c>
      <c r="D93" s="66" t="s">
        <v>232</v>
      </c>
      <c r="E93" s="66" t="s">
        <v>233</v>
      </c>
      <c r="F93" s="5">
        <v>1</v>
      </c>
      <c r="G93" s="60">
        <v>1</v>
      </c>
      <c r="H93" s="60" t="str">
        <f>INDEX(Helper!$C:$C, MATCH(G93, Helper!$A:$A, 0))</f>
        <v>Standard (EADGBE)</v>
      </c>
      <c r="I93" s="60" t="s">
        <v>64</v>
      </c>
      <c r="J93" s="85" t="s">
        <v>17</v>
      </c>
      <c r="K93" s="60" t="str">
        <f>INDEX(Helper!$F:$F, MATCH(J93, Helper!$E:$E, 0))</f>
        <v>#F75269</v>
      </c>
      <c r="L93" s="61" t="s">
        <v>484</v>
      </c>
      <c r="M93" s="61" t="s">
        <v>619</v>
      </c>
      <c r="N93" s="62" t="s">
        <v>736</v>
      </c>
      <c r="O93" s="21" t="s">
        <v>794</v>
      </c>
    </row>
    <row r="94" spans="1:15" x14ac:dyDescent="0.4">
      <c r="A94" s="60">
        <v>91</v>
      </c>
      <c r="B94" s="60">
        <v>2</v>
      </c>
      <c r="C94" s="61" t="str">
        <f>INDEX(Helper!$N$2:$N$4, MATCH(B94, Helper!$M$2:$M$4, 0))</f>
        <v>Intermediate</v>
      </c>
      <c r="D94" s="61" t="s">
        <v>41</v>
      </c>
      <c r="E94" s="61" t="s">
        <v>44</v>
      </c>
      <c r="F94" s="5">
        <v>1</v>
      </c>
      <c r="G94" s="60">
        <v>3</v>
      </c>
      <c r="H94" s="60" t="str">
        <f>INDEX(Helper!$C:$C, MATCH(G94, Helper!$A:$A, 0))</f>
        <v>Half Step Down (D#G#C#F#A#D#)</v>
      </c>
      <c r="I94" s="60" t="s">
        <v>639</v>
      </c>
      <c r="J94" s="75" t="s">
        <v>10</v>
      </c>
      <c r="K94" s="60" t="str">
        <f>INDEX(Helper!$F:$F, MATCH(J94, Helper!$E:$E, 0))</f>
        <v>#F5943C</v>
      </c>
      <c r="L94" s="61" t="s">
        <v>485</v>
      </c>
      <c r="M94" s="61" t="s">
        <v>619</v>
      </c>
      <c r="N94" s="62" t="s">
        <v>737</v>
      </c>
      <c r="O94" s="21" t="s">
        <v>816</v>
      </c>
    </row>
    <row r="95" spans="1:15" x14ac:dyDescent="0.4">
      <c r="A95" s="60">
        <v>92</v>
      </c>
      <c r="B95" s="60">
        <v>2</v>
      </c>
      <c r="C95" s="61" t="str">
        <f>INDEX(Helper!$N$2:$N$4, MATCH(B95, Helper!$M$2:$M$4, 0))</f>
        <v>Intermediate</v>
      </c>
      <c r="D95" s="61" t="s">
        <v>90</v>
      </c>
      <c r="E95" s="61" t="s">
        <v>338</v>
      </c>
      <c r="F95" s="5">
        <v>1</v>
      </c>
      <c r="G95" s="60">
        <v>1</v>
      </c>
      <c r="H95" s="60" t="str">
        <f>INDEX(Helper!$C:$C, MATCH(G95, Helper!$A:$A, 0))</f>
        <v>Standard (EADGBE)</v>
      </c>
      <c r="I95" s="60" t="s">
        <v>395</v>
      </c>
      <c r="J95" s="81" t="s">
        <v>13</v>
      </c>
      <c r="K95" s="60" t="str">
        <f>INDEX(Helper!$F:$F, MATCH(J95, Helper!$E:$E, 0))</f>
        <v>#FF4F53</v>
      </c>
      <c r="L95" s="61" t="s">
        <v>486</v>
      </c>
      <c r="M95" s="61" t="s">
        <v>619</v>
      </c>
      <c r="N95" s="62" t="s">
        <v>738</v>
      </c>
      <c r="O95" s="21" t="s">
        <v>1214</v>
      </c>
    </row>
    <row r="96" spans="1:15" x14ac:dyDescent="0.4">
      <c r="A96" s="60">
        <v>93</v>
      </c>
      <c r="B96" s="60">
        <v>2</v>
      </c>
      <c r="C96" s="61" t="str">
        <f>INDEX(Helper!$N$2:$N$4, MATCH(B96, Helper!$M$2:$M$4, 0))</f>
        <v>Intermediate</v>
      </c>
      <c r="D96" s="61" t="s">
        <v>123</v>
      </c>
      <c r="E96" s="61" t="s">
        <v>339</v>
      </c>
      <c r="F96" s="5">
        <v>0</v>
      </c>
      <c r="G96" s="60">
        <v>8</v>
      </c>
      <c r="H96" s="60" t="str">
        <f>INDEX(Helper!$C:$C, MATCH(G96, Helper!$A:$A, 0))</f>
        <v>Open D (DADF#AD)</v>
      </c>
      <c r="I96" s="60" t="s">
        <v>631</v>
      </c>
      <c r="J96" s="81" t="s">
        <v>13</v>
      </c>
      <c r="K96" s="60" t="str">
        <f>INDEX(Helper!$F:$F, MATCH(J96, Helper!$E:$E, 0))</f>
        <v>#FF4F53</v>
      </c>
      <c r="L96" s="61" t="s">
        <v>487</v>
      </c>
      <c r="M96" s="61" t="s">
        <v>619</v>
      </c>
      <c r="N96" s="62" t="s">
        <v>739</v>
      </c>
      <c r="O96" s="21" t="s">
        <v>1145</v>
      </c>
    </row>
    <row r="97" spans="1:15" x14ac:dyDescent="0.4">
      <c r="A97" s="60">
        <v>94</v>
      </c>
      <c r="B97" s="60">
        <v>2</v>
      </c>
      <c r="C97" s="61" t="str">
        <f>INDEX(Helper!$N$2:$N$4, MATCH(B97, Helper!$M$2:$M$4, 0))</f>
        <v>Intermediate</v>
      </c>
      <c r="D97" s="66" t="s">
        <v>123</v>
      </c>
      <c r="E97" s="61" t="s">
        <v>159</v>
      </c>
      <c r="F97" s="5">
        <v>0</v>
      </c>
      <c r="G97" s="60">
        <v>1</v>
      </c>
      <c r="H97" s="60" t="str">
        <f>INDEX(Helper!$C:$C, MATCH(G97, Helper!$A:$A, 0))</f>
        <v>Standard (EADGBE)</v>
      </c>
      <c r="I97" s="60" t="s">
        <v>59</v>
      </c>
      <c r="J97" s="81" t="s">
        <v>13</v>
      </c>
      <c r="K97" s="60" t="str">
        <f>INDEX(Helper!$F:$F, MATCH(J97, Helper!$E:$E, 0))</f>
        <v>#FF4F53</v>
      </c>
      <c r="L97" s="61" t="s">
        <v>488</v>
      </c>
      <c r="M97" s="61" t="s">
        <v>619</v>
      </c>
      <c r="N97" s="62" t="s">
        <v>740</v>
      </c>
      <c r="O97" s="21" t="s">
        <v>1176</v>
      </c>
    </row>
    <row r="98" spans="1:15" x14ac:dyDescent="0.4">
      <c r="A98" s="60">
        <v>95</v>
      </c>
      <c r="B98" s="60">
        <v>2</v>
      </c>
      <c r="C98" s="61" t="str">
        <f>INDEX(Helper!$N$2:$N$4, MATCH(B98, Helper!$M$2:$M$4, 0))</f>
        <v>Intermediate</v>
      </c>
      <c r="D98" s="61" t="s">
        <v>171</v>
      </c>
      <c r="E98" s="61" t="s">
        <v>256</v>
      </c>
      <c r="F98" s="5">
        <v>0</v>
      </c>
      <c r="G98" s="60">
        <v>1</v>
      </c>
      <c r="H98" s="60" t="str">
        <f>INDEX(Helper!$C:$C, MATCH(G98, Helper!$A:$A, 0))</f>
        <v>Standard (EADGBE)</v>
      </c>
      <c r="I98" s="60" t="s">
        <v>63</v>
      </c>
      <c r="J98" s="79" t="s">
        <v>19</v>
      </c>
      <c r="K98" s="60" t="str">
        <f>INDEX(Helper!$F:$F, MATCH(J98, Helper!$E:$E, 0))</f>
        <v>#FFDD21</v>
      </c>
      <c r="L98" s="61" t="s">
        <v>386</v>
      </c>
      <c r="M98" s="61" t="s">
        <v>619</v>
      </c>
      <c r="N98" s="62" t="s">
        <v>741</v>
      </c>
      <c r="O98" s="21" t="s">
        <v>805</v>
      </c>
    </row>
    <row r="99" spans="1:15" x14ac:dyDescent="0.4">
      <c r="A99" s="60">
        <v>96</v>
      </c>
      <c r="B99" s="60">
        <v>1</v>
      </c>
      <c r="C99" s="61" t="str">
        <f>INDEX(Helper!$N$2:$N$4, MATCH(B99, Helper!$M$2:$M$4, 0))</f>
        <v>Beginner</v>
      </c>
      <c r="D99" s="61" t="s">
        <v>340</v>
      </c>
      <c r="E99" s="61" t="s">
        <v>341</v>
      </c>
      <c r="F99" s="5">
        <v>1</v>
      </c>
      <c r="G99" s="60">
        <v>1</v>
      </c>
      <c r="H99" s="60" t="str">
        <f>INDEX(Helper!$C:$C, MATCH(G99, Helper!$A:$A, 0))</f>
        <v>Standard (EADGBE)</v>
      </c>
      <c r="I99" s="60" t="s">
        <v>624</v>
      </c>
      <c r="J99" s="80" t="s">
        <v>15</v>
      </c>
      <c r="K99" s="60" t="str">
        <f>INDEX(Helper!$F:$F, MATCH(J99, Helper!$E:$E, 0))</f>
        <v>#C2C2A1</v>
      </c>
      <c r="L99" s="61" t="s">
        <v>489</v>
      </c>
      <c r="M99" s="61" t="s">
        <v>619</v>
      </c>
      <c r="N99" s="62" t="s">
        <v>742</v>
      </c>
      <c r="O99" s="21" t="s">
        <v>1208</v>
      </c>
    </row>
    <row r="100" spans="1:15" x14ac:dyDescent="0.4">
      <c r="A100" s="60">
        <v>97</v>
      </c>
      <c r="B100" s="60">
        <v>1</v>
      </c>
      <c r="C100" s="61" t="str">
        <f>INDEX(Helper!$N$2:$N$4, MATCH(B100, Helper!$M$2:$M$4, 0))</f>
        <v>Beginner</v>
      </c>
      <c r="D100" s="61" t="s">
        <v>36</v>
      </c>
      <c r="E100" s="61" t="s">
        <v>51</v>
      </c>
      <c r="F100" s="5">
        <v>1</v>
      </c>
      <c r="G100" s="60">
        <v>1</v>
      </c>
      <c r="H100" s="60" t="str">
        <f>INDEX(Helper!$C:$C, MATCH(G100, Helper!$A:$A, 0))</f>
        <v>Standard (EADGBE)</v>
      </c>
      <c r="I100" s="60" t="s">
        <v>623</v>
      </c>
      <c r="J100" s="80" t="s">
        <v>15</v>
      </c>
      <c r="K100" s="60" t="str">
        <f>INDEX(Helper!$F:$F, MATCH(J100, Helper!$E:$E, 0))</f>
        <v>#C2C2A1</v>
      </c>
      <c r="L100" s="61" t="s">
        <v>490</v>
      </c>
      <c r="M100" s="61" t="s">
        <v>619</v>
      </c>
      <c r="N100" s="63" t="s">
        <v>743</v>
      </c>
      <c r="O100" s="21" t="s">
        <v>817</v>
      </c>
    </row>
    <row r="101" spans="1:15" x14ac:dyDescent="0.4">
      <c r="A101" s="60">
        <v>98</v>
      </c>
      <c r="B101" s="60">
        <v>3</v>
      </c>
      <c r="C101" s="61" t="str">
        <f>INDEX(Helper!$N$2:$N$4, MATCH(B101, Helper!$M$2:$M$4, 0))</f>
        <v>Advanced</v>
      </c>
      <c r="D101" s="61" t="s">
        <v>34</v>
      </c>
      <c r="E101" s="61" t="s">
        <v>48</v>
      </c>
      <c r="F101" s="5">
        <v>1</v>
      </c>
      <c r="G101" s="60">
        <v>1</v>
      </c>
      <c r="H101" s="60" t="str">
        <f>INDEX(Helper!$C:$C, MATCH(G101, Helper!$A:$A, 0))</f>
        <v>Standard (EADGBE)</v>
      </c>
      <c r="I101" s="60" t="s">
        <v>60</v>
      </c>
      <c r="J101" s="75" t="s">
        <v>10</v>
      </c>
      <c r="K101" s="60" t="str">
        <f>INDEX(Helper!$F:$F, MATCH(J101, Helper!$E:$E, 0))</f>
        <v>#F5943C</v>
      </c>
      <c r="L101" s="61" t="s">
        <v>491</v>
      </c>
      <c r="M101" s="61" t="s">
        <v>619</v>
      </c>
      <c r="N101" s="62" t="s">
        <v>744</v>
      </c>
      <c r="O101" s="21" t="s">
        <v>1182</v>
      </c>
    </row>
    <row r="102" spans="1:15" x14ac:dyDescent="0.4">
      <c r="A102" s="60">
        <v>99</v>
      </c>
      <c r="B102" s="60">
        <v>1</v>
      </c>
      <c r="C102" s="66" t="str">
        <f>INDEX(Helper!$N$2:$N$4, MATCH(B102, Helper!$M$2:$M$4, 0))</f>
        <v>Beginner</v>
      </c>
      <c r="D102" s="66" t="s">
        <v>288</v>
      </c>
      <c r="E102" s="66" t="s">
        <v>342</v>
      </c>
      <c r="F102" s="5">
        <v>1</v>
      </c>
      <c r="G102" s="60">
        <v>1</v>
      </c>
      <c r="H102" s="60" t="str">
        <f>INDEX(Helper!$C:$C, MATCH(G102, Helper!$A:$A, 0))</f>
        <v>Standard (EADGBE)</v>
      </c>
      <c r="I102" s="60" t="s">
        <v>395</v>
      </c>
      <c r="J102" s="76" t="s">
        <v>28</v>
      </c>
      <c r="K102" s="60" t="str">
        <f>INDEX(Helper!$F:$F, MATCH(J102, Helper!$E:$E, 0))</f>
        <v>#B3F141</v>
      </c>
      <c r="L102" s="66" t="s">
        <v>492</v>
      </c>
      <c r="M102" s="66" t="s">
        <v>619</v>
      </c>
      <c r="N102" s="63" t="s">
        <v>842</v>
      </c>
      <c r="O102" s="40" t="s">
        <v>843</v>
      </c>
    </row>
    <row r="103" spans="1:15" x14ac:dyDescent="0.4">
      <c r="A103" s="60">
        <v>100</v>
      </c>
      <c r="B103" s="60">
        <v>3</v>
      </c>
      <c r="C103" s="66" t="str">
        <f>INDEX(Helper!$N$2:$N$4, MATCH(B103, Helper!$M$2:$M$4, 0))</f>
        <v>Advanced</v>
      </c>
      <c r="D103" s="66" t="s">
        <v>127</v>
      </c>
      <c r="E103" s="66" t="s">
        <v>343</v>
      </c>
      <c r="F103" s="5">
        <v>1</v>
      </c>
      <c r="G103" s="60">
        <v>1</v>
      </c>
      <c r="H103" s="60" t="str">
        <f>INDEX(Helper!$C:$C, MATCH(G103, Helper!$A:$A, 0))</f>
        <v>Standard (EADGBE)</v>
      </c>
      <c r="I103" s="60" t="s">
        <v>59</v>
      </c>
      <c r="J103" s="75" t="s">
        <v>10</v>
      </c>
      <c r="K103" s="60" t="str">
        <f>INDEX(Helper!$F:$F, MATCH(J103, Helper!$E:$E, 0))</f>
        <v>#F5943C</v>
      </c>
      <c r="L103" s="66" t="s">
        <v>493</v>
      </c>
      <c r="M103" s="66" t="s">
        <v>619</v>
      </c>
      <c r="N103" s="63" t="s">
        <v>844</v>
      </c>
      <c r="O103" s="40" t="s">
        <v>1202</v>
      </c>
    </row>
    <row r="104" spans="1:15" x14ac:dyDescent="0.4">
      <c r="A104" s="60">
        <v>101</v>
      </c>
      <c r="B104" s="60">
        <v>3</v>
      </c>
      <c r="C104" s="66" t="str">
        <f>INDEX(Helper!$N$2:$N$4, MATCH(B104, Helper!$M$2:$M$4, 0))</f>
        <v>Advanced</v>
      </c>
      <c r="D104" s="66" t="s">
        <v>344</v>
      </c>
      <c r="E104" s="66" t="s">
        <v>345</v>
      </c>
      <c r="F104" s="5">
        <v>1</v>
      </c>
      <c r="G104" s="60">
        <v>1</v>
      </c>
      <c r="H104" s="60" t="str">
        <f>INDEX(Helper!$C:$C, MATCH(G104, Helper!$A:$A, 0))</f>
        <v>Standard (EADGBE)</v>
      </c>
      <c r="I104" s="60" t="s">
        <v>61</v>
      </c>
      <c r="J104" s="84" t="s">
        <v>14</v>
      </c>
      <c r="K104" s="60" t="str">
        <f>INDEX(Helper!$F:$F, MATCH(J104, Helper!$E:$E, 0))</f>
        <v>#FFE000</v>
      </c>
      <c r="L104" s="66" t="s">
        <v>494</v>
      </c>
      <c r="M104" s="66" t="s">
        <v>619</v>
      </c>
      <c r="N104" s="63" t="s">
        <v>845</v>
      </c>
      <c r="O104" s="40" t="s">
        <v>846</v>
      </c>
    </row>
    <row r="105" spans="1:15" x14ac:dyDescent="0.4">
      <c r="A105" s="60">
        <v>102</v>
      </c>
      <c r="B105" s="60">
        <v>3</v>
      </c>
      <c r="C105" s="66" t="str">
        <f>INDEX(Helper!$N$2:$N$4, MATCH(B105, Helper!$M$2:$M$4, 0))</f>
        <v>Advanced</v>
      </c>
      <c r="D105" s="66" t="s">
        <v>43</v>
      </c>
      <c r="E105" s="66" t="s">
        <v>346</v>
      </c>
      <c r="F105" s="5">
        <v>1</v>
      </c>
      <c r="G105" s="60">
        <v>1</v>
      </c>
      <c r="H105" s="60" t="str">
        <f>INDEX(Helper!$C:$C, MATCH(G105, Helper!$A:$A, 0))</f>
        <v>Standard (EADGBE)</v>
      </c>
      <c r="I105" s="60" t="s">
        <v>59</v>
      </c>
      <c r="J105" s="75" t="s">
        <v>23</v>
      </c>
      <c r="K105" s="60" t="str">
        <f>INDEX(Helper!$F:$F, MATCH(J105, Helper!$E:$E, 0))</f>
        <v>#F1D764</v>
      </c>
      <c r="L105" s="66" t="s">
        <v>495</v>
      </c>
      <c r="M105" s="66" t="s">
        <v>619</v>
      </c>
      <c r="N105" s="63" t="s">
        <v>847</v>
      </c>
      <c r="O105" s="40" t="s">
        <v>1201</v>
      </c>
    </row>
    <row r="106" spans="1:15" x14ac:dyDescent="0.4">
      <c r="A106" s="60">
        <v>103</v>
      </c>
      <c r="B106" s="60">
        <v>3</v>
      </c>
      <c r="C106" s="66" t="str">
        <f>INDEX(Helper!$N$2:$N$4, MATCH(B106, Helper!$M$2:$M$4, 0))</f>
        <v>Advanced</v>
      </c>
      <c r="D106" s="66" t="s">
        <v>271</v>
      </c>
      <c r="E106" s="66" t="s">
        <v>347</v>
      </c>
      <c r="F106" s="5">
        <v>1</v>
      </c>
      <c r="G106" s="60">
        <v>1</v>
      </c>
      <c r="H106" s="60" t="str">
        <f>INDEX(Helper!$C:$C, MATCH(G106, Helper!$A:$A, 0))</f>
        <v>Standard (EADGBE)</v>
      </c>
      <c r="I106" s="60" t="s">
        <v>623</v>
      </c>
      <c r="J106" s="80" t="s">
        <v>15</v>
      </c>
      <c r="K106" s="60" t="str">
        <f>INDEX(Helper!$F:$F, MATCH(J106, Helper!$E:$E, 0))</f>
        <v>#C2C2A1</v>
      </c>
      <c r="L106" s="66" t="s">
        <v>496</v>
      </c>
      <c r="M106" s="66" t="s">
        <v>619</v>
      </c>
      <c r="N106" s="63" t="s">
        <v>849</v>
      </c>
      <c r="O106" s="40" t="s">
        <v>1166</v>
      </c>
    </row>
    <row r="107" spans="1:15" x14ac:dyDescent="0.4">
      <c r="A107" s="60">
        <v>104</v>
      </c>
      <c r="B107" s="60">
        <v>3</v>
      </c>
      <c r="C107" s="66" t="str">
        <f>INDEX(Helper!$N$2:$N$4, MATCH(B107, Helper!$M$2:$M$4, 0))</f>
        <v>Advanced</v>
      </c>
      <c r="D107" s="66" t="s">
        <v>269</v>
      </c>
      <c r="E107" s="66" t="s">
        <v>348</v>
      </c>
      <c r="F107" s="5">
        <v>1</v>
      </c>
      <c r="G107" s="60">
        <v>1</v>
      </c>
      <c r="H107" s="60" t="str">
        <f>INDEX(Helper!$C:$C, MATCH(G107, Helper!$A:$A, 0))</f>
        <v>Standard (EADGBE)</v>
      </c>
      <c r="I107" s="60" t="s">
        <v>395</v>
      </c>
      <c r="J107" s="80" t="s">
        <v>15</v>
      </c>
      <c r="K107" s="60" t="str">
        <f>INDEX(Helper!$F:$F, MATCH(J107, Helper!$E:$E, 0))</f>
        <v>#C2C2A1</v>
      </c>
      <c r="L107" s="66" t="s">
        <v>497</v>
      </c>
      <c r="M107" s="66" t="s">
        <v>619</v>
      </c>
      <c r="N107" s="63" t="s">
        <v>850</v>
      </c>
      <c r="O107" s="40" t="s">
        <v>851</v>
      </c>
    </row>
    <row r="108" spans="1:15" x14ac:dyDescent="0.4">
      <c r="A108" s="60">
        <v>105</v>
      </c>
      <c r="B108" s="60">
        <v>3</v>
      </c>
      <c r="C108" s="66" t="str">
        <f>INDEX(Helper!$N$2:$N$4, MATCH(B108, Helper!$M$2:$M$4, 0))</f>
        <v>Advanced</v>
      </c>
      <c r="D108" s="66" t="s">
        <v>271</v>
      </c>
      <c r="E108" s="66" t="s">
        <v>349</v>
      </c>
      <c r="F108" s="5">
        <v>0</v>
      </c>
      <c r="G108" s="60">
        <v>1</v>
      </c>
      <c r="H108" s="60" t="str">
        <f>INDEX(Helper!$C:$C, MATCH(G108, Helper!$A:$A, 0))</f>
        <v>Standard (EADGBE)</v>
      </c>
      <c r="I108" s="60" t="s">
        <v>623</v>
      </c>
      <c r="J108" s="80" t="s">
        <v>15</v>
      </c>
      <c r="K108" s="60" t="str">
        <f>INDEX(Helper!$F:$F, MATCH(J108, Helper!$E:$E, 0))</f>
        <v>#C2C2A1</v>
      </c>
      <c r="L108" s="66" t="s">
        <v>498</v>
      </c>
      <c r="M108" s="66" t="s">
        <v>619</v>
      </c>
      <c r="N108" s="63" t="s">
        <v>852</v>
      </c>
      <c r="O108" s="40" t="s">
        <v>1167</v>
      </c>
    </row>
    <row r="109" spans="1:15" x14ac:dyDescent="0.4">
      <c r="A109" s="60">
        <v>106</v>
      </c>
      <c r="B109" s="60">
        <v>2</v>
      </c>
      <c r="C109" s="66" t="str">
        <f>INDEX(Helper!$N$2:$N$4, MATCH(B109, Helper!$M$2:$M$4, 0))</f>
        <v>Intermediate</v>
      </c>
      <c r="D109" s="66" t="s">
        <v>350</v>
      </c>
      <c r="E109" s="66" t="s">
        <v>351</v>
      </c>
      <c r="F109" s="5">
        <v>1</v>
      </c>
      <c r="G109" s="60">
        <v>1</v>
      </c>
      <c r="H109" s="60" t="str">
        <f>INDEX(Helper!$C:$C, MATCH(G109, Helper!$A:$A, 0))</f>
        <v>Standard (EADGBE)</v>
      </c>
      <c r="I109" s="60" t="s">
        <v>645</v>
      </c>
      <c r="J109" s="79" t="s">
        <v>19</v>
      </c>
      <c r="K109" s="60" t="str">
        <f>INDEX(Helper!$F:$F, MATCH(J109, Helper!$E:$E, 0))</f>
        <v>#FFDD21</v>
      </c>
      <c r="L109" s="66" t="s">
        <v>499</v>
      </c>
      <c r="M109" s="66" t="s">
        <v>619</v>
      </c>
      <c r="N109" s="63" t="s">
        <v>853</v>
      </c>
      <c r="O109" s="40" t="s">
        <v>1196</v>
      </c>
    </row>
    <row r="110" spans="1:15" x14ac:dyDescent="0.4">
      <c r="A110" s="60">
        <v>107</v>
      </c>
      <c r="B110" s="60">
        <v>3</v>
      </c>
      <c r="C110" s="66" t="str">
        <f>INDEX(Helper!$N$2:$N$4, MATCH(B110, Helper!$M$2:$M$4, 0))</f>
        <v>Advanced</v>
      </c>
      <c r="D110" s="66" t="s">
        <v>352</v>
      </c>
      <c r="E110" s="66" t="s">
        <v>353</v>
      </c>
      <c r="F110" s="5">
        <v>1</v>
      </c>
      <c r="G110" s="60">
        <v>1</v>
      </c>
      <c r="H110" s="60" t="str">
        <f>INDEX(Helper!$C:$C, MATCH(G110, Helper!$A:$A, 0))</f>
        <v>Standard (EADGBE)</v>
      </c>
      <c r="I110" s="60" t="s">
        <v>62</v>
      </c>
      <c r="J110" s="80" t="s">
        <v>15</v>
      </c>
      <c r="K110" s="60" t="str">
        <f>INDEX(Helper!$F:$F, MATCH(J110, Helper!$E:$E, 0))</f>
        <v>#C2C2A1</v>
      </c>
      <c r="L110" s="66" t="s">
        <v>500</v>
      </c>
      <c r="M110" s="66" t="s">
        <v>619</v>
      </c>
      <c r="N110" s="63" t="s">
        <v>855</v>
      </c>
      <c r="O110" s="40" t="s">
        <v>856</v>
      </c>
    </row>
    <row r="111" spans="1:15" x14ac:dyDescent="0.4">
      <c r="A111" s="60">
        <v>108</v>
      </c>
      <c r="B111" s="60">
        <v>3</v>
      </c>
      <c r="C111" s="66" t="str">
        <f>INDEX(Helper!$N$2:$N$4, MATCH(B111, Helper!$M$2:$M$4, 0))</f>
        <v>Advanced</v>
      </c>
      <c r="D111" s="66" t="s">
        <v>171</v>
      </c>
      <c r="E111" s="66" t="s">
        <v>354</v>
      </c>
      <c r="F111" s="5">
        <v>1</v>
      </c>
      <c r="G111" s="60">
        <v>1</v>
      </c>
      <c r="H111" s="60" t="str">
        <f>INDEX(Helper!$C:$C, MATCH(G111, Helper!$A:$A, 0))</f>
        <v>Standard (EADGBE)</v>
      </c>
      <c r="I111" s="60" t="s">
        <v>65</v>
      </c>
      <c r="J111" s="79" t="s">
        <v>19</v>
      </c>
      <c r="K111" s="60" t="str">
        <f>INDEX(Helper!$F:$F, MATCH(J111, Helper!$E:$E, 0))</f>
        <v>#FFDD21</v>
      </c>
      <c r="L111" s="66" t="s">
        <v>501</v>
      </c>
      <c r="M111" s="66" t="s">
        <v>619</v>
      </c>
      <c r="N111" s="63" t="s">
        <v>857</v>
      </c>
      <c r="O111" s="40" t="s">
        <v>858</v>
      </c>
    </row>
    <row r="112" spans="1:15" x14ac:dyDescent="0.4">
      <c r="A112" s="60">
        <v>109</v>
      </c>
      <c r="B112" s="60">
        <v>3</v>
      </c>
      <c r="C112" s="66" t="str">
        <f>INDEX(Helper!$N$2:$N$4, MATCH(B112, Helper!$M$2:$M$4, 0))</f>
        <v>Advanced</v>
      </c>
      <c r="D112" s="66" t="s">
        <v>249</v>
      </c>
      <c r="E112" s="66" t="s">
        <v>355</v>
      </c>
      <c r="F112" s="5">
        <v>1</v>
      </c>
      <c r="G112" s="60">
        <v>1</v>
      </c>
      <c r="H112" s="60" t="str">
        <f>INDEX(Helper!$C:$C, MATCH(G112, Helper!$A:$A, 0))</f>
        <v>Standard (EADGBE)</v>
      </c>
      <c r="I112" s="60" t="s">
        <v>65</v>
      </c>
      <c r="J112" s="83" t="s">
        <v>12</v>
      </c>
      <c r="K112" s="60" t="str">
        <f>INDEX(Helper!$F:$F, MATCH(J112, Helper!$E:$E, 0))</f>
        <v>#FFE129</v>
      </c>
      <c r="L112" s="66" t="s">
        <v>502</v>
      </c>
      <c r="M112" s="66" t="s">
        <v>619</v>
      </c>
      <c r="N112" s="63" t="s">
        <v>859</v>
      </c>
      <c r="O112" s="40" t="s">
        <v>1168</v>
      </c>
    </row>
    <row r="113" spans="1:15" x14ac:dyDescent="0.4">
      <c r="A113" s="60">
        <v>110</v>
      </c>
      <c r="B113" s="60">
        <v>3</v>
      </c>
      <c r="C113" s="66" t="str">
        <f>INDEX(Helper!$N$2:$N$4, MATCH(B113, Helper!$M$2:$M$4, 0))</f>
        <v>Advanced</v>
      </c>
      <c r="D113" s="66" t="s">
        <v>356</v>
      </c>
      <c r="E113" s="66" t="s">
        <v>357</v>
      </c>
      <c r="F113" s="5">
        <v>0</v>
      </c>
      <c r="G113" s="60">
        <v>1</v>
      </c>
      <c r="H113" s="60" t="str">
        <f>INDEX(Helper!$C:$C, MATCH(G113, Helper!$A:$A, 0))</f>
        <v>Standard (EADGBE)</v>
      </c>
      <c r="I113" s="60" t="s">
        <v>63</v>
      </c>
      <c r="J113" s="79" t="s">
        <v>26</v>
      </c>
      <c r="K113" s="60" t="str">
        <f>INDEX(Helper!$F:$F, MATCH(J113, Helper!$E:$E, 0))</f>
        <v>#FFFFCC</v>
      </c>
      <c r="L113" s="67" t="s">
        <v>503</v>
      </c>
      <c r="M113" s="66" t="s">
        <v>619</v>
      </c>
      <c r="N113" s="68" t="s">
        <v>861</v>
      </c>
      <c r="O113" s="40" t="s">
        <v>1185</v>
      </c>
    </row>
    <row r="114" spans="1:15" x14ac:dyDescent="0.4">
      <c r="A114" s="60">
        <v>111</v>
      </c>
      <c r="B114" s="60">
        <v>3</v>
      </c>
      <c r="C114" s="66" t="str">
        <f>INDEX(Helper!$N$2:$N$4, MATCH(B114, Helper!$M$2:$M$4, 0))</f>
        <v>Advanced</v>
      </c>
      <c r="D114" s="66" t="s">
        <v>358</v>
      </c>
      <c r="E114" s="66" t="s">
        <v>359</v>
      </c>
      <c r="F114" s="5">
        <v>1</v>
      </c>
      <c r="G114" s="60">
        <v>1</v>
      </c>
      <c r="H114" s="60" t="str">
        <f>INDEX(Helper!$C:$C, MATCH(G114, Helper!$A:$A, 0))</f>
        <v>Standard (EADGBE)</v>
      </c>
      <c r="I114" s="60" t="s">
        <v>63</v>
      </c>
      <c r="J114" s="75" t="s">
        <v>10</v>
      </c>
      <c r="K114" s="60" t="str">
        <f>INDEX(Helper!$F:$F, MATCH(J114, Helper!$E:$E, 0))</f>
        <v>#F5943C</v>
      </c>
      <c r="L114" s="66" t="s">
        <v>504</v>
      </c>
      <c r="M114" s="66" t="s">
        <v>619</v>
      </c>
      <c r="N114" s="63" t="s">
        <v>863</v>
      </c>
      <c r="O114" s="40" t="s">
        <v>864</v>
      </c>
    </row>
    <row r="115" spans="1:15" x14ac:dyDescent="0.4">
      <c r="A115" s="60">
        <v>112</v>
      </c>
      <c r="B115" s="60">
        <v>3</v>
      </c>
      <c r="C115" s="66" t="str">
        <f>INDEX(Helper!$N$2:$N$4, MATCH(B115, Helper!$M$2:$M$4, 0))</f>
        <v>Advanced</v>
      </c>
      <c r="D115" s="66" t="s">
        <v>360</v>
      </c>
      <c r="E115" s="66" t="s">
        <v>361</v>
      </c>
      <c r="F115" s="5">
        <v>0</v>
      </c>
      <c r="G115" s="60">
        <v>1</v>
      </c>
      <c r="H115" s="60" t="str">
        <f>INDEX(Helper!$C:$C, MATCH(G115, Helper!$A:$A, 0))</f>
        <v>Standard (EADGBE)</v>
      </c>
      <c r="I115" s="60" t="s">
        <v>64</v>
      </c>
      <c r="J115" s="84" t="s">
        <v>14</v>
      </c>
      <c r="K115" s="60" t="str">
        <f>INDEX(Helper!$F:$F, MATCH(J115, Helper!$E:$E, 0))</f>
        <v>#FFE000</v>
      </c>
      <c r="L115" s="66" t="s">
        <v>505</v>
      </c>
      <c r="M115" s="66" t="s">
        <v>619</v>
      </c>
      <c r="N115" s="66" t="s">
        <v>865</v>
      </c>
      <c r="O115" s="40" t="s">
        <v>866</v>
      </c>
    </row>
    <row r="116" spans="1:15" x14ac:dyDescent="0.4">
      <c r="A116" s="60">
        <v>113</v>
      </c>
      <c r="B116" s="60">
        <v>3</v>
      </c>
      <c r="C116" s="66" t="str">
        <f>INDEX(Helper!$N$2:$N$4, MATCH(B116, Helper!$M$2:$M$4, 0))</f>
        <v>Advanced</v>
      </c>
      <c r="D116" s="66" t="s">
        <v>362</v>
      </c>
      <c r="E116" s="66" t="s">
        <v>363</v>
      </c>
      <c r="F116" s="5">
        <v>0</v>
      </c>
      <c r="G116" s="60">
        <v>1</v>
      </c>
      <c r="H116" s="60" t="str">
        <f>INDEX(Helper!$C:$C, MATCH(G116, Helper!$A:$A, 0))</f>
        <v>Standard (EADGBE)</v>
      </c>
      <c r="I116" s="60" t="s">
        <v>62</v>
      </c>
      <c r="J116" s="79" t="s">
        <v>19</v>
      </c>
      <c r="K116" s="60" t="str">
        <f>INDEX(Helper!$F:$F, MATCH(J116, Helper!$E:$E, 0))</f>
        <v>#FFDD21</v>
      </c>
      <c r="L116" s="66" t="s">
        <v>506</v>
      </c>
      <c r="M116" s="66" t="s">
        <v>619</v>
      </c>
      <c r="N116" s="63" t="s">
        <v>867</v>
      </c>
      <c r="O116" s="40" t="s">
        <v>868</v>
      </c>
    </row>
    <row r="117" spans="1:15" ht="408.45" customHeight="1" x14ac:dyDescent="0.4">
      <c r="A117" s="60">
        <v>114</v>
      </c>
      <c r="B117" s="60">
        <v>3</v>
      </c>
      <c r="C117" s="66" t="str">
        <f>INDEX(Helper!$N$2:$N$4, MATCH(B117, Helper!$M$2:$M$4, 0))</f>
        <v>Advanced</v>
      </c>
      <c r="D117" s="66" t="s">
        <v>364</v>
      </c>
      <c r="E117" s="66" t="s">
        <v>365</v>
      </c>
      <c r="F117" s="5">
        <v>1</v>
      </c>
      <c r="G117" s="60">
        <v>1</v>
      </c>
      <c r="H117" s="60" t="str">
        <f>INDEX(Helper!$C:$C, MATCH(G117, Helper!$A:$A, 0))</f>
        <v>Standard (EADGBE)</v>
      </c>
      <c r="I117" s="60" t="s">
        <v>63</v>
      </c>
      <c r="J117" s="79" t="s">
        <v>19</v>
      </c>
      <c r="K117" s="60" t="str">
        <f>INDEX(Helper!$F:$F, MATCH(J117, Helper!$E:$E, 0))</f>
        <v>#FFDD21</v>
      </c>
      <c r="L117" s="66" t="s">
        <v>507</v>
      </c>
      <c r="M117" s="66" t="s">
        <v>619</v>
      </c>
      <c r="N117" s="63" t="s">
        <v>869</v>
      </c>
      <c r="O117" s="40" t="s">
        <v>1199</v>
      </c>
    </row>
    <row r="118" spans="1:15" x14ac:dyDescent="0.4">
      <c r="A118" s="60">
        <v>115</v>
      </c>
      <c r="B118" s="60">
        <v>3</v>
      </c>
      <c r="C118" s="66" t="str">
        <f>INDEX(Helper!$N$2:$N$4, MATCH(B118, Helper!$M$2:$M$4, 0))</f>
        <v>Advanced</v>
      </c>
      <c r="D118" s="66" t="s">
        <v>352</v>
      </c>
      <c r="E118" s="66" t="s">
        <v>366</v>
      </c>
      <c r="F118" s="5">
        <v>1</v>
      </c>
      <c r="G118" s="60">
        <v>1</v>
      </c>
      <c r="H118" s="60" t="str">
        <f>INDEX(Helper!$C:$C, MATCH(G118, Helper!$A:$A, 0))</f>
        <v>Standard (EADGBE)</v>
      </c>
      <c r="I118" s="60" t="s">
        <v>623</v>
      </c>
      <c r="J118" s="80" t="s">
        <v>15</v>
      </c>
      <c r="K118" s="60" t="str">
        <f>INDEX(Helper!$F:$F, MATCH(J118, Helper!$E:$E, 0))</f>
        <v>#C2C2A1</v>
      </c>
      <c r="L118" s="66" t="s">
        <v>508</v>
      </c>
      <c r="M118" s="66" t="s">
        <v>619</v>
      </c>
      <c r="N118" s="63" t="s">
        <v>870</v>
      </c>
      <c r="O118" s="40" t="s">
        <v>871</v>
      </c>
    </row>
    <row r="119" spans="1:15" x14ac:dyDescent="0.4">
      <c r="A119" s="60">
        <v>116</v>
      </c>
      <c r="B119" s="60">
        <v>2</v>
      </c>
      <c r="C119" s="66" t="str">
        <f>INDEX(Helper!$N$2:$N$4, MATCH(B119, Helper!$M$2:$M$4, 0))</f>
        <v>Intermediate</v>
      </c>
      <c r="D119" s="66" t="s">
        <v>367</v>
      </c>
      <c r="E119" s="66" t="s">
        <v>368</v>
      </c>
      <c r="F119" s="5">
        <v>1</v>
      </c>
      <c r="G119" s="60">
        <v>1</v>
      </c>
      <c r="H119" s="60" t="str">
        <f>INDEX(Helper!$C:$C, MATCH(G119, Helper!$A:$A, 0))</f>
        <v>Standard (EADGBE)</v>
      </c>
      <c r="I119" s="60" t="s">
        <v>59</v>
      </c>
      <c r="J119" s="86" t="s">
        <v>373</v>
      </c>
      <c r="K119" s="60" t="str">
        <f>INDEX(Helper!$F:$F, MATCH(J119, Helper!$E:$E, 0))</f>
        <v>#C476D4</v>
      </c>
      <c r="L119" s="66" t="s">
        <v>509</v>
      </c>
      <c r="M119" s="66" t="s">
        <v>648</v>
      </c>
      <c r="N119" s="63" t="s">
        <v>872</v>
      </c>
      <c r="O119" s="40" t="s">
        <v>1222</v>
      </c>
    </row>
    <row r="120" spans="1:15" x14ac:dyDescent="0.4">
      <c r="A120" s="60">
        <v>117</v>
      </c>
      <c r="B120" s="60">
        <v>3</v>
      </c>
      <c r="C120" s="66" t="str">
        <f>INDEX(Helper!$N$2:$N$4, MATCH(B120, Helper!$M$2:$M$4, 0))</f>
        <v>Advanced</v>
      </c>
      <c r="D120" s="66" t="s">
        <v>90</v>
      </c>
      <c r="E120" s="66" t="s">
        <v>369</v>
      </c>
      <c r="F120" s="5">
        <v>0</v>
      </c>
      <c r="G120" s="60">
        <v>1</v>
      </c>
      <c r="H120" s="60" t="str">
        <f>INDEX(Helper!$C:$C, MATCH(G120, Helper!$A:$A, 0))</f>
        <v>Standard (EADGBE)</v>
      </c>
      <c r="I120" s="60" t="s">
        <v>874</v>
      </c>
      <c r="J120" s="81" t="s">
        <v>13</v>
      </c>
      <c r="K120" s="60" t="str">
        <f>INDEX(Helper!$F:$F, MATCH(J120, Helper!$E:$E, 0))</f>
        <v>#FF4F53</v>
      </c>
      <c r="L120" s="66" t="s">
        <v>510</v>
      </c>
      <c r="M120" s="66" t="s">
        <v>619</v>
      </c>
      <c r="N120" s="63" t="s">
        <v>875</v>
      </c>
      <c r="O120" s="40" t="s">
        <v>876</v>
      </c>
    </row>
    <row r="121" spans="1:15" x14ac:dyDescent="0.4">
      <c r="A121" s="60">
        <v>118</v>
      </c>
      <c r="B121" s="60">
        <v>3</v>
      </c>
      <c r="C121" s="66" t="str">
        <f>INDEX(Helper!$N$2:$N$4, MATCH(B121, Helper!$M$2:$M$4, 0))</f>
        <v>Advanced</v>
      </c>
      <c r="D121" s="66" t="s">
        <v>52</v>
      </c>
      <c r="E121" s="66" t="s">
        <v>37</v>
      </c>
      <c r="F121" s="5">
        <v>1</v>
      </c>
      <c r="G121" s="60">
        <v>1</v>
      </c>
      <c r="H121" s="60" t="str">
        <f>INDEX(Helper!$C:$C, MATCH(G121, Helper!$A:$A, 0))</f>
        <v>Standard (EADGBE)</v>
      </c>
      <c r="I121" s="60" t="s">
        <v>631</v>
      </c>
      <c r="J121" s="89" t="s">
        <v>18</v>
      </c>
      <c r="K121" s="60" t="str">
        <f>INDEX(Helper!$F:$F, MATCH(J121, Helper!$E:$E, 0))</f>
        <v>#22AAD6</v>
      </c>
      <c r="L121" s="66" t="s">
        <v>511</v>
      </c>
      <c r="M121" s="66" t="s">
        <v>619</v>
      </c>
      <c r="N121" s="63" t="s">
        <v>877</v>
      </c>
      <c r="O121" s="40" t="s">
        <v>878</v>
      </c>
    </row>
    <row r="122" spans="1:15" x14ac:dyDescent="0.4">
      <c r="A122" s="60">
        <v>119</v>
      </c>
      <c r="B122" s="60">
        <v>2</v>
      </c>
      <c r="C122" s="66" t="str">
        <f>INDEX(Helper!$N$2:$N$4, MATCH(B122, Helper!$M$2:$M$4, 0))</f>
        <v>Intermediate</v>
      </c>
      <c r="D122" s="66" t="s">
        <v>35</v>
      </c>
      <c r="E122" s="66" t="s">
        <v>49</v>
      </c>
      <c r="F122" s="5">
        <v>1</v>
      </c>
      <c r="G122" s="60">
        <v>2</v>
      </c>
      <c r="H122" s="60" t="str">
        <f>INDEX(Helper!$C:$C, MATCH(G122, Helper!$A:$A, 0))</f>
        <v>Drop D (DADGBE)</v>
      </c>
      <c r="I122" s="60" t="s">
        <v>62</v>
      </c>
      <c r="J122" s="80" t="s">
        <v>15</v>
      </c>
      <c r="K122" s="60" t="str">
        <f>INDEX(Helper!$F:$F, MATCH(J122, Helper!$E:$E, 0))</f>
        <v>#C2C2A1</v>
      </c>
      <c r="L122" s="66" t="s">
        <v>512</v>
      </c>
      <c r="M122" s="66" t="s">
        <v>619</v>
      </c>
      <c r="N122" s="63" t="s">
        <v>879</v>
      </c>
      <c r="O122" s="40" t="s">
        <v>1128</v>
      </c>
    </row>
    <row r="123" spans="1:15" x14ac:dyDescent="0.4">
      <c r="A123" s="60">
        <v>120</v>
      </c>
      <c r="B123" s="60">
        <v>3</v>
      </c>
      <c r="C123" s="66" t="str">
        <f>INDEX(Helper!$N$2:$N$4, MATCH(B123, Helper!$M$2:$M$4, 0))</f>
        <v>Advanced</v>
      </c>
      <c r="D123" s="66" t="s">
        <v>35</v>
      </c>
      <c r="E123" s="66" t="s">
        <v>50</v>
      </c>
      <c r="F123" s="5">
        <v>0</v>
      </c>
      <c r="G123" s="60">
        <v>2</v>
      </c>
      <c r="H123" s="60" t="str">
        <f>INDEX(Helper!$C:$C, MATCH(G123, Helper!$A:$A, 0))</f>
        <v>Drop D (DADGBE)</v>
      </c>
      <c r="I123" s="60" t="s">
        <v>62</v>
      </c>
      <c r="J123" s="80" t="s">
        <v>15</v>
      </c>
      <c r="K123" s="60" t="str">
        <f>INDEX(Helper!$F:$F, MATCH(J123, Helper!$E:$E, 0))</f>
        <v>#C2C2A1</v>
      </c>
      <c r="L123" s="66" t="s">
        <v>513</v>
      </c>
      <c r="M123" s="66" t="s">
        <v>619</v>
      </c>
      <c r="N123" s="66" t="s">
        <v>880</v>
      </c>
      <c r="O123" s="40" t="s">
        <v>881</v>
      </c>
    </row>
    <row r="124" spans="1:15" x14ac:dyDescent="0.4">
      <c r="A124" s="60">
        <v>121</v>
      </c>
      <c r="B124" s="60">
        <v>3</v>
      </c>
      <c r="C124" s="66" t="str">
        <f>INDEX(Helper!$N$2:$N$4, MATCH(B124, Helper!$M$2:$M$4, 0))</f>
        <v>Advanced</v>
      </c>
      <c r="D124" s="66" t="s">
        <v>78</v>
      </c>
      <c r="E124" s="66" t="s">
        <v>370</v>
      </c>
      <c r="F124" s="5">
        <v>1</v>
      </c>
      <c r="G124" s="60">
        <v>2</v>
      </c>
      <c r="H124" s="60" t="str">
        <f>INDEX(Helper!$C:$C, MATCH(G124, Helper!$A:$A, 0))</f>
        <v>Drop D (DADGBE)</v>
      </c>
      <c r="I124" s="60" t="s">
        <v>62</v>
      </c>
      <c r="J124" s="81" t="s">
        <v>13</v>
      </c>
      <c r="K124" s="60" t="str">
        <f>INDEX(Helper!$F:$F, MATCH(J124, Helper!$E:$E, 0))</f>
        <v>#FF4F53</v>
      </c>
      <c r="L124" s="66" t="s">
        <v>514</v>
      </c>
      <c r="M124" s="66" t="s">
        <v>619</v>
      </c>
      <c r="N124" s="66" t="s">
        <v>882</v>
      </c>
      <c r="O124" s="40" t="s">
        <v>1129</v>
      </c>
    </row>
    <row r="125" spans="1:15" x14ac:dyDescent="0.4">
      <c r="A125" s="60">
        <v>122</v>
      </c>
      <c r="B125" s="60">
        <v>1</v>
      </c>
      <c r="C125" s="66" t="str">
        <f>INDEX(Helper!$N$2:$N$4, MATCH(B125, Helper!$M$2:$M$4, 0))</f>
        <v>Beginner</v>
      </c>
      <c r="D125" s="66" t="s">
        <v>84</v>
      </c>
      <c r="E125" s="66" t="s">
        <v>85</v>
      </c>
      <c r="F125" s="5">
        <v>1</v>
      </c>
      <c r="G125" s="60">
        <v>1</v>
      </c>
      <c r="H125" s="60" t="str">
        <f>INDEX(Helper!$C:$C, MATCH(G125, Helper!$A:$A, 0))</f>
        <v>Standard (EADGBE)</v>
      </c>
      <c r="I125" s="60" t="s">
        <v>64</v>
      </c>
      <c r="J125" s="81" t="s">
        <v>13</v>
      </c>
      <c r="K125" s="60" t="str">
        <f>INDEX(Helper!$F:$F, MATCH(J125, Helper!$E:$E, 0))</f>
        <v>#FF4F53</v>
      </c>
      <c r="L125" s="66" t="s">
        <v>515</v>
      </c>
      <c r="M125" s="66" t="s">
        <v>619</v>
      </c>
      <c r="N125" s="63" t="s">
        <v>883</v>
      </c>
      <c r="O125" s="40" t="s">
        <v>1119</v>
      </c>
    </row>
    <row r="126" spans="1:15" x14ac:dyDescent="0.4">
      <c r="A126" s="60">
        <v>123</v>
      </c>
      <c r="B126" s="60">
        <v>1</v>
      </c>
      <c r="C126" s="66" t="str">
        <f>INDEX(Helper!$N$2:$N$4, MATCH(B126, Helper!$M$2:$M$4, 0))</f>
        <v>Beginner</v>
      </c>
      <c r="D126" s="66" t="s">
        <v>84</v>
      </c>
      <c r="E126" s="66" t="s">
        <v>86</v>
      </c>
      <c r="F126" s="5">
        <v>1</v>
      </c>
      <c r="G126" s="60">
        <v>1</v>
      </c>
      <c r="H126" s="60" t="str">
        <f>INDEX(Helper!$C:$C, MATCH(G126, Helper!$A:$A, 0))</f>
        <v>Standard (EADGBE)</v>
      </c>
      <c r="I126" s="60" t="s">
        <v>884</v>
      </c>
      <c r="J126" s="81" t="s">
        <v>13</v>
      </c>
      <c r="K126" s="60" t="str">
        <f>INDEX(Helper!$F:$F, MATCH(J126, Helper!$E:$E, 0))</f>
        <v>#FF4F53</v>
      </c>
      <c r="L126" s="66" t="s">
        <v>516</v>
      </c>
      <c r="M126" s="66" t="s">
        <v>619</v>
      </c>
      <c r="N126" s="63" t="s">
        <v>885</v>
      </c>
      <c r="O126" s="40" t="s">
        <v>886</v>
      </c>
    </row>
    <row r="127" spans="1:15" x14ac:dyDescent="0.4">
      <c r="A127" s="60">
        <v>124</v>
      </c>
      <c r="B127" s="60">
        <v>1</v>
      </c>
      <c r="C127" s="66" t="str">
        <f>INDEX(Helper!$N$2:$N$4, MATCH(B127, Helper!$M$2:$M$4, 0))</f>
        <v>Beginner</v>
      </c>
      <c r="D127" s="66" t="s">
        <v>42</v>
      </c>
      <c r="E127" s="66" t="s">
        <v>87</v>
      </c>
      <c r="F127" s="5">
        <v>0</v>
      </c>
      <c r="G127" s="60">
        <v>3</v>
      </c>
      <c r="H127" s="60" t="str">
        <f>INDEX(Helper!$C:$C, MATCH(G127, Helper!$A:$A, 0))</f>
        <v>Half Step Down (D#G#C#F#A#D#)</v>
      </c>
      <c r="I127" s="60" t="s">
        <v>60</v>
      </c>
      <c r="J127" s="86" t="s">
        <v>373</v>
      </c>
      <c r="K127" s="60" t="str">
        <f>INDEX(Helper!$F:$F, MATCH(J127, Helper!$E:$E, 0))</f>
        <v>#C476D4</v>
      </c>
      <c r="L127" s="66" t="s">
        <v>517</v>
      </c>
      <c r="M127" s="66" t="s">
        <v>619</v>
      </c>
      <c r="N127" s="66" t="s">
        <v>887</v>
      </c>
      <c r="O127" s="40" t="s">
        <v>1198</v>
      </c>
    </row>
    <row r="128" spans="1:15" x14ac:dyDescent="0.4">
      <c r="A128" s="60">
        <v>125</v>
      </c>
      <c r="B128" s="60">
        <v>1</v>
      </c>
      <c r="C128" s="66" t="str">
        <f>INDEX(Helper!$N$2:$N$4, MATCH(B128, Helper!$M$2:$M$4, 0))</f>
        <v>Beginner</v>
      </c>
      <c r="D128" s="66" t="s">
        <v>88</v>
      </c>
      <c r="E128" s="66" t="s">
        <v>89</v>
      </c>
      <c r="F128" s="5">
        <v>0</v>
      </c>
      <c r="G128" s="60">
        <v>1</v>
      </c>
      <c r="H128" s="60" t="str">
        <f>INDEX(Helper!$C:$C, MATCH(G128, Helper!$A:$A, 0))</f>
        <v>Standard (EADGBE)</v>
      </c>
      <c r="I128" s="60" t="s">
        <v>64</v>
      </c>
      <c r="J128" s="81" t="s">
        <v>13</v>
      </c>
      <c r="K128" s="60" t="str">
        <f>INDEX(Helper!$F:$F, MATCH(J128, Helper!$E:$E, 0))</f>
        <v>#FF4F53</v>
      </c>
      <c r="L128" s="66" t="s">
        <v>518</v>
      </c>
      <c r="M128" s="66" t="s">
        <v>619</v>
      </c>
      <c r="N128" s="63" t="s">
        <v>889</v>
      </c>
      <c r="O128" s="40" t="s">
        <v>890</v>
      </c>
    </row>
    <row r="129" spans="1:15" ht="167.6" x14ac:dyDescent="0.4">
      <c r="A129" s="60">
        <v>126</v>
      </c>
      <c r="B129" s="60">
        <v>1</v>
      </c>
      <c r="C129" s="66" t="str">
        <f>INDEX(Helper!$N$2:$N$4, MATCH(B129, Helper!$M$2:$M$4, 0))</f>
        <v>Beginner</v>
      </c>
      <c r="D129" s="66" t="s">
        <v>90</v>
      </c>
      <c r="E129" s="66" t="s">
        <v>91</v>
      </c>
      <c r="F129" s="5">
        <v>0</v>
      </c>
      <c r="G129" s="60">
        <v>1</v>
      </c>
      <c r="H129" s="60" t="str">
        <f>INDEX(Helper!$C:$C, MATCH(G129, Helper!$A:$A, 0))</f>
        <v>Standard (EADGBE)</v>
      </c>
      <c r="I129" s="60" t="s">
        <v>61</v>
      </c>
      <c r="J129" s="81" t="s">
        <v>13</v>
      </c>
      <c r="K129" s="60" t="str">
        <f>INDEX(Helper!$F:$F, MATCH(J129, Helper!$E:$E, 0))</f>
        <v>#FF4F53</v>
      </c>
      <c r="L129" s="66" t="s">
        <v>519</v>
      </c>
      <c r="M129" s="66" t="s">
        <v>619</v>
      </c>
      <c r="N129" s="66" t="s">
        <v>891</v>
      </c>
      <c r="O129" s="91" t="s">
        <v>1237</v>
      </c>
    </row>
    <row r="130" spans="1:15" x14ac:dyDescent="0.4">
      <c r="A130" s="60">
        <v>127</v>
      </c>
      <c r="B130" s="60">
        <v>1</v>
      </c>
      <c r="C130" s="66" t="str">
        <f>INDEX(Helper!$N$2:$N$4, MATCH(B130, Helper!$M$2:$M$4, 0))</f>
        <v>Beginner</v>
      </c>
      <c r="D130" s="66" t="s">
        <v>90</v>
      </c>
      <c r="E130" s="66" t="s">
        <v>92</v>
      </c>
      <c r="F130" s="5">
        <v>0</v>
      </c>
      <c r="G130" s="60">
        <v>1</v>
      </c>
      <c r="H130" s="60" t="str">
        <f>INDEX(Helper!$C:$C, MATCH(G130, Helper!$A:$A, 0))</f>
        <v>Standard (EADGBE)</v>
      </c>
      <c r="I130" s="60" t="s">
        <v>59</v>
      </c>
      <c r="J130" s="81" t="s">
        <v>13</v>
      </c>
      <c r="K130" s="60" t="str">
        <f>INDEX(Helper!$F:$F, MATCH(J130, Helper!$E:$E, 0))</f>
        <v>#FF4F53</v>
      </c>
      <c r="L130" s="66" t="s">
        <v>520</v>
      </c>
      <c r="M130" s="66" t="s">
        <v>619</v>
      </c>
      <c r="N130" s="63" t="s">
        <v>892</v>
      </c>
      <c r="O130" s="40" t="s">
        <v>1120</v>
      </c>
    </row>
    <row r="131" spans="1:15" x14ac:dyDescent="0.4">
      <c r="A131" s="60">
        <v>128</v>
      </c>
      <c r="B131" s="60">
        <v>1</v>
      </c>
      <c r="C131" s="66" t="str">
        <f>INDEX(Helper!$N$2:$N$4, MATCH(B131, Helper!$M$2:$M$4, 0))</f>
        <v>Beginner</v>
      </c>
      <c r="D131" s="66" t="s">
        <v>93</v>
      </c>
      <c r="E131" s="66" t="s">
        <v>94</v>
      </c>
      <c r="F131" s="5">
        <v>0</v>
      </c>
      <c r="G131" s="69">
        <v>1</v>
      </c>
      <c r="H131" s="60" t="str">
        <f>INDEX(Helper!$C:$C, MATCH(G131, Helper!$A:$A, 0))</f>
        <v>Standard (EADGBE)</v>
      </c>
      <c r="I131" s="60" t="s">
        <v>631</v>
      </c>
      <c r="J131" s="84" t="s">
        <v>14</v>
      </c>
      <c r="K131" s="60" t="str">
        <f>INDEX(Helper!$F:$F, MATCH(J131, Helper!$E:$E, 0))</f>
        <v>#FFE000</v>
      </c>
      <c r="L131" s="66" t="s">
        <v>521</v>
      </c>
      <c r="M131" s="66" t="s">
        <v>619</v>
      </c>
      <c r="N131" s="63" t="s">
        <v>893</v>
      </c>
      <c r="O131" s="40" t="s">
        <v>894</v>
      </c>
    </row>
    <row r="132" spans="1:15" x14ac:dyDescent="0.4">
      <c r="A132" s="60">
        <v>129</v>
      </c>
      <c r="B132" s="60">
        <v>1</v>
      </c>
      <c r="C132" s="61" t="str">
        <f>INDEX(Helper!$N$2:$N$4, MATCH(B132, Helper!$M$2:$M$4, 0))</f>
        <v>Beginner</v>
      </c>
      <c r="D132" s="61" t="s">
        <v>93</v>
      </c>
      <c r="E132" s="61" t="s">
        <v>95</v>
      </c>
      <c r="F132" s="5">
        <v>1</v>
      </c>
      <c r="G132" s="60">
        <v>1</v>
      </c>
      <c r="H132" s="60" t="str">
        <f>INDEX(Helper!$C:$C, MATCH(G132, Helper!$A:$A, 0))</f>
        <v>Standard (EADGBE)</v>
      </c>
      <c r="I132" s="60" t="s">
        <v>631</v>
      </c>
      <c r="J132" s="84" t="s">
        <v>14</v>
      </c>
      <c r="K132" s="60" t="str">
        <f>INDEX(Helper!$F:$F, MATCH(J132, Helper!$E:$E, 0))</f>
        <v>#FFE000</v>
      </c>
      <c r="L132" s="61" t="s">
        <v>522</v>
      </c>
      <c r="M132" s="66" t="s">
        <v>648</v>
      </c>
      <c r="N132" s="61" t="s">
        <v>899</v>
      </c>
      <c r="O132" s="40" t="s">
        <v>900</v>
      </c>
    </row>
    <row r="133" spans="1:15" x14ac:dyDescent="0.4">
      <c r="A133" s="60">
        <v>130</v>
      </c>
      <c r="B133" s="60">
        <v>1</v>
      </c>
      <c r="C133" s="61" t="str">
        <f>INDEX(Helper!$N$2:$N$4, MATCH(B133, Helper!$M$2:$M$4, 0))</f>
        <v>Beginner</v>
      </c>
      <c r="D133" s="61" t="s">
        <v>93</v>
      </c>
      <c r="E133" s="61" t="s">
        <v>96</v>
      </c>
      <c r="F133" s="5">
        <v>0</v>
      </c>
      <c r="G133" s="60">
        <v>1</v>
      </c>
      <c r="H133" s="60" t="str">
        <f>INDEX(Helper!$C:$C, MATCH(G133, Helper!$A:$A, 0))</f>
        <v>Standard (EADGBE)</v>
      </c>
      <c r="I133" s="60" t="s">
        <v>65</v>
      </c>
      <c r="J133" s="84" t="s">
        <v>14</v>
      </c>
      <c r="K133" s="60" t="str">
        <f>INDEX(Helper!$F:$F, MATCH(J133, Helper!$E:$E, 0))</f>
        <v>#FFE000</v>
      </c>
      <c r="L133" s="61" t="s">
        <v>523</v>
      </c>
      <c r="M133" s="66" t="s">
        <v>648</v>
      </c>
      <c r="N133" s="61" t="s">
        <v>902</v>
      </c>
      <c r="O133" s="40" t="s">
        <v>901</v>
      </c>
    </row>
    <row r="134" spans="1:15" x14ac:dyDescent="0.4">
      <c r="A134" s="60">
        <v>131</v>
      </c>
      <c r="B134" s="60">
        <v>1</v>
      </c>
      <c r="C134" s="61" t="str">
        <f>INDEX(Helper!$N$2:$N$4, MATCH(B134, Helper!$M$2:$M$4, 0))</f>
        <v>Beginner</v>
      </c>
      <c r="D134" s="61" t="s">
        <v>93</v>
      </c>
      <c r="E134" s="61" t="s">
        <v>97</v>
      </c>
      <c r="F134" s="5">
        <v>1</v>
      </c>
      <c r="G134" s="60">
        <v>1</v>
      </c>
      <c r="H134" s="60" t="str">
        <f>INDEX(Helper!$C:$C, MATCH(G134, Helper!$A:$A, 0))</f>
        <v>Standard (EADGBE)</v>
      </c>
      <c r="I134" s="60" t="s">
        <v>66</v>
      </c>
      <c r="J134" s="84" t="s">
        <v>14</v>
      </c>
      <c r="K134" s="60" t="str">
        <f>INDEX(Helper!$F:$F, MATCH(J134, Helper!$E:$E, 0))</f>
        <v>#FFE000</v>
      </c>
      <c r="L134" s="61" t="s">
        <v>524</v>
      </c>
      <c r="M134" s="66" t="s">
        <v>619</v>
      </c>
      <c r="N134" s="62" t="s">
        <v>904</v>
      </c>
      <c r="O134" s="40" t="s">
        <v>903</v>
      </c>
    </row>
    <row r="135" spans="1:15" x14ac:dyDescent="0.4">
      <c r="A135" s="60">
        <v>132</v>
      </c>
      <c r="B135" s="60">
        <v>1</v>
      </c>
      <c r="C135" s="61" t="str">
        <f>INDEX(Helper!$N$2:$N$4, MATCH(B135, Helper!$M$2:$M$4, 0))</f>
        <v>Beginner</v>
      </c>
      <c r="D135" s="61" t="s">
        <v>93</v>
      </c>
      <c r="E135" s="61" t="s">
        <v>98</v>
      </c>
      <c r="F135" s="5">
        <v>1</v>
      </c>
      <c r="G135" s="60">
        <v>1</v>
      </c>
      <c r="H135" s="60" t="str">
        <f>INDEX(Helper!$C:$C, MATCH(G135, Helper!$A:$A, 0))</f>
        <v>Standard (EADGBE)</v>
      </c>
      <c r="I135" s="60" t="s">
        <v>59</v>
      </c>
      <c r="J135" s="84" t="s">
        <v>14</v>
      </c>
      <c r="K135" s="60" t="str">
        <f>INDEX(Helper!$F:$F, MATCH(J135, Helper!$E:$E, 0))</f>
        <v>#FFE000</v>
      </c>
      <c r="L135" s="61" t="s">
        <v>525</v>
      </c>
      <c r="M135" s="66" t="s">
        <v>619</v>
      </c>
      <c r="N135" s="62" t="s">
        <v>906</v>
      </c>
      <c r="O135" s="40" t="s">
        <v>905</v>
      </c>
    </row>
    <row r="136" spans="1:15" x14ac:dyDescent="0.4">
      <c r="A136" s="60">
        <v>133</v>
      </c>
      <c r="B136" s="60">
        <v>1</v>
      </c>
      <c r="C136" s="61" t="str">
        <f>INDEX(Helper!$N$2:$N$4, MATCH(B136, Helper!$M$2:$M$4, 0))</f>
        <v>Beginner</v>
      </c>
      <c r="D136" s="61" t="s">
        <v>99</v>
      </c>
      <c r="E136" s="61" t="s">
        <v>100</v>
      </c>
      <c r="F136" s="5">
        <v>1</v>
      </c>
      <c r="G136" s="60">
        <v>3</v>
      </c>
      <c r="H136" s="60" t="str">
        <f>INDEX(Helper!$C:$C, MATCH(G136, Helper!$A:$A, 0))</f>
        <v>Half Step Down (D#G#C#F#A#D#)</v>
      </c>
      <c r="I136" s="60" t="s">
        <v>908</v>
      </c>
      <c r="J136" s="75" t="s">
        <v>10</v>
      </c>
      <c r="K136" s="60" t="str">
        <f>INDEX(Helper!$F:$F, MATCH(J136, Helper!$E:$E, 0))</f>
        <v>#F5943C</v>
      </c>
      <c r="L136" s="61" t="s">
        <v>526</v>
      </c>
      <c r="M136" s="66" t="s">
        <v>619</v>
      </c>
      <c r="N136" s="61" t="s">
        <v>907</v>
      </c>
      <c r="O136" s="40" t="s">
        <v>1139</v>
      </c>
    </row>
    <row r="137" spans="1:15" x14ac:dyDescent="0.4">
      <c r="A137" s="60">
        <v>134</v>
      </c>
      <c r="B137" s="60">
        <v>2</v>
      </c>
      <c r="C137" s="61" t="str">
        <f>INDEX(Helper!$N$2:$N$4, MATCH(B137, Helper!$M$2:$M$4, 0))</f>
        <v>Intermediate</v>
      </c>
      <c r="D137" s="61" t="s">
        <v>36</v>
      </c>
      <c r="E137" s="61" t="s">
        <v>101</v>
      </c>
      <c r="F137" s="5">
        <v>1</v>
      </c>
      <c r="G137" s="60">
        <v>1</v>
      </c>
      <c r="H137" s="60" t="str">
        <f>INDEX(Helper!$C:$C, MATCH(G137, Helper!$A:$A, 0))</f>
        <v>Standard (EADGBE)</v>
      </c>
      <c r="I137" s="60" t="s">
        <v>63</v>
      </c>
      <c r="J137" s="80" t="s">
        <v>15</v>
      </c>
      <c r="K137" s="60" t="str">
        <f>INDEX(Helper!$F:$F, MATCH(J137, Helper!$E:$E, 0))</f>
        <v>#C2C2A1</v>
      </c>
      <c r="L137" s="61" t="s">
        <v>527</v>
      </c>
      <c r="M137" s="66" t="s">
        <v>619</v>
      </c>
      <c r="N137" s="62" t="s">
        <v>910</v>
      </c>
      <c r="O137" s="40" t="s">
        <v>909</v>
      </c>
    </row>
    <row r="138" spans="1:15" x14ac:dyDescent="0.4">
      <c r="A138" s="60">
        <v>135</v>
      </c>
      <c r="B138" s="60">
        <v>1</v>
      </c>
      <c r="C138" s="61" t="str">
        <f>INDEX(Helper!$N$2:$N$4, MATCH(B138, Helper!$M$2:$M$4, 0))</f>
        <v>Beginner</v>
      </c>
      <c r="D138" s="61" t="s">
        <v>102</v>
      </c>
      <c r="E138" s="61" t="s">
        <v>912</v>
      </c>
      <c r="F138" s="5">
        <v>0</v>
      </c>
      <c r="G138" s="60">
        <v>1</v>
      </c>
      <c r="H138" s="60" t="str">
        <f>INDEX(Helper!$C:$C, MATCH(G138, Helper!$A:$A, 0))</f>
        <v>Standard (EADGBE)</v>
      </c>
      <c r="I138" s="60" t="s">
        <v>61</v>
      </c>
      <c r="J138" s="86" t="s">
        <v>373</v>
      </c>
      <c r="K138" s="60" t="str">
        <f>INDEX(Helper!$F:$F, MATCH(J138, Helper!$E:$E, 0))</f>
        <v>#C476D4</v>
      </c>
      <c r="L138" s="61" t="s">
        <v>528</v>
      </c>
      <c r="M138" s="66" t="s">
        <v>619</v>
      </c>
      <c r="N138" s="62" t="s">
        <v>911</v>
      </c>
      <c r="O138" s="40" t="s">
        <v>915</v>
      </c>
    </row>
    <row r="139" spans="1:15" x14ac:dyDescent="0.4">
      <c r="A139" s="60">
        <v>136</v>
      </c>
      <c r="B139" s="60">
        <v>1</v>
      </c>
      <c r="C139" s="61" t="str">
        <f>INDEX(Helper!$N$2:$N$4, MATCH(B139, Helper!$M$2:$M$4, 0))</f>
        <v>Beginner</v>
      </c>
      <c r="D139" s="61" t="s">
        <v>38</v>
      </c>
      <c r="E139" s="61" t="s">
        <v>103</v>
      </c>
      <c r="F139" s="5">
        <v>0</v>
      </c>
      <c r="G139" s="60">
        <v>1</v>
      </c>
      <c r="H139" s="60" t="str">
        <f>INDEX(Helper!$C:$C, MATCH(G139, Helper!$A:$A, 0))</f>
        <v>Standard (EADGBE)</v>
      </c>
      <c r="I139" s="60" t="s">
        <v>395</v>
      </c>
      <c r="J139" s="75" t="s">
        <v>10</v>
      </c>
      <c r="K139" s="60" t="str">
        <f>INDEX(Helper!$F:$F, MATCH(J139, Helper!$E:$E, 0))</f>
        <v>#F5943C</v>
      </c>
      <c r="L139" s="61" t="s">
        <v>529</v>
      </c>
      <c r="M139" s="66" t="s">
        <v>619</v>
      </c>
      <c r="N139" s="62" t="s">
        <v>913</v>
      </c>
      <c r="O139" s="40" t="s">
        <v>914</v>
      </c>
    </row>
    <row r="140" spans="1:15" x14ac:dyDescent="0.4">
      <c r="A140" s="60">
        <v>137</v>
      </c>
      <c r="B140" s="60">
        <v>1</v>
      </c>
      <c r="C140" s="61" t="str">
        <f>INDEX(Helper!$N$2:$N$4, MATCH(B140, Helper!$M$2:$M$4, 0))</f>
        <v>Beginner</v>
      </c>
      <c r="D140" s="61" t="s">
        <v>38</v>
      </c>
      <c r="E140" s="61" t="s">
        <v>104</v>
      </c>
      <c r="F140" s="5">
        <v>1</v>
      </c>
      <c r="G140" s="60">
        <v>1</v>
      </c>
      <c r="H140" s="60" t="str">
        <f>INDEX(Helper!$C:$C, MATCH(G140, Helper!$A:$A, 0))</f>
        <v>Standard (EADGBE)</v>
      </c>
      <c r="I140" s="60" t="s">
        <v>395</v>
      </c>
      <c r="J140" s="75" t="s">
        <v>10</v>
      </c>
      <c r="K140" s="60" t="str">
        <f>INDEX(Helper!$F:$F, MATCH(J140, Helper!$E:$E, 0))</f>
        <v>#F5943C</v>
      </c>
      <c r="L140" s="61" t="s">
        <v>530</v>
      </c>
      <c r="M140" s="66" t="s">
        <v>619</v>
      </c>
      <c r="N140" s="61" t="s">
        <v>916</v>
      </c>
      <c r="O140" s="21" t="s">
        <v>1121</v>
      </c>
    </row>
    <row r="141" spans="1:15" ht="409.6" x14ac:dyDescent="0.4">
      <c r="A141" s="60">
        <v>138</v>
      </c>
      <c r="B141" s="60">
        <v>2</v>
      </c>
      <c r="C141" s="61" t="str">
        <f>INDEX(Helper!$N$2:$N$4, MATCH(B141, Helper!$M$2:$M$4, 0))</f>
        <v>Intermediate</v>
      </c>
      <c r="D141" s="61" t="s">
        <v>105</v>
      </c>
      <c r="E141" s="61" t="s">
        <v>106</v>
      </c>
      <c r="F141" s="5">
        <v>0</v>
      </c>
      <c r="G141" s="60">
        <v>2</v>
      </c>
      <c r="H141" s="60" t="str">
        <f>INDEX(Helper!$C:$C, MATCH(G141, Helper!$A:$A, 0))</f>
        <v>Drop D (DADGBE)</v>
      </c>
      <c r="I141" s="60" t="s">
        <v>631</v>
      </c>
      <c r="J141" s="87" t="s">
        <v>27</v>
      </c>
      <c r="K141" s="60" t="str">
        <f>INDEX(Helper!$F:$F, MATCH(J141, Helper!$E:$E, 0))</f>
        <v>#B2DB4B</v>
      </c>
      <c r="L141" s="61" t="s">
        <v>531</v>
      </c>
      <c r="M141" s="66" t="s">
        <v>619</v>
      </c>
      <c r="N141" s="61" t="s">
        <v>917</v>
      </c>
      <c r="O141" s="91" t="s">
        <v>1236</v>
      </c>
    </row>
    <row r="142" spans="1:15" x14ac:dyDescent="0.4">
      <c r="A142" s="60">
        <v>139</v>
      </c>
      <c r="B142" s="60">
        <v>1</v>
      </c>
      <c r="C142" s="61" t="str">
        <f>INDEX(Helper!$N$2:$N$4, MATCH(B142, Helper!$M$2:$M$4, 0))</f>
        <v>Beginner</v>
      </c>
      <c r="D142" s="61" t="s">
        <v>105</v>
      </c>
      <c r="E142" s="61" t="s">
        <v>107</v>
      </c>
      <c r="F142" s="5">
        <v>1</v>
      </c>
      <c r="G142" s="60">
        <v>2</v>
      </c>
      <c r="H142" s="60" t="str">
        <f>INDEX(Helper!$C:$C, MATCH(G142, Helper!$A:$A, 0))</f>
        <v>Drop D (DADGBE)</v>
      </c>
      <c r="I142" s="60" t="s">
        <v>66</v>
      </c>
      <c r="J142" s="87" t="s">
        <v>27</v>
      </c>
      <c r="K142" s="60" t="str">
        <f>INDEX(Helper!$F:$F, MATCH(J142, Helper!$E:$E, 0))</f>
        <v>#B2DB4B</v>
      </c>
      <c r="L142" s="61" t="s">
        <v>532</v>
      </c>
      <c r="M142" s="66" t="s">
        <v>619</v>
      </c>
      <c r="N142" s="62" t="s">
        <v>918</v>
      </c>
      <c r="O142" s="40" t="s">
        <v>1130</v>
      </c>
    </row>
    <row r="143" spans="1:15" x14ac:dyDescent="0.4">
      <c r="A143" s="60">
        <v>140</v>
      </c>
      <c r="B143" s="60">
        <v>1</v>
      </c>
      <c r="C143" s="61" t="str">
        <f>INDEX(Helper!$N$2:$N$4, MATCH(B143, Helper!$M$2:$M$4, 0))</f>
        <v>Beginner</v>
      </c>
      <c r="D143" s="61" t="s">
        <v>108</v>
      </c>
      <c r="E143" s="61" t="s">
        <v>109</v>
      </c>
      <c r="F143" s="5">
        <v>1</v>
      </c>
      <c r="G143" s="60">
        <v>2</v>
      </c>
      <c r="H143" s="60" t="str">
        <f>INDEX(Helper!$C:$C, MATCH(G143, Helper!$A:$A, 0))</f>
        <v>Drop D (DADGBE)</v>
      </c>
      <c r="I143" s="60" t="s">
        <v>68</v>
      </c>
      <c r="J143" s="87" t="s">
        <v>27</v>
      </c>
      <c r="K143" s="60" t="str">
        <f>INDEX(Helper!$F:$F, MATCH(J143, Helper!$E:$E, 0))</f>
        <v>#B2DB4B</v>
      </c>
      <c r="L143" s="61" t="s">
        <v>533</v>
      </c>
      <c r="M143" s="66" t="s">
        <v>619</v>
      </c>
      <c r="N143" s="62" t="s">
        <v>919</v>
      </c>
      <c r="O143" s="21" t="s">
        <v>1131</v>
      </c>
    </row>
    <row r="144" spans="1:15" x14ac:dyDescent="0.4">
      <c r="A144" s="60">
        <v>141</v>
      </c>
      <c r="B144" s="60">
        <v>1</v>
      </c>
      <c r="C144" s="61" t="str">
        <f>INDEX(Helper!$N$2:$N$4, MATCH(B144, Helper!$M$2:$M$4, 0))</f>
        <v>Beginner</v>
      </c>
      <c r="D144" s="61" t="s">
        <v>110</v>
      </c>
      <c r="E144" s="61" t="s">
        <v>111</v>
      </c>
      <c r="F144" s="5">
        <v>0</v>
      </c>
      <c r="G144" s="60">
        <v>2</v>
      </c>
      <c r="H144" s="60" t="str">
        <f>INDEX(Helper!$C:$C, MATCH(G144, Helper!$A:$A, 0))</f>
        <v>Drop D (DADGBE)</v>
      </c>
      <c r="I144" s="60" t="s">
        <v>64</v>
      </c>
      <c r="J144" s="87" t="s">
        <v>27</v>
      </c>
      <c r="K144" s="60" t="str">
        <f>INDEX(Helper!$F:$F, MATCH(J144, Helper!$E:$E, 0))</f>
        <v>#B2DB4B</v>
      </c>
      <c r="L144" s="61" t="s">
        <v>534</v>
      </c>
      <c r="M144" s="66" t="s">
        <v>619</v>
      </c>
      <c r="N144" s="62" t="s">
        <v>920</v>
      </c>
      <c r="O144" s="40" t="s">
        <v>1132</v>
      </c>
    </row>
    <row r="145" spans="1:15" x14ac:dyDescent="0.4">
      <c r="A145" s="60">
        <v>142</v>
      </c>
      <c r="B145" s="60">
        <v>1</v>
      </c>
      <c r="C145" s="61" t="str">
        <f>INDEX(Helper!$N$2:$N$4, MATCH(B145, Helper!$M$2:$M$4, 0))</f>
        <v>Beginner</v>
      </c>
      <c r="D145" s="61" t="s">
        <v>112</v>
      </c>
      <c r="E145" s="61" t="s">
        <v>113</v>
      </c>
      <c r="F145" s="5">
        <v>1</v>
      </c>
      <c r="G145" s="69">
        <v>1</v>
      </c>
      <c r="H145" s="60" t="str">
        <f>INDEX(Helper!$C:$C, MATCH(G145, Helper!$A:$A, 0))</f>
        <v>Standard (EADGBE)</v>
      </c>
      <c r="I145" s="60" t="s">
        <v>68</v>
      </c>
      <c r="J145" s="87" t="s">
        <v>27</v>
      </c>
      <c r="K145" s="60" t="str">
        <f>INDEX(Helper!$F:$F, MATCH(J145, Helper!$E:$E, 0))</f>
        <v>#B2DB4B</v>
      </c>
      <c r="L145" s="61" t="s">
        <v>535</v>
      </c>
      <c r="M145" s="66" t="s">
        <v>619</v>
      </c>
      <c r="N145" s="61" t="s">
        <v>922</v>
      </c>
      <c r="O145" s="40" t="s">
        <v>1190</v>
      </c>
    </row>
    <row r="146" spans="1:15" x14ac:dyDescent="0.4">
      <c r="A146" s="60">
        <v>143</v>
      </c>
      <c r="B146" s="60">
        <v>1</v>
      </c>
      <c r="C146" s="61" t="str">
        <f>INDEX(Helper!$N$2:$N$4, MATCH(B146, Helper!$M$2:$M$4, 0))</f>
        <v>Beginner</v>
      </c>
      <c r="D146" s="61" t="s">
        <v>112</v>
      </c>
      <c r="E146" s="61" t="s">
        <v>114</v>
      </c>
      <c r="F146" s="5">
        <v>0</v>
      </c>
      <c r="G146" s="60">
        <v>1</v>
      </c>
      <c r="H146" s="60" t="str">
        <f>INDEX(Helper!$C:$C, MATCH(G146, Helper!$A:$A, 0))</f>
        <v>Standard (EADGBE)</v>
      </c>
      <c r="I146" s="60" t="s">
        <v>395</v>
      </c>
      <c r="J146" s="87" t="s">
        <v>27</v>
      </c>
      <c r="K146" s="60" t="str">
        <f>INDEX(Helper!$F:$F, MATCH(J146, Helper!$E:$E, 0))</f>
        <v>#B2DB4B</v>
      </c>
      <c r="L146" s="61" t="s">
        <v>536</v>
      </c>
      <c r="M146" s="66" t="s">
        <v>619</v>
      </c>
      <c r="N146" s="61" t="s">
        <v>924</v>
      </c>
      <c r="O146" s="40" t="s">
        <v>1191</v>
      </c>
    </row>
    <row r="147" spans="1:15" x14ac:dyDescent="0.4">
      <c r="A147" s="60">
        <v>144</v>
      </c>
      <c r="B147" s="60">
        <v>1</v>
      </c>
      <c r="C147" s="61" t="str">
        <f>INDEX(Helper!$N$2:$N$4, MATCH(B147, Helper!$M$2:$M$4, 0))</f>
        <v>Beginner</v>
      </c>
      <c r="D147" s="61" t="s">
        <v>112</v>
      </c>
      <c r="E147" s="61" t="s">
        <v>115</v>
      </c>
      <c r="F147" s="5">
        <v>0</v>
      </c>
      <c r="G147" s="60">
        <v>1</v>
      </c>
      <c r="H147" s="60" t="str">
        <f>INDEX(Helper!$C:$C, MATCH(G147, Helper!$A:$A, 0))</f>
        <v>Standard (EADGBE)</v>
      </c>
      <c r="I147" s="60" t="s">
        <v>908</v>
      </c>
      <c r="J147" s="87" t="s">
        <v>27</v>
      </c>
      <c r="K147" s="60" t="str">
        <f>INDEX(Helper!$F:$F, MATCH(J147, Helper!$E:$E, 0))</f>
        <v>#B2DB4B</v>
      </c>
      <c r="L147" s="61" t="s">
        <v>537</v>
      </c>
      <c r="M147" s="66" t="s">
        <v>619</v>
      </c>
      <c r="N147" s="62" t="s">
        <v>926</v>
      </c>
      <c r="O147" s="40" t="s">
        <v>1192</v>
      </c>
    </row>
    <row r="148" spans="1:15" x14ac:dyDescent="0.4">
      <c r="A148" s="60">
        <v>145</v>
      </c>
      <c r="B148" s="60">
        <v>2</v>
      </c>
      <c r="C148" s="61" t="str">
        <f>INDEX(Helper!$N$2:$N$4, MATCH(B148, Helper!$M$2:$M$4, 0))</f>
        <v>Intermediate</v>
      </c>
      <c r="D148" s="61" t="s">
        <v>116</v>
      </c>
      <c r="E148" s="61" t="s">
        <v>117</v>
      </c>
      <c r="F148" s="5">
        <v>1</v>
      </c>
      <c r="G148" s="60">
        <v>1</v>
      </c>
      <c r="H148" s="60" t="str">
        <f>INDEX(Helper!$C:$C, MATCH(G148, Helper!$A:$A, 0))</f>
        <v>Standard (EADGBE)</v>
      </c>
      <c r="I148" s="60" t="s">
        <v>65</v>
      </c>
      <c r="J148" s="79" t="s">
        <v>19</v>
      </c>
      <c r="K148" s="60" t="str">
        <f>INDEX(Helper!$F:$F, MATCH(J148, Helper!$E:$E, 0))</f>
        <v>#FFDD21</v>
      </c>
      <c r="L148" s="61" t="s">
        <v>927</v>
      </c>
      <c r="M148" s="66" t="s">
        <v>619</v>
      </c>
      <c r="N148" s="61" t="s">
        <v>928</v>
      </c>
      <c r="O148" s="40" t="s">
        <v>929</v>
      </c>
    </row>
    <row r="149" spans="1:15" x14ac:dyDescent="0.4">
      <c r="A149" s="60">
        <v>146</v>
      </c>
      <c r="B149" s="60">
        <v>1</v>
      </c>
      <c r="C149" s="61" t="str">
        <f>INDEX(Helper!$N$2:$N$4, MATCH(B149, Helper!$M$2:$M$4, 0))</f>
        <v>Beginner</v>
      </c>
      <c r="D149" s="61" t="s">
        <v>118</v>
      </c>
      <c r="E149" s="61" t="s">
        <v>119</v>
      </c>
      <c r="F149" s="5">
        <v>1</v>
      </c>
      <c r="G149" s="60">
        <v>1</v>
      </c>
      <c r="H149" s="60" t="str">
        <f>INDEX(Helper!$C:$C, MATCH(G149, Helper!$A:$A, 0))</f>
        <v>Standard (EADGBE)</v>
      </c>
      <c r="I149" s="60" t="s">
        <v>631</v>
      </c>
      <c r="J149" s="77" t="s">
        <v>11</v>
      </c>
      <c r="K149" s="60" t="str">
        <f>INDEX(Helper!$F:$F, MATCH(J149, Helper!$E:$E, 0))</f>
        <v>#E8AD1D</v>
      </c>
      <c r="L149" s="61" t="s">
        <v>538</v>
      </c>
      <c r="M149" s="66" t="s">
        <v>619</v>
      </c>
      <c r="N149" s="62" t="s">
        <v>931</v>
      </c>
      <c r="O149" s="40" t="s">
        <v>930</v>
      </c>
    </row>
    <row r="150" spans="1:15" x14ac:dyDescent="0.4">
      <c r="A150" s="60">
        <v>147</v>
      </c>
      <c r="B150" s="60">
        <v>1</v>
      </c>
      <c r="C150" s="61" t="str">
        <f>INDEX(Helper!$N$2:$N$4, MATCH(B150, Helper!$M$2:$M$4, 0))</f>
        <v>Beginner</v>
      </c>
      <c r="D150" s="61" t="s">
        <v>118</v>
      </c>
      <c r="E150" s="61" t="s">
        <v>120</v>
      </c>
      <c r="F150" s="5">
        <v>1</v>
      </c>
      <c r="G150" s="60">
        <v>3</v>
      </c>
      <c r="H150" s="60" t="str">
        <f>INDEX(Helper!$C:$C, MATCH(G150, Helper!$A:$A, 0))</f>
        <v>Half Step Down (D#G#C#F#A#D#)</v>
      </c>
      <c r="I150" s="60" t="s">
        <v>70</v>
      </c>
      <c r="J150" s="77" t="s">
        <v>11</v>
      </c>
      <c r="K150" s="60" t="str">
        <f>INDEX(Helper!$F:$F, MATCH(J150, Helper!$E:$E, 0))</f>
        <v>#E8AD1D</v>
      </c>
      <c r="L150" s="61" t="s">
        <v>539</v>
      </c>
      <c r="M150" s="66" t="s">
        <v>619</v>
      </c>
      <c r="N150" s="61" t="s">
        <v>932</v>
      </c>
      <c r="O150" s="21" t="s">
        <v>1140</v>
      </c>
    </row>
    <row r="151" spans="1:15" x14ac:dyDescent="0.4">
      <c r="A151" s="60">
        <v>148</v>
      </c>
      <c r="B151" s="60">
        <v>1</v>
      </c>
      <c r="C151" s="61" t="str">
        <f>INDEX(Helper!$N$2:$N$4, MATCH(B151, Helper!$M$2:$M$4, 0))</f>
        <v>Beginner</v>
      </c>
      <c r="D151" s="61" t="s">
        <v>121</v>
      </c>
      <c r="E151" s="61" t="s">
        <v>122</v>
      </c>
      <c r="F151" s="5">
        <v>1</v>
      </c>
      <c r="G151" s="60">
        <v>3</v>
      </c>
      <c r="H151" s="60" t="str">
        <f>INDEX(Helper!$C:$C, MATCH(G151, Helper!$A:$A, 0))</f>
        <v>Half Step Down (D#G#C#F#A#D#)</v>
      </c>
      <c r="I151" s="60" t="s">
        <v>64</v>
      </c>
      <c r="J151" s="75" t="s">
        <v>10</v>
      </c>
      <c r="K151" s="60" t="str">
        <f>INDEX(Helper!$F:$F, MATCH(J151, Helper!$E:$E, 0))</f>
        <v>#F5943C</v>
      </c>
      <c r="L151" s="61" t="s">
        <v>540</v>
      </c>
      <c r="M151" s="66" t="s">
        <v>619</v>
      </c>
      <c r="N151" s="61" t="s">
        <v>933</v>
      </c>
      <c r="O151" s="40" t="s">
        <v>1141</v>
      </c>
    </row>
    <row r="152" spans="1:15" x14ac:dyDescent="0.4">
      <c r="A152" s="60">
        <v>149</v>
      </c>
      <c r="B152" s="60">
        <v>1</v>
      </c>
      <c r="C152" s="61" t="str">
        <f>INDEX(Helper!$N$2:$N$4, MATCH(B152, Helper!$M$2:$M$4, 0))</f>
        <v>Beginner</v>
      </c>
      <c r="D152" s="61" t="s">
        <v>123</v>
      </c>
      <c r="E152" s="61" t="s">
        <v>124</v>
      </c>
      <c r="F152" s="5">
        <v>1</v>
      </c>
      <c r="G152" s="60">
        <v>1</v>
      </c>
      <c r="H152" s="60" t="str">
        <f>INDEX(Helper!$C:$C, MATCH(G152, Helper!$A:$A, 0))</f>
        <v>Standard (EADGBE)</v>
      </c>
      <c r="I152" s="60" t="s">
        <v>631</v>
      </c>
      <c r="J152" s="81" t="s">
        <v>13</v>
      </c>
      <c r="K152" s="60" t="str">
        <f>INDEX(Helper!$F:$F, MATCH(J152, Helper!$E:$E, 0))</f>
        <v>#FF4F53</v>
      </c>
      <c r="L152" s="61" t="s">
        <v>541</v>
      </c>
      <c r="M152" s="66" t="s">
        <v>619</v>
      </c>
      <c r="N152" s="61" t="s">
        <v>935</v>
      </c>
      <c r="O152" s="40" t="s">
        <v>934</v>
      </c>
    </row>
    <row r="153" spans="1:15" x14ac:dyDescent="0.4">
      <c r="A153" s="60">
        <v>150</v>
      </c>
      <c r="B153" s="60">
        <v>1</v>
      </c>
      <c r="C153" s="61" t="str">
        <f>INDEX(Helper!$N$2:$N$4, MATCH(B153, Helper!$M$2:$M$4, 0))</f>
        <v>Beginner</v>
      </c>
      <c r="D153" s="61" t="s">
        <v>125</v>
      </c>
      <c r="E153" s="61" t="s">
        <v>126</v>
      </c>
      <c r="F153" s="5">
        <v>0</v>
      </c>
      <c r="G153" s="60">
        <v>1</v>
      </c>
      <c r="H153" s="60" t="str">
        <f>INDEX(Helper!$C:$C, MATCH(G153, Helper!$A:$A, 0))</f>
        <v>Standard (EADGBE)</v>
      </c>
      <c r="I153" s="60" t="s">
        <v>59</v>
      </c>
      <c r="J153" s="81" t="s">
        <v>13</v>
      </c>
      <c r="K153" s="60" t="str">
        <f>INDEX(Helper!$F:$F, MATCH(J153, Helper!$E:$E, 0))</f>
        <v>#FF4F53</v>
      </c>
      <c r="L153" s="61" t="s">
        <v>542</v>
      </c>
      <c r="M153" s="66" t="s">
        <v>619</v>
      </c>
      <c r="N153" s="61" t="s">
        <v>937</v>
      </c>
      <c r="O153" s="40" t="s">
        <v>936</v>
      </c>
    </row>
    <row r="154" spans="1:15" x14ac:dyDescent="0.4">
      <c r="A154" s="60">
        <v>151</v>
      </c>
      <c r="B154" s="60">
        <v>2</v>
      </c>
      <c r="C154" s="61" t="str">
        <f>INDEX(Helper!$N$2:$N$4, MATCH(B154, Helper!$M$2:$M$4, 0))</f>
        <v>Intermediate</v>
      </c>
      <c r="D154" s="61" t="s">
        <v>127</v>
      </c>
      <c r="E154" s="61" t="s">
        <v>128</v>
      </c>
      <c r="F154" s="5">
        <v>0</v>
      </c>
      <c r="G154" s="60">
        <v>2</v>
      </c>
      <c r="H154" s="60" t="str">
        <f>INDEX(Helper!$C:$C, MATCH(G154, Helper!$A:$A, 0))</f>
        <v>Drop D (DADGBE)</v>
      </c>
      <c r="I154" s="60" t="s">
        <v>61</v>
      </c>
      <c r="J154" s="75" t="s">
        <v>10</v>
      </c>
      <c r="K154" s="60" t="str">
        <f>INDEX(Helper!$F:$F, MATCH(J154, Helper!$E:$E, 0))</f>
        <v>#F5943C</v>
      </c>
      <c r="L154" s="61" t="s">
        <v>543</v>
      </c>
      <c r="M154" s="66" t="s">
        <v>619</v>
      </c>
      <c r="N154" s="62" t="s">
        <v>939</v>
      </c>
      <c r="O154" s="40" t="s">
        <v>938</v>
      </c>
    </row>
    <row r="155" spans="1:15" x14ac:dyDescent="0.4">
      <c r="A155" s="60">
        <v>152</v>
      </c>
      <c r="B155" s="60">
        <v>3</v>
      </c>
      <c r="C155" s="61" t="str">
        <f>INDEX(Helper!$N$2:$N$4, MATCH(B155, Helper!$M$2:$M$4, 0))</f>
        <v>Advanced</v>
      </c>
      <c r="D155" s="61" t="s">
        <v>129</v>
      </c>
      <c r="E155" s="61" t="s">
        <v>130</v>
      </c>
      <c r="F155" s="5">
        <v>0</v>
      </c>
      <c r="G155" s="60">
        <v>3</v>
      </c>
      <c r="H155" s="60" t="str">
        <f>INDEX(Helper!$C:$C, MATCH(G155, Helper!$A:$A, 0))</f>
        <v>Half Step Down (D#G#C#F#A#D#)</v>
      </c>
      <c r="I155" s="60" t="s">
        <v>628</v>
      </c>
      <c r="J155" s="87" t="s">
        <v>27</v>
      </c>
      <c r="K155" s="60" t="str">
        <f>INDEX(Helper!$F:$F, MATCH(J155, Helper!$E:$E, 0))</f>
        <v>#B2DB4B</v>
      </c>
      <c r="L155" s="61" t="s">
        <v>544</v>
      </c>
      <c r="M155" s="66" t="s">
        <v>619</v>
      </c>
      <c r="N155" s="62" t="s">
        <v>940</v>
      </c>
      <c r="O155" s="40" t="s">
        <v>1215</v>
      </c>
    </row>
    <row r="156" spans="1:15" x14ac:dyDescent="0.4">
      <c r="A156" s="60">
        <v>153</v>
      </c>
      <c r="B156" s="60">
        <v>1</v>
      </c>
      <c r="C156" s="61" t="str">
        <f>INDEX(Helper!$N$2:$N$4, MATCH(B156, Helper!$M$2:$M$4, 0))</f>
        <v>Beginner</v>
      </c>
      <c r="D156" s="61" t="s">
        <v>129</v>
      </c>
      <c r="E156" s="61" t="s">
        <v>131</v>
      </c>
      <c r="F156" s="5">
        <v>1</v>
      </c>
      <c r="G156" s="60">
        <v>3</v>
      </c>
      <c r="H156" s="60" t="str">
        <f>INDEX(Helper!$C:$C, MATCH(G156, Helper!$A:$A, 0))</f>
        <v>Half Step Down (D#G#C#F#A#D#)</v>
      </c>
      <c r="I156" s="60" t="s">
        <v>60</v>
      </c>
      <c r="J156" s="87" t="s">
        <v>27</v>
      </c>
      <c r="K156" s="60" t="str">
        <f>INDEX(Helper!$F:$F, MATCH(J156, Helper!$E:$E, 0))</f>
        <v>#B2DB4B</v>
      </c>
      <c r="L156" s="61" t="s">
        <v>545</v>
      </c>
      <c r="M156" s="66" t="s">
        <v>619</v>
      </c>
      <c r="N156" s="61" t="s">
        <v>942</v>
      </c>
      <c r="O156" s="40" t="s">
        <v>941</v>
      </c>
    </row>
    <row r="157" spans="1:15" x14ac:dyDescent="0.4">
      <c r="A157" s="60">
        <v>154</v>
      </c>
      <c r="B157" s="60">
        <v>1</v>
      </c>
      <c r="C157" s="61" t="str">
        <f>INDEX(Helper!$N$2:$N$4, MATCH(B157, Helper!$M$2:$M$4, 0))</f>
        <v>Beginner</v>
      </c>
      <c r="D157" s="61" t="s">
        <v>132</v>
      </c>
      <c r="E157" s="61" t="s">
        <v>133</v>
      </c>
      <c r="F157" s="5">
        <v>1</v>
      </c>
      <c r="G157" s="60">
        <v>2</v>
      </c>
      <c r="H157" s="60" t="str">
        <f>INDEX(Helper!$C:$C, MATCH(G157, Helper!$A:$A, 0))</f>
        <v>Drop D (DADGBE)</v>
      </c>
      <c r="I157" s="60" t="s">
        <v>631</v>
      </c>
      <c r="J157" s="81" t="s">
        <v>13</v>
      </c>
      <c r="K157" s="60" t="str">
        <f>INDEX(Helper!$F:$F, MATCH(J157, Helper!$E:$E, 0))</f>
        <v>#FF4F53</v>
      </c>
      <c r="L157" s="61" t="s">
        <v>546</v>
      </c>
      <c r="M157" s="66" t="s">
        <v>619</v>
      </c>
      <c r="N157" s="62" t="s">
        <v>944</v>
      </c>
      <c r="O157" s="40" t="s">
        <v>943</v>
      </c>
    </row>
    <row r="158" spans="1:15" x14ac:dyDescent="0.4">
      <c r="A158" s="60">
        <v>155</v>
      </c>
      <c r="B158" s="60">
        <v>1</v>
      </c>
      <c r="C158" s="61" t="str">
        <f>INDEX(Helper!$N$2:$N$4, MATCH(B158, Helper!$M$2:$M$4, 0))</f>
        <v>Beginner</v>
      </c>
      <c r="D158" s="61" t="s">
        <v>134</v>
      </c>
      <c r="E158" s="61" t="s">
        <v>135</v>
      </c>
      <c r="F158" s="5">
        <v>0</v>
      </c>
      <c r="G158" s="60">
        <v>1</v>
      </c>
      <c r="H158" s="60" t="str">
        <f>INDEX(Helper!$C:$C, MATCH(G158, Helper!$A:$A, 0))</f>
        <v>Standard (EADGBE)</v>
      </c>
      <c r="I158" s="60" t="s">
        <v>631</v>
      </c>
      <c r="J158" s="75" t="s">
        <v>10</v>
      </c>
      <c r="K158" s="60" t="str">
        <f>INDEX(Helper!$F:$F, MATCH(J158, Helper!$E:$E, 0))</f>
        <v>#F5943C</v>
      </c>
      <c r="L158" s="61" t="s">
        <v>547</v>
      </c>
      <c r="M158" s="66" t="s">
        <v>648</v>
      </c>
      <c r="N158" s="62" t="s">
        <v>948</v>
      </c>
      <c r="O158" s="40" t="s">
        <v>945</v>
      </c>
    </row>
    <row r="159" spans="1:15" x14ac:dyDescent="0.4">
      <c r="A159" s="60">
        <v>156</v>
      </c>
      <c r="B159" s="60">
        <v>1</v>
      </c>
      <c r="C159" s="61" t="str">
        <f>INDEX(Helper!$N$2:$N$4, MATCH(B159, Helper!$M$2:$M$4, 0))</f>
        <v>Beginner</v>
      </c>
      <c r="D159" s="61" t="s">
        <v>136</v>
      </c>
      <c r="E159" s="61" t="s">
        <v>137</v>
      </c>
      <c r="F159" s="5">
        <v>1</v>
      </c>
      <c r="G159" s="60">
        <v>1</v>
      </c>
      <c r="H159" s="60" t="str">
        <f>INDEX(Helper!$C:$C, MATCH(G159, Helper!$A:$A, 0))</f>
        <v>Standard (EADGBE)</v>
      </c>
      <c r="I159" s="60" t="s">
        <v>631</v>
      </c>
      <c r="J159" s="86" t="s">
        <v>373</v>
      </c>
      <c r="K159" s="60" t="str">
        <f>INDEX(Helper!$F:$F, MATCH(J159, Helper!$E:$E, 0))</f>
        <v>#C476D4</v>
      </c>
      <c r="L159" s="61" t="s">
        <v>548</v>
      </c>
      <c r="M159" s="66" t="s">
        <v>619</v>
      </c>
      <c r="N159" s="62" t="s">
        <v>947</v>
      </c>
      <c r="O159" s="40" t="s">
        <v>946</v>
      </c>
    </row>
    <row r="160" spans="1:15" x14ac:dyDescent="0.4">
      <c r="A160" s="60">
        <v>157</v>
      </c>
      <c r="B160" s="60">
        <v>1</v>
      </c>
      <c r="C160" s="61" t="str">
        <f>INDEX(Helper!$N$2:$N$4, MATCH(B160, Helper!$M$2:$M$4, 0))</f>
        <v>Beginner</v>
      </c>
      <c r="D160" s="61" t="s">
        <v>138</v>
      </c>
      <c r="E160" s="61" t="s">
        <v>139</v>
      </c>
      <c r="F160" s="5">
        <v>1</v>
      </c>
      <c r="G160" s="60">
        <v>1</v>
      </c>
      <c r="H160" s="60" t="str">
        <f>INDEX(Helper!$C:$C, MATCH(G160, Helper!$A:$A, 0))</f>
        <v>Standard (EADGBE)</v>
      </c>
      <c r="I160" s="60" t="s">
        <v>631</v>
      </c>
      <c r="J160" s="83" t="s">
        <v>12</v>
      </c>
      <c r="K160" s="60" t="str">
        <f>INDEX(Helper!$F:$F, MATCH(J160, Helper!$E:$E, 0))</f>
        <v>#FFE129</v>
      </c>
      <c r="L160" s="61" t="s">
        <v>549</v>
      </c>
      <c r="M160" s="66" t="s">
        <v>619</v>
      </c>
      <c r="N160" s="61" t="s">
        <v>950</v>
      </c>
      <c r="O160" s="40" t="s">
        <v>949</v>
      </c>
    </row>
    <row r="161" spans="1:15" x14ac:dyDescent="0.4">
      <c r="A161" s="60">
        <v>158</v>
      </c>
      <c r="B161" s="60">
        <v>1</v>
      </c>
      <c r="C161" s="61" t="str">
        <f>INDEX(Helper!$N$2:$N$4, MATCH(B161, Helper!$M$2:$M$4, 0))</f>
        <v>Beginner</v>
      </c>
      <c r="D161" s="61" t="s">
        <v>140</v>
      </c>
      <c r="E161" s="61" t="s">
        <v>141</v>
      </c>
      <c r="F161" s="5">
        <v>0</v>
      </c>
      <c r="G161" s="60">
        <v>1</v>
      </c>
      <c r="H161" s="60" t="str">
        <f>INDEX(Helper!$C:$C, MATCH(G161, Helper!$A:$A, 0))</f>
        <v>Standard (EADGBE)</v>
      </c>
      <c r="I161" s="60" t="s">
        <v>908</v>
      </c>
      <c r="J161" s="86" t="s">
        <v>373</v>
      </c>
      <c r="K161" s="60" t="str">
        <f>INDEX(Helper!$F:$F, MATCH(J161, Helper!$E:$E, 0))</f>
        <v>#C476D4</v>
      </c>
      <c r="L161" s="61" t="s">
        <v>550</v>
      </c>
      <c r="M161" s="66" t="s">
        <v>619</v>
      </c>
      <c r="N161" s="62" t="s">
        <v>952</v>
      </c>
      <c r="O161" s="40" t="s">
        <v>951</v>
      </c>
    </row>
    <row r="162" spans="1:15" x14ac:dyDescent="0.4">
      <c r="A162" s="60">
        <v>159</v>
      </c>
      <c r="B162" s="60">
        <v>1</v>
      </c>
      <c r="C162" s="61" t="str">
        <f>INDEX(Helper!$N$2:$N$4, MATCH(B162, Helper!$M$2:$M$4, 0))</f>
        <v>Beginner</v>
      </c>
      <c r="D162" s="61" t="s">
        <v>142</v>
      </c>
      <c r="E162" s="61" t="s">
        <v>143</v>
      </c>
      <c r="F162" s="5">
        <v>0</v>
      </c>
      <c r="G162" s="60">
        <v>1</v>
      </c>
      <c r="H162" s="60" t="str">
        <f>INDEX(Helper!$C:$C, MATCH(G162, Helper!$A:$A, 0))</f>
        <v>Standard (EADGBE)</v>
      </c>
      <c r="I162" s="60" t="s">
        <v>61</v>
      </c>
      <c r="J162" s="77" t="s">
        <v>11</v>
      </c>
      <c r="K162" s="60" t="str">
        <f>INDEX(Helper!$F:$F, MATCH(J162, Helper!$E:$E, 0))</f>
        <v>#E8AD1D</v>
      </c>
      <c r="L162" s="61" t="s">
        <v>551</v>
      </c>
      <c r="M162" s="66" t="s">
        <v>619</v>
      </c>
      <c r="N162" s="62" t="s">
        <v>953</v>
      </c>
      <c r="O162" s="46" t="s">
        <v>1179</v>
      </c>
    </row>
    <row r="163" spans="1:15" x14ac:dyDescent="0.4">
      <c r="A163" s="60">
        <v>160</v>
      </c>
      <c r="B163" s="60">
        <v>1</v>
      </c>
      <c r="C163" s="61" t="str">
        <f>INDEX(Helper!$N$2:$N$4, MATCH(B163, Helper!$M$2:$M$4, 0))</f>
        <v>Beginner</v>
      </c>
      <c r="D163" s="61" t="s">
        <v>144</v>
      </c>
      <c r="E163" s="61" t="s">
        <v>145</v>
      </c>
      <c r="F163" s="5">
        <v>0</v>
      </c>
      <c r="G163" s="69">
        <v>1</v>
      </c>
      <c r="H163" s="60" t="str">
        <f>INDEX(Helper!$C:$C, MATCH(G163, Helper!$A:$A, 0))</f>
        <v>Standard (EADGBE)</v>
      </c>
      <c r="I163" s="60" t="s">
        <v>59</v>
      </c>
      <c r="J163" s="80" t="s">
        <v>15</v>
      </c>
      <c r="K163" s="60" t="str">
        <f>INDEX(Helper!$F:$F, MATCH(J163, Helper!$E:$E, 0))</f>
        <v>#C2C2A1</v>
      </c>
      <c r="L163" s="61" t="s">
        <v>552</v>
      </c>
      <c r="M163" s="66" t="s">
        <v>619</v>
      </c>
      <c r="N163" s="61" t="s">
        <v>956</v>
      </c>
      <c r="O163" s="40" t="s">
        <v>1213</v>
      </c>
    </row>
    <row r="164" spans="1:15" x14ac:dyDescent="0.4">
      <c r="A164" s="60">
        <v>161</v>
      </c>
      <c r="B164" s="60">
        <v>1</v>
      </c>
      <c r="C164" s="61" t="str">
        <f>INDEX(Helper!$N$2:$N$4, MATCH(B164, Helper!$M$2:$M$4, 0))</f>
        <v>Beginner</v>
      </c>
      <c r="D164" s="61" t="s">
        <v>146</v>
      </c>
      <c r="E164" s="61" t="s">
        <v>147</v>
      </c>
      <c r="F164" s="5">
        <v>0</v>
      </c>
      <c r="G164" s="60">
        <v>1</v>
      </c>
      <c r="H164" s="60" t="str">
        <f>INDEX(Helper!$C:$C, MATCH(G164, Helper!$A:$A, 0))</f>
        <v>Standard (EADGBE)</v>
      </c>
      <c r="I164" s="60" t="s">
        <v>61</v>
      </c>
      <c r="J164" s="81" t="s">
        <v>13</v>
      </c>
      <c r="K164" s="60" t="str">
        <f>INDEX(Helper!$F:$F, MATCH(J164, Helper!$E:$E, 0))</f>
        <v>#FF4F53</v>
      </c>
      <c r="L164" s="61" t="s">
        <v>553</v>
      </c>
      <c r="M164" s="66" t="s">
        <v>619</v>
      </c>
      <c r="N164" s="62" t="s">
        <v>958</v>
      </c>
      <c r="O164" s="40" t="s">
        <v>957</v>
      </c>
    </row>
    <row r="165" spans="1:15" x14ac:dyDescent="0.4">
      <c r="A165" s="60">
        <v>162</v>
      </c>
      <c r="B165" s="60">
        <v>1</v>
      </c>
      <c r="C165" s="61" t="str">
        <f>INDEX(Helper!$N$2:$N$4, MATCH(B165, Helper!$M$2:$M$4, 0))</f>
        <v>Beginner</v>
      </c>
      <c r="D165" s="61" t="s">
        <v>148</v>
      </c>
      <c r="E165" s="61" t="s">
        <v>149</v>
      </c>
      <c r="F165" s="5">
        <v>0</v>
      </c>
      <c r="G165" s="60">
        <v>9</v>
      </c>
      <c r="H165" s="60" t="str">
        <f>INDEX(Helper!$C:$C, MATCH(G165, Helper!$A:$A, 0))</f>
        <v>C#G#C#F#A#D#</v>
      </c>
      <c r="I165" s="60" t="s">
        <v>395</v>
      </c>
      <c r="J165" s="80" t="s">
        <v>15</v>
      </c>
      <c r="K165" s="60" t="str">
        <f>INDEX(Helper!$F:$F, MATCH(J165, Helper!$E:$E, 0))</f>
        <v>#C2C2A1</v>
      </c>
      <c r="L165" s="61" t="s">
        <v>554</v>
      </c>
      <c r="M165" s="66" t="s">
        <v>619</v>
      </c>
      <c r="N165" s="61" t="s">
        <v>960</v>
      </c>
      <c r="O165" s="40" t="s">
        <v>959</v>
      </c>
    </row>
    <row r="166" spans="1:15" x14ac:dyDescent="0.4">
      <c r="A166" s="60">
        <v>163</v>
      </c>
      <c r="B166" s="60">
        <v>1</v>
      </c>
      <c r="C166" s="61" t="str">
        <f>INDEX(Helper!$N$2:$N$4, MATCH(B166, Helper!$M$2:$M$4, 0))</f>
        <v>Beginner</v>
      </c>
      <c r="D166" s="61" t="s">
        <v>148</v>
      </c>
      <c r="E166" s="61" t="s">
        <v>150</v>
      </c>
      <c r="F166" s="5">
        <v>1</v>
      </c>
      <c r="G166" s="60">
        <v>9</v>
      </c>
      <c r="H166" s="60" t="str">
        <f>INDEX(Helper!$C:$C, MATCH(G166, Helper!$A:$A, 0))</f>
        <v>C#G#C#F#A#D#</v>
      </c>
      <c r="I166" s="60" t="s">
        <v>63</v>
      </c>
      <c r="J166" s="80" t="s">
        <v>15</v>
      </c>
      <c r="K166" s="60" t="str">
        <f>INDEX(Helper!$F:$F, MATCH(J166, Helper!$E:$E, 0))</f>
        <v>#C2C2A1</v>
      </c>
      <c r="L166" s="61" t="s">
        <v>555</v>
      </c>
      <c r="M166" s="66" t="s">
        <v>619</v>
      </c>
      <c r="N166" s="61" t="s">
        <v>963</v>
      </c>
      <c r="O166" s="40" t="s">
        <v>1203</v>
      </c>
    </row>
    <row r="167" spans="1:15" x14ac:dyDescent="0.4">
      <c r="A167" s="60">
        <v>164</v>
      </c>
      <c r="B167" s="60">
        <v>1</v>
      </c>
      <c r="C167" s="61" t="str">
        <f>INDEX(Helper!$N$2:$N$4, MATCH(B167, Helper!$M$2:$M$4, 0))</f>
        <v>Beginner</v>
      </c>
      <c r="D167" s="61" t="s">
        <v>151</v>
      </c>
      <c r="E167" s="61" t="s">
        <v>152</v>
      </c>
      <c r="F167" s="5">
        <v>1</v>
      </c>
      <c r="G167" s="60">
        <v>1</v>
      </c>
      <c r="H167" s="60" t="str">
        <f>INDEX(Helper!$C:$C, MATCH(G167, Helper!$A:$A, 0))</f>
        <v>Standard (EADGBE)</v>
      </c>
      <c r="I167" s="60" t="s">
        <v>395</v>
      </c>
      <c r="J167" s="77" t="s">
        <v>11</v>
      </c>
      <c r="K167" s="60" t="str">
        <f>INDEX(Helper!$F:$F, MATCH(J167, Helper!$E:$E, 0))</f>
        <v>#E8AD1D</v>
      </c>
      <c r="L167" s="61" t="s">
        <v>556</v>
      </c>
      <c r="M167" s="61" t="s">
        <v>648</v>
      </c>
      <c r="N167" s="61" t="s">
        <v>967</v>
      </c>
      <c r="O167" s="40" t="s">
        <v>966</v>
      </c>
    </row>
    <row r="168" spans="1:15" x14ac:dyDescent="0.4">
      <c r="A168" s="60">
        <v>165</v>
      </c>
      <c r="B168" s="60">
        <v>1</v>
      </c>
      <c r="C168" s="61" t="str">
        <f>INDEX(Helper!$N$2:$N$4, MATCH(B168, Helper!$M$2:$M$4, 0))</f>
        <v>Beginner</v>
      </c>
      <c r="D168" s="61" t="s">
        <v>81</v>
      </c>
      <c r="E168" s="61" t="s">
        <v>153</v>
      </c>
      <c r="F168" s="5">
        <v>0</v>
      </c>
      <c r="G168" s="60">
        <v>10</v>
      </c>
      <c r="H168" s="60" t="str">
        <f>INDEX(Helper!$C:$C, MATCH(G168, Helper!$A:$A, 0))</f>
        <v>(EABGBD#)</v>
      </c>
      <c r="I168" s="60" t="s">
        <v>60</v>
      </c>
      <c r="J168" s="81" t="s">
        <v>13</v>
      </c>
      <c r="K168" s="60" t="str">
        <f>INDEX(Helper!$F:$F, MATCH(J168, Helper!$E:$E, 0))</f>
        <v>#FF4F53</v>
      </c>
      <c r="L168" s="61" t="s">
        <v>557</v>
      </c>
      <c r="M168" s="61" t="s">
        <v>619</v>
      </c>
      <c r="N168" s="61" t="s">
        <v>969</v>
      </c>
      <c r="O168" s="40" t="s">
        <v>968</v>
      </c>
    </row>
    <row r="169" spans="1:15" x14ac:dyDescent="0.4">
      <c r="A169" s="60">
        <v>166</v>
      </c>
      <c r="B169" s="60">
        <v>1</v>
      </c>
      <c r="C169" s="61" t="str">
        <f>INDEX(Helper!$N$2:$N$4, MATCH(B169, Helper!$M$2:$M$4, 0))</f>
        <v>Beginner</v>
      </c>
      <c r="D169" s="61" t="s">
        <v>81</v>
      </c>
      <c r="E169" s="61" t="s">
        <v>154</v>
      </c>
      <c r="F169" s="5">
        <v>1</v>
      </c>
      <c r="G169" s="60">
        <v>1</v>
      </c>
      <c r="H169" s="60" t="str">
        <f>INDEX(Helper!$C:$C, MATCH(G169, Helper!$A:$A, 0))</f>
        <v>Standard (EADGBE)</v>
      </c>
      <c r="I169" s="60" t="s">
        <v>63</v>
      </c>
      <c r="J169" s="81" t="s">
        <v>13</v>
      </c>
      <c r="K169" s="60" t="str">
        <f>INDEX(Helper!$F:$F, MATCH(J169, Helper!$E:$E, 0))</f>
        <v>#FF4F53</v>
      </c>
      <c r="L169" s="61" t="s">
        <v>558</v>
      </c>
      <c r="M169" s="61" t="s">
        <v>619</v>
      </c>
      <c r="N169" s="61" t="s">
        <v>972</v>
      </c>
      <c r="O169" s="40" t="s">
        <v>971</v>
      </c>
    </row>
    <row r="170" spans="1:15" x14ac:dyDescent="0.4">
      <c r="A170" s="60">
        <v>167</v>
      </c>
      <c r="B170" s="60">
        <v>1</v>
      </c>
      <c r="C170" s="61" t="str">
        <f>INDEX(Helper!$N$2:$N$4, MATCH(B170, Helper!$M$2:$M$4, 0))</f>
        <v>Beginner</v>
      </c>
      <c r="D170" s="61" t="s">
        <v>81</v>
      </c>
      <c r="E170" s="61" t="s">
        <v>82</v>
      </c>
      <c r="F170" s="5">
        <v>1</v>
      </c>
      <c r="G170" s="60">
        <v>1</v>
      </c>
      <c r="H170" s="60" t="str">
        <f>INDEX(Helper!$C:$C, MATCH(G170, Helper!$A:$A, 0))</f>
        <v>Standard (EADGBE)</v>
      </c>
      <c r="I170" s="60" t="s">
        <v>639</v>
      </c>
      <c r="J170" s="81" t="s">
        <v>13</v>
      </c>
      <c r="K170" s="60" t="str">
        <f>INDEX(Helper!$F:$F, MATCH(J170, Helper!$E:$E, 0))</f>
        <v>#FF4F53</v>
      </c>
      <c r="L170" s="61" t="s">
        <v>559</v>
      </c>
      <c r="M170" s="61" t="s">
        <v>619</v>
      </c>
      <c r="N170" s="61" t="s">
        <v>974</v>
      </c>
      <c r="O170" s="40" t="s">
        <v>1169</v>
      </c>
    </row>
    <row r="171" spans="1:15" x14ac:dyDescent="0.4">
      <c r="A171" s="60">
        <v>168</v>
      </c>
      <c r="B171" s="60">
        <v>2</v>
      </c>
      <c r="C171" s="61" t="str">
        <f>INDEX(Helper!$N$2:$N$4, MATCH(B171, Helper!$M$2:$M$4, 0))</f>
        <v>Intermediate</v>
      </c>
      <c r="D171" s="61" t="s">
        <v>155</v>
      </c>
      <c r="E171" s="61" t="s">
        <v>156</v>
      </c>
      <c r="F171" s="5">
        <v>1</v>
      </c>
      <c r="G171" s="60">
        <v>1</v>
      </c>
      <c r="H171" s="60" t="str">
        <f>INDEX(Helper!$C:$C, MATCH(G171, Helper!$A:$A, 0))</f>
        <v>Standard (EADGBE)</v>
      </c>
      <c r="I171" s="60" t="s">
        <v>628</v>
      </c>
      <c r="J171" s="76" t="s">
        <v>29</v>
      </c>
      <c r="K171" s="60" t="str">
        <f>INDEX(Helper!$F:$F, MATCH(J171, Helper!$E:$E, 0))</f>
        <v>#66E586</v>
      </c>
      <c r="L171" s="61" t="s">
        <v>560</v>
      </c>
      <c r="M171" s="61" t="s">
        <v>619</v>
      </c>
      <c r="N171" s="61" t="s">
        <v>976</v>
      </c>
      <c r="O171" s="40" t="s">
        <v>975</v>
      </c>
    </row>
    <row r="172" spans="1:15" x14ac:dyDescent="0.4">
      <c r="A172" s="60">
        <v>169</v>
      </c>
      <c r="B172" s="60">
        <v>2</v>
      </c>
      <c r="C172" s="61" t="str">
        <f>INDEX(Helper!$N$2:$N$4, MATCH(B172, Helper!$M$2:$M$4, 0))</f>
        <v>Intermediate</v>
      </c>
      <c r="D172" s="61" t="s">
        <v>155</v>
      </c>
      <c r="E172" s="61" t="s">
        <v>157</v>
      </c>
      <c r="F172" s="5">
        <v>0</v>
      </c>
      <c r="G172" s="60">
        <v>1</v>
      </c>
      <c r="H172" s="60" t="str">
        <f>INDEX(Helper!$C:$C, MATCH(G172, Helper!$A:$A, 0))</f>
        <v>Standard (EADGBE)</v>
      </c>
      <c r="I172" s="60" t="s">
        <v>63</v>
      </c>
      <c r="J172" s="76" t="s">
        <v>29</v>
      </c>
      <c r="K172" s="60" t="str">
        <f>INDEX(Helper!$F:$F, MATCH(J172, Helper!$E:$E, 0))</f>
        <v>#66E586</v>
      </c>
      <c r="L172" s="61" t="s">
        <v>561</v>
      </c>
      <c r="M172" s="61" t="s">
        <v>619</v>
      </c>
      <c r="N172" s="61" t="s">
        <v>978</v>
      </c>
      <c r="O172" s="40" t="s">
        <v>977</v>
      </c>
    </row>
    <row r="173" spans="1:15" x14ac:dyDescent="0.4">
      <c r="A173" s="60">
        <v>170</v>
      </c>
      <c r="B173" s="60">
        <v>2</v>
      </c>
      <c r="C173" s="61" t="str">
        <f>INDEX(Helper!$N$2:$N$4, MATCH(B173, Helper!$M$2:$M$4, 0))</f>
        <v>Intermediate</v>
      </c>
      <c r="D173" s="61" t="s">
        <v>123</v>
      </c>
      <c r="E173" s="61" t="s">
        <v>158</v>
      </c>
      <c r="F173" s="5">
        <v>1</v>
      </c>
      <c r="G173" s="60">
        <v>1</v>
      </c>
      <c r="H173" s="60" t="str">
        <f>INDEX(Helper!$C:$C, MATCH(G173, Helper!$A:$A, 0))</f>
        <v>Standard (EADGBE)</v>
      </c>
      <c r="I173" s="60" t="s">
        <v>63</v>
      </c>
      <c r="J173" s="81" t="s">
        <v>13</v>
      </c>
      <c r="K173" s="60" t="str">
        <f>INDEX(Helper!$F:$F, MATCH(J173, Helper!$E:$E, 0))</f>
        <v>#FF4F53</v>
      </c>
      <c r="L173" s="61" t="s">
        <v>562</v>
      </c>
      <c r="M173" s="61" t="s">
        <v>619</v>
      </c>
      <c r="N173" s="61" t="s">
        <v>980</v>
      </c>
      <c r="O173" s="40" t="s">
        <v>1209</v>
      </c>
    </row>
    <row r="174" spans="1:15" x14ac:dyDescent="0.4">
      <c r="A174" s="60">
        <v>171</v>
      </c>
      <c r="B174" s="60">
        <v>2</v>
      </c>
      <c r="C174" s="61" t="str">
        <f>INDEX(Helper!$N$2:$N$4, MATCH(B174, Helper!$M$2:$M$4, 0))</f>
        <v>Intermediate</v>
      </c>
      <c r="D174" s="61" t="s">
        <v>127</v>
      </c>
      <c r="E174" s="61" t="s">
        <v>160</v>
      </c>
      <c r="F174" s="5">
        <v>1</v>
      </c>
      <c r="G174" s="60">
        <v>1</v>
      </c>
      <c r="H174" s="60" t="str">
        <f>INDEX(Helper!$C:$C, MATCH(G174, Helper!$A:$A, 0))</f>
        <v>Standard (EADGBE)</v>
      </c>
      <c r="I174" s="60" t="s">
        <v>623</v>
      </c>
      <c r="J174" s="75" t="s">
        <v>10</v>
      </c>
      <c r="K174" s="60" t="str">
        <f>INDEX(Helper!$F:$F, MATCH(J174, Helper!$E:$E, 0))</f>
        <v>#F5943C</v>
      </c>
      <c r="L174" s="61" t="s">
        <v>563</v>
      </c>
      <c r="M174" s="61" t="s">
        <v>619</v>
      </c>
      <c r="N174" s="61" t="s">
        <v>982</v>
      </c>
      <c r="O174" s="40" t="s">
        <v>981</v>
      </c>
    </row>
    <row r="175" spans="1:15" x14ac:dyDescent="0.4">
      <c r="A175" s="60">
        <v>172</v>
      </c>
      <c r="B175" s="60">
        <v>2</v>
      </c>
      <c r="C175" s="61" t="str">
        <f>INDEX(Helper!$N$2:$N$4, MATCH(B175, Helper!$M$2:$M$4, 0))</f>
        <v>Intermediate</v>
      </c>
      <c r="D175" s="61" t="s">
        <v>132</v>
      </c>
      <c r="E175" s="61" t="s">
        <v>161</v>
      </c>
      <c r="F175" s="5">
        <v>1</v>
      </c>
      <c r="G175" s="60">
        <v>1</v>
      </c>
      <c r="H175" s="60" t="str">
        <f>INDEX(Helper!$C:$C, MATCH(G175, Helper!$A:$A, 0))</f>
        <v>Standard (EADGBE)</v>
      </c>
      <c r="I175" s="60" t="s">
        <v>908</v>
      </c>
      <c r="J175" s="81" t="s">
        <v>13</v>
      </c>
      <c r="K175" s="60" t="str">
        <f>INDEX(Helper!$F:$F, MATCH(J175, Helper!$E:$E, 0))</f>
        <v>#FF4F53</v>
      </c>
      <c r="L175" s="61" t="s">
        <v>564</v>
      </c>
      <c r="M175" s="61" t="s">
        <v>619</v>
      </c>
      <c r="N175" s="62" t="s">
        <v>984</v>
      </c>
      <c r="O175" s="40" t="s">
        <v>983</v>
      </c>
    </row>
    <row r="176" spans="1:15" x14ac:dyDescent="0.4">
      <c r="A176" s="60">
        <v>173</v>
      </c>
      <c r="B176" s="60">
        <v>1</v>
      </c>
      <c r="C176" s="61" t="str">
        <f>INDEX(Helper!$N$2:$N$4, MATCH(B176, Helper!$M$2:$M$4, 0))</f>
        <v>Beginner</v>
      </c>
      <c r="D176" s="61" t="s">
        <v>78</v>
      </c>
      <c r="E176" s="61" t="s">
        <v>162</v>
      </c>
      <c r="F176" s="5">
        <v>1</v>
      </c>
      <c r="G176" s="60">
        <v>2</v>
      </c>
      <c r="H176" s="60" t="str">
        <f>INDEX(Helper!$C:$C, MATCH(G176, Helper!$A:$A, 0))</f>
        <v>Drop D (DADGBE)</v>
      </c>
      <c r="I176" s="60" t="s">
        <v>631</v>
      </c>
      <c r="J176" s="81" t="s">
        <v>13</v>
      </c>
      <c r="K176" s="60" t="str">
        <f>INDEX(Helper!$F:$F, MATCH(J176, Helper!$E:$E, 0))</f>
        <v>#FF4F53</v>
      </c>
      <c r="L176" s="61" t="s">
        <v>565</v>
      </c>
      <c r="M176" s="61" t="s">
        <v>619</v>
      </c>
      <c r="N176" s="61" t="s">
        <v>985</v>
      </c>
      <c r="O176" s="40" t="s">
        <v>1133</v>
      </c>
    </row>
    <row r="177" spans="1:15" x14ac:dyDescent="0.4">
      <c r="A177" s="60">
        <v>174</v>
      </c>
      <c r="B177" s="60">
        <v>2</v>
      </c>
      <c r="C177" s="61" t="str">
        <f>INDEX(Helper!$N$2:$N$4, MATCH(B177, Helper!$M$2:$M$4, 0))</f>
        <v>Intermediate</v>
      </c>
      <c r="D177" s="61" t="s">
        <v>84</v>
      </c>
      <c r="E177" s="61" t="s">
        <v>163</v>
      </c>
      <c r="F177" s="5">
        <v>1</v>
      </c>
      <c r="G177" s="43">
        <v>1</v>
      </c>
      <c r="H177" s="60" t="str">
        <f>INDEX(Helper!$C:$C, MATCH(G177, Helper!$A:$A, 0))</f>
        <v>Standard (EADGBE)</v>
      </c>
      <c r="I177" s="60" t="s">
        <v>60</v>
      </c>
      <c r="J177" s="81" t="s">
        <v>13</v>
      </c>
      <c r="K177" s="60" t="str">
        <f>INDEX(Helper!$F:$F, MATCH(J177, Helper!$E:$E, 0))</f>
        <v>#FF4F53</v>
      </c>
      <c r="L177" s="61" t="s">
        <v>385</v>
      </c>
      <c r="M177" s="61" t="s">
        <v>619</v>
      </c>
      <c r="N177" s="61" t="s">
        <v>987</v>
      </c>
      <c r="O177" s="40" t="s">
        <v>1172</v>
      </c>
    </row>
    <row r="178" spans="1:15" x14ac:dyDescent="0.4">
      <c r="A178" s="60">
        <v>175</v>
      </c>
      <c r="B178" s="60">
        <v>2</v>
      </c>
      <c r="C178" s="61" t="str">
        <f>INDEX(Helper!$N$2:$N$4, MATCH(B178, Helper!$M$2:$M$4, 0))</f>
        <v>Intermediate</v>
      </c>
      <c r="D178" s="61" t="s">
        <v>84</v>
      </c>
      <c r="E178" s="61" t="s">
        <v>164</v>
      </c>
      <c r="F178" s="5">
        <v>0</v>
      </c>
      <c r="G178" s="60">
        <v>1</v>
      </c>
      <c r="H178" s="60" t="str">
        <f>INDEX(Helper!$C:$C, MATCH(G178, Helper!$A:$A, 0))</f>
        <v>Standard (EADGBE)</v>
      </c>
      <c r="I178" s="60" t="s">
        <v>624</v>
      </c>
      <c r="J178" s="81" t="s">
        <v>13</v>
      </c>
      <c r="K178" s="60" t="str">
        <f>INDEX(Helper!$F:$F, MATCH(J178, Helper!$E:$E, 0))</f>
        <v>#FF4F53</v>
      </c>
      <c r="L178" s="61" t="s">
        <v>566</v>
      </c>
      <c r="M178" s="61" t="s">
        <v>619</v>
      </c>
      <c r="N178" s="62" t="s">
        <v>989</v>
      </c>
      <c r="O178" s="40" t="s">
        <v>988</v>
      </c>
    </row>
    <row r="179" spans="1:15" x14ac:dyDescent="0.4">
      <c r="A179" s="60">
        <v>176</v>
      </c>
      <c r="B179" s="60">
        <v>2</v>
      </c>
      <c r="C179" s="61" t="str">
        <f>INDEX(Helper!$N$2:$N$4, MATCH(B179, Helper!$M$2:$M$4, 0))</f>
        <v>Intermediate</v>
      </c>
      <c r="D179" s="61" t="s">
        <v>41</v>
      </c>
      <c r="E179" s="61" t="s">
        <v>165</v>
      </c>
      <c r="F179" s="5">
        <v>1</v>
      </c>
      <c r="G179" s="60">
        <v>1</v>
      </c>
      <c r="H179" s="60" t="str">
        <f>INDEX(Helper!$C:$C, MATCH(G179, Helper!$A:$A, 0))</f>
        <v>Standard (EADGBE)</v>
      </c>
      <c r="I179" s="60" t="s">
        <v>990</v>
      </c>
      <c r="J179" s="75" t="s">
        <v>10</v>
      </c>
      <c r="K179" s="60" t="str">
        <f>INDEX(Helper!$F:$F, MATCH(J179, Helper!$E:$E, 0))</f>
        <v>#F5943C</v>
      </c>
      <c r="L179" s="64" t="s">
        <v>567</v>
      </c>
      <c r="M179" s="61" t="s">
        <v>619</v>
      </c>
      <c r="N179" s="64" t="s">
        <v>998</v>
      </c>
      <c r="O179" s="40" t="s">
        <v>1193</v>
      </c>
    </row>
    <row r="180" spans="1:15" x14ac:dyDescent="0.4">
      <c r="A180" s="60">
        <v>177</v>
      </c>
      <c r="B180" s="60">
        <v>2</v>
      </c>
      <c r="C180" s="61" t="str">
        <f>INDEX(Helper!$N$2:$N$4, MATCH(B180, Helper!$M$2:$M$4, 0))</f>
        <v>Intermediate</v>
      </c>
      <c r="D180" s="61" t="s">
        <v>41</v>
      </c>
      <c r="E180" s="61" t="s">
        <v>166</v>
      </c>
      <c r="F180" s="5">
        <v>0</v>
      </c>
      <c r="G180" s="60">
        <v>3</v>
      </c>
      <c r="H180" s="60" t="str">
        <f>INDEX(Helper!$C:$C, MATCH(G180, Helper!$A:$A, 0))</f>
        <v>Half Step Down (D#G#C#F#A#D#)</v>
      </c>
      <c r="I180" s="60" t="s">
        <v>60</v>
      </c>
      <c r="J180" s="75" t="s">
        <v>10</v>
      </c>
      <c r="K180" s="60" t="str">
        <f>INDEX(Helper!$F:$F, MATCH(J180, Helper!$E:$E, 0))</f>
        <v>#F5943C</v>
      </c>
      <c r="L180" s="61" t="s">
        <v>568</v>
      </c>
      <c r="M180" s="61" t="s">
        <v>619</v>
      </c>
      <c r="N180" s="61" t="s">
        <v>1000</v>
      </c>
      <c r="O180" s="40" t="s">
        <v>999</v>
      </c>
    </row>
    <row r="181" spans="1:15" x14ac:dyDescent="0.4">
      <c r="A181" s="60">
        <v>178</v>
      </c>
      <c r="B181" s="60">
        <v>2</v>
      </c>
      <c r="C181" s="61" t="str">
        <f>INDEX(Helper!$N$2:$N$4, MATCH(B181, Helper!$M$2:$M$4, 0))</f>
        <v>Intermediate</v>
      </c>
      <c r="D181" s="61" t="s">
        <v>41</v>
      </c>
      <c r="E181" s="61" t="s">
        <v>383</v>
      </c>
      <c r="F181" s="5">
        <v>1</v>
      </c>
      <c r="G181" s="60">
        <v>3</v>
      </c>
      <c r="H181" s="60" t="str">
        <f>INDEX(Helper!$C:$C, MATCH(G181, Helper!$A:$A, 0))</f>
        <v>Half Step Down (D#G#C#F#A#D#)</v>
      </c>
      <c r="I181" s="60" t="s">
        <v>908</v>
      </c>
      <c r="J181" s="75" t="s">
        <v>10</v>
      </c>
      <c r="K181" s="60" t="str">
        <f>INDEX(Helper!$F:$F, MATCH(J181, Helper!$E:$E, 0))</f>
        <v>#F5943C</v>
      </c>
      <c r="L181" s="61" t="s">
        <v>384</v>
      </c>
      <c r="M181" s="61" t="s">
        <v>619</v>
      </c>
      <c r="N181" s="61" t="s">
        <v>1002</v>
      </c>
      <c r="O181" s="40" t="s">
        <v>1194</v>
      </c>
    </row>
    <row r="182" spans="1:15" ht="167.6" x14ac:dyDescent="0.4">
      <c r="A182" s="60">
        <v>179</v>
      </c>
      <c r="B182" s="60">
        <v>2</v>
      </c>
      <c r="C182" s="61" t="str">
        <f>INDEX(Helper!$N$2:$N$4, MATCH(B182, Helper!$M$2:$M$4, 0))</f>
        <v>Intermediate</v>
      </c>
      <c r="D182" s="61" t="s">
        <v>42</v>
      </c>
      <c r="E182" s="61" t="s">
        <v>167</v>
      </c>
      <c r="F182" s="5">
        <v>0</v>
      </c>
      <c r="G182" s="60">
        <v>3</v>
      </c>
      <c r="H182" s="60" t="str">
        <f>INDEX(Helper!$C:$C, MATCH(G182, Helper!$A:$A, 0))</f>
        <v>Half Step Down (D#G#C#F#A#D#)</v>
      </c>
      <c r="I182" s="60" t="s">
        <v>68</v>
      </c>
      <c r="J182" s="86" t="s">
        <v>373</v>
      </c>
      <c r="K182" s="60" t="str">
        <f>INDEX(Helper!$F:$F, MATCH(J182, Helper!$E:$E, 0))</f>
        <v>#C476D4</v>
      </c>
      <c r="L182" s="61" t="s">
        <v>569</v>
      </c>
      <c r="M182" s="61" t="s">
        <v>619</v>
      </c>
      <c r="N182" s="61" t="s">
        <v>1003</v>
      </c>
      <c r="O182" s="91" t="s">
        <v>1234</v>
      </c>
    </row>
    <row r="183" spans="1:15" x14ac:dyDescent="0.4">
      <c r="A183" s="60">
        <v>180</v>
      </c>
      <c r="B183" s="60">
        <v>2</v>
      </c>
      <c r="C183" s="61" t="str">
        <f>INDEX(Helper!$N$2:$N$4, MATCH(B183, Helper!$M$2:$M$4, 0))</f>
        <v>Intermediate</v>
      </c>
      <c r="D183" s="61" t="s">
        <v>42</v>
      </c>
      <c r="E183" s="61" t="s">
        <v>168</v>
      </c>
      <c r="F183" s="5">
        <v>1</v>
      </c>
      <c r="G183" s="60">
        <v>1</v>
      </c>
      <c r="H183" s="60" t="str">
        <f>INDEX(Helper!$C:$C, MATCH(G183, Helper!$A:$A, 0))</f>
        <v>Standard (EADGBE)</v>
      </c>
      <c r="I183" s="60" t="s">
        <v>68</v>
      </c>
      <c r="J183" s="86" t="s">
        <v>373</v>
      </c>
      <c r="K183" s="60" t="str">
        <f>INDEX(Helper!$F:$F, MATCH(J183, Helper!$E:$E, 0))</f>
        <v>#C476D4</v>
      </c>
      <c r="L183" s="61" t="s">
        <v>570</v>
      </c>
      <c r="M183" s="61" t="s">
        <v>619</v>
      </c>
      <c r="N183" s="61" t="s">
        <v>1005</v>
      </c>
      <c r="O183" s="40" t="s">
        <v>1170</v>
      </c>
    </row>
    <row r="184" spans="1:15" x14ac:dyDescent="0.4">
      <c r="A184" s="60">
        <v>181</v>
      </c>
      <c r="B184" s="60">
        <v>2</v>
      </c>
      <c r="C184" s="61" t="str">
        <f>INDEX(Helper!$N$2:$N$4, MATCH(B184, Helper!$M$2:$M$4, 0))</f>
        <v>Intermediate</v>
      </c>
      <c r="D184" s="61" t="s">
        <v>88</v>
      </c>
      <c r="E184" s="61" t="s">
        <v>169</v>
      </c>
      <c r="F184" s="5">
        <v>1</v>
      </c>
      <c r="G184" s="60">
        <v>1</v>
      </c>
      <c r="H184" s="60" t="str">
        <f>INDEX(Helper!$C:$C, MATCH(G184, Helper!$A:$A, 0))</f>
        <v>Standard (EADGBE)</v>
      </c>
      <c r="I184" s="60" t="s">
        <v>59</v>
      </c>
      <c r="J184" s="81" t="s">
        <v>13</v>
      </c>
      <c r="K184" s="60" t="str">
        <f>INDEX(Helper!$F:$F, MATCH(J184, Helper!$E:$E, 0))</f>
        <v>#FF4F53</v>
      </c>
      <c r="L184" s="61" t="s">
        <v>571</v>
      </c>
      <c r="M184" s="61" t="s">
        <v>619</v>
      </c>
      <c r="N184" s="61" t="s">
        <v>1007</v>
      </c>
      <c r="O184" s="40" t="s">
        <v>1006</v>
      </c>
    </row>
    <row r="185" spans="1:15" x14ac:dyDescent="0.4">
      <c r="A185" s="60">
        <v>182</v>
      </c>
      <c r="B185" s="60">
        <v>2</v>
      </c>
      <c r="C185" s="61" t="str">
        <f>INDEX(Helper!$N$2:$N$4, MATCH(B185, Helper!$M$2:$M$4, 0))</f>
        <v>Intermediate</v>
      </c>
      <c r="D185" s="61" t="s">
        <v>90</v>
      </c>
      <c r="E185" s="61" t="s">
        <v>170</v>
      </c>
      <c r="F185" s="5">
        <v>1</v>
      </c>
      <c r="G185" s="60">
        <v>1</v>
      </c>
      <c r="H185" s="60" t="str">
        <f>INDEX(Helper!$C:$C, MATCH(G185, Helper!$A:$A, 0))</f>
        <v>Standard (EADGBE)</v>
      </c>
      <c r="I185" s="60" t="s">
        <v>623</v>
      </c>
      <c r="J185" s="81" t="s">
        <v>13</v>
      </c>
      <c r="K185" s="60" t="str">
        <f>INDEX(Helper!$F:$F, MATCH(J185, Helper!$E:$E, 0))</f>
        <v>#FF4F53</v>
      </c>
      <c r="L185" s="61" t="s">
        <v>572</v>
      </c>
      <c r="M185" s="61" t="s">
        <v>619</v>
      </c>
      <c r="N185" s="61" t="s">
        <v>1009</v>
      </c>
      <c r="O185" s="40" t="s">
        <v>1008</v>
      </c>
    </row>
    <row r="186" spans="1:15" x14ac:dyDescent="0.4">
      <c r="A186" s="60">
        <v>183</v>
      </c>
      <c r="B186" s="60">
        <v>2</v>
      </c>
      <c r="C186" s="61" t="str">
        <f>INDEX(Helper!$N$2:$N$4, MATCH(B186, Helper!$M$2:$M$4, 0))</f>
        <v>Intermediate</v>
      </c>
      <c r="D186" s="61" t="s">
        <v>171</v>
      </c>
      <c r="E186" s="61" t="s">
        <v>991</v>
      </c>
      <c r="F186" s="5">
        <v>0</v>
      </c>
      <c r="G186" s="60">
        <v>1</v>
      </c>
      <c r="H186" s="60" t="str">
        <f>INDEX(Helper!$C:$C, MATCH(G186, Helper!$A:$A, 0))</f>
        <v>Standard (EADGBE)</v>
      </c>
      <c r="I186" s="60" t="s">
        <v>65</v>
      </c>
      <c r="J186" s="79" t="s">
        <v>19</v>
      </c>
      <c r="K186" s="60" t="str">
        <f>INDEX(Helper!$F:$F, MATCH(J186, Helper!$E:$E, 0))</f>
        <v>#FFDD21</v>
      </c>
      <c r="L186" s="61" t="s">
        <v>573</v>
      </c>
      <c r="M186" s="61" t="s">
        <v>619</v>
      </c>
      <c r="N186" s="61" t="s">
        <v>1010</v>
      </c>
      <c r="O186" s="40" t="s">
        <v>1216</v>
      </c>
    </row>
    <row r="187" spans="1:15" x14ac:dyDescent="0.4">
      <c r="A187" s="60">
        <v>184</v>
      </c>
      <c r="B187" s="60">
        <v>2</v>
      </c>
      <c r="C187" s="61" t="str">
        <f>INDEX(Helper!$N$2:$N$4, MATCH(B187, Helper!$M$2:$M$4, 0))</f>
        <v>Intermediate</v>
      </c>
      <c r="D187" s="61" t="s">
        <v>36</v>
      </c>
      <c r="E187" s="61" t="s">
        <v>172</v>
      </c>
      <c r="F187" s="5">
        <v>0</v>
      </c>
      <c r="G187" s="60">
        <v>3</v>
      </c>
      <c r="H187" s="60" t="str">
        <f>INDEX(Helper!$C:$C, MATCH(G187, Helper!$A:$A, 0))</f>
        <v>Half Step Down (D#G#C#F#A#D#)</v>
      </c>
      <c r="I187" s="60" t="s">
        <v>908</v>
      </c>
      <c r="J187" s="80" t="s">
        <v>15</v>
      </c>
      <c r="K187" s="60" t="str">
        <f>INDEX(Helper!$F:$F, MATCH(J187, Helper!$E:$E, 0))</f>
        <v>#C2C2A1</v>
      </c>
      <c r="L187" s="61" t="s">
        <v>574</v>
      </c>
      <c r="M187" s="61" t="s">
        <v>619</v>
      </c>
      <c r="N187" s="61" t="s">
        <v>1013</v>
      </c>
      <c r="O187" s="40" t="s">
        <v>1012</v>
      </c>
    </row>
    <row r="188" spans="1:15" x14ac:dyDescent="0.4">
      <c r="A188" s="60">
        <v>185</v>
      </c>
      <c r="B188" s="60">
        <v>1</v>
      </c>
      <c r="C188" s="61" t="str">
        <f>INDEX(Helper!$N$2:$N$4, MATCH(B188, Helper!$M$2:$M$4, 0))</f>
        <v>Beginner</v>
      </c>
      <c r="D188" s="61" t="s">
        <v>36</v>
      </c>
      <c r="E188" s="61" t="s">
        <v>1014</v>
      </c>
      <c r="F188" s="5">
        <v>1</v>
      </c>
      <c r="G188" s="60">
        <v>1</v>
      </c>
      <c r="H188" s="60" t="str">
        <f>INDEX(Helper!$C:$C, MATCH(G188, Helper!$A:$A, 0))</f>
        <v>Standard (EADGBE)</v>
      </c>
      <c r="I188" s="60" t="s">
        <v>68</v>
      </c>
      <c r="J188" s="80" t="s">
        <v>15</v>
      </c>
      <c r="K188" s="60" t="str">
        <f>INDEX(Helper!$F:$F, MATCH(J188, Helper!$E:$E, 0))</f>
        <v>#C2C2A1</v>
      </c>
      <c r="L188" s="61" t="s">
        <v>575</v>
      </c>
      <c r="M188" s="61" t="s">
        <v>619</v>
      </c>
      <c r="N188" s="61" t="s">
        <v>1016</v>
      </c>
      <c r="O188" s="40" t="s">
        <v>1015</v>
      </c>
    </row>
    <row r="189" spans="1:15" x14ac:dyDescent="0.4">
      <c r="A189" s="60">
        <v>186</v>
      </c>
      <c r="B189" s="60">
        <v>1</v>
      </c>
      <c r="C189" s="61" t="str">
        <f>INDEX(Helper!$N$2:$N$4, MATCH(B189, Helper!$M$2:$M$4, 0))</f>
        <v>Beginner</v>
      </c>
      <c r="D189" s="61" t="s">
        <v>36</v>
      </c>
      <c r="E189" s="61" t="s">
        <v>173</v>
      </c>
      <c r="F189" s="5">
        <v>1</v>
      </c>
      <c r="G189" s="60">
        <v>3</v>
      </c>
      <c r="H189" s="60" t="str">
        <f>INDEX(Helper!$C:$C, MATCH(G189, Helper!$A:$A, 0))</f>
        <v>Half Step Down (D#G#C#F#A#D#)</v>
      </c>
      <c r="I189" s="60" t="s">
        <v>992</v>
      </c>
      <c r="J189" s="80" t="s">
        <v>15</v>
      </c>
      <c r="K189" s="60" t="str">
        <f>INDEX(Helper!$F:$F, MATCH(J189, Helper!$E:$E, 0))</f>
        <v>#C2C2A1</v>
      </c>
      <c r="L189" s="61" t="s">
        <v>576</v>
      </c>
      <c r="M189" s="61" t="s">
        <v>619</v>
      </c>
      <c r="N189" s="61" t="s">
        <v>1017</v>
      </c>
      <c r="O189" s="40" t="s">
        <v>1184</v>
      </c>
    </row>
    <row r="190" spans="1:15" x14ac:dyDescent="0.4">
      <c r="A190" s="60">
        <v>187</v>
      </c>
      <c r="B190" s="60">
        <v>2</v>
      </c>
      <c r="C190" s="61" t="str">
        <f>INDEX(Helper!$N$2:$N$4, MATCH(B190, Helper!$M$2:$M$4, 0))</f>
        <v>Intermediate</v>
      </c>
      <c r="D190" s="61" t="s">
        <v>102</v>
      </c>
      <c r="E190" s="61" t="s">
        <v>174</v>
      </c>
      <c r="F190" s="5">
        <v>1</v>
      </c>
      <c r="G190" s="60">
        <v>1</v>
      </c>
      <c r="H190" s="60" t="str">
        <f>INDEX(Helper!$C:$C, MATCH(G190, Helper!$A:$A, 0))</f>
        <v>Standard (EADGBE)</v>
      </c>
      <c r="I190" s="60" t="s">
        <v>66</v>
      </c>
      <c r="J190" s="86" t="s">
        <v>373</v>
      </c>
      <c r="K190" s="60" t="str">
        <f>INDEX(Helper!$F:$F, MATCH(J190, Helper!$E:$E, 0))</f>
        <v>#C476D4</v>
      </c>
      <c r="L190" s="61" t="s">
        <v>577</v>
      </c>
      <c r="M190" s="61" t="s">
        <v>619</v>
      </c>
      <c r="N190" s="61" t="s">
        <v>1020</v>
      </c>
      <c r="O190" s="40" t="s">
        <v>1210</v>
      </c>
    </row>
    <row r="191" spans="1:15" x14ac:dyDescent="0.4">
      <c r="A191" s="60">
        <v>188</v>
      </c>
      <c r="B191" s="60">
        <v>2</v>
      </c>
      <c r="C191" s="61" t="str">
        <f>INDEX(Helper!$N$2:$N$4, MATCH(B191, Helper!$M$2:$M$4, 0))</f>
        <v>Intermediate</v>
      </c>
      <c r="D191" s="61" t="s">
        <v>175</v>
      </c>
      <c r="E191" s="61" t="s">
        <v>176</v>
      </c>
      <c r="F191" s="5">
        <v>1</v>
      </c>
      <c r="G191" s="69">
        <v>1</v>
      </c>
      <c r="H191" s="60" t="str">
        <f>INDEX(Helper!$C:$C, MATCH(G191, Helper!$A:$A, 0))</f>
        <v>Standard (EADGBE)</v>
      </c>
      <c r="I191" s="60" t="s">
        <v>631</v>
      </c>
      <c r="J191" s="79" t="s">
        <v>24</v>
      </c>
      <c r="K191" s="60" t="str">
        <f>INDEX(Helper!$F:$F, MATCH(J191, Helper!$E:$E, 0))</f>
        <v>#F1D764</v>
      </c>
      <c r="L191" s="61" t="s">
        <v>578</v>
      </c>
      <c r="M191" s="61" t="s">
        <v>619</v>
      </c>
      <c r="N191" s="61" t="s">
        <v>1022</v>
      </c>
      <c r="O191" s="40" t="s">
        <v>1221</v>
      </c>
    </row>
    <row r="192" spans="1:15" x14ac:dyDescent="0.4">
      <c r="A192" s="60">
        <v>189</v>
      </c>
      <c r="B192" s="60">
        <v>2</v>
      </c>
      <c r="C192" s="61" t="str">
        <f>INDEX(Helper!$N$2:$N$4, MATCH(B192, Helper!$M$2:$M$4, 0))</f>
        <v>Intermediate</v>
      </c>
      <c r="D192" s="61" t="s">
        <v>175</v>
      </c>
      <c r="E192" s="61" t="s">
        <v>177</v>
      </c>
      <c r="F192" s="5">
        <v>1</v>
      </c>
      <c r="G192" s="60">
        <v>1</v>
      </c>
      <c r="H192" s="60" t="str">
        <f>INDEX(Helper!$C:$C, MATCH(G192, Helper!$A:$A, 0))</f>
        <v>Standard (EADGBE)</v>
      </c>
      <c r="I192" s="60" t="s">
        <v>990</v>
      </c>
      <c r="J192" s="79" t="s">
        <v>24</v>
      </c>
      <c r="K192" s="60" t="str">
        <f>INDEX(Helper!$F:$F, MATCH(J192, Helper!$E:$E, 0))</f>
        <v>#F1D764</v>
      </c>
      <c r="L192" s="61" t="s">
        <v>579</v>
      </c>
      <c r="M192" s="61" t="s">
        <v>619</v>
      </c>
      <c r="N192" s="61" t="s">
        <v>1024</v>
      </c>
      <c r="O192" s="40" t="s">
        <v>1023</v>
      </c>
    </row>
    <row r="193" spans="1:15" x14ac:dyDescent="0.4">
      <c r="A193" s="60">
        <v>190</v>
      </c>
      <c r="B193" s="60">
        <v>2</v>
      </c>
      <c r="C193" s="61" t="str">
        <f>INDEX(Helper!$N$2:$N$4, MATCH(B193, Helper!$M$2:$M$4, 0))</f>
        <v>Intermediate</v>
      </c>
      <c r="D193" s="61" t="s">
        <v>178</v>
      </c>
      <c r="E193" s="61" t="s">
        <v>179</v>
      </c>
      <c r="F193" s="5">
        <v>0</v>
      </c>
      <c r="G193" s="60">
        <v>1</v>
      </c>
      <c r="H193" s="60" t="str">
        <f>INDEX(Helper!$C:$C, MATCH(G193, Helper!$A:$A, 0))</f>
        <v>Standard (EADGBE)</v>
      </c>
      <c r="I193" s="60" t="s">
        <v>395</v>
      </c>
      <c r="J193" s="81" t="s">
        <v>13</v>
      </c>
      <c r="K193" s="60" t="str">
        <f>INDEX(Helper!$F:$F, MATCH(J193, Helper!$E:$E, 0))</f>
        <v>#FF4F53</v>
      </c>
      <c r="L193" s="61" t="s">
        <v>580</v>
      </c>
      <c r="M193" s="61" t="s">
        <v>619</v>
      </c>
      <c r="N193" s="62" t="s">
        <v>1084</v>
      </c>
      <c r="O193" s="40" t="s">
        <v>1224</v>
      </c>
    </row>
    <row r="194" spans="1:15" x14ac:dyDescent="0.4">
      <c r="A194" s="60">
        <v>191</v>
      </c>
      <c r="B194" s="60">
        <v>2</v>
      </c>
      <c r="C194" s="61" t="str">
        <f>INDEX(Helper!$N$2:$N$4, MATCH(B194, Helper!$M$2:$M$4, 0))</f>
        <v>Intermediate</v>
      </c>
      <c r="D194" s="61" t="s">
        <v>110</v>
      </c>
      <c r="E194" s="61" t="s">
        <v>180</v>
      </c>
      <c r="F194" s="5">
        <v>1</v>
      </c>
      <c r="G194" s="60">
        <v>9</v>
      </c>
      <c r="H194" s="60" t="str">
        <f>INDEX(Helper!$C:$C, MATCH(G194, Helper!$A:$A, 0))</f>
        <v>C#G#C#F#A#D#</v>
      </c>
      <c r="I194" s="60" t="s">
        <v>908</v>
      </c>
      <c r="J194" s="87" t="s">
        <v>27</v>
      </c>
      <c r="K194" s="60" t="str">
        <f>INDEX(Helper!$F:$F, MATCH(J194, Helper!$E:$E, 0))</f>
        <v>#B2DB4B</v>
      </c>
      <c r="L194" s="61" t="s">
        <v>581</v>
      </c>
      <c r="M194" s="61" t="s">
        <v>619</v>
      </c>
      <c r="N194" s="61" t="s">
        <v>1086</v>
      </c>
      <c r="O194" s="40" t="s">
        <v>1085</v>
      </c>
    </row>
    <row r="195" spans="1:15" x14ac:dyDescent="0.4">
      <c r="A195" s="60">
        <v>192</v>
      </c>
      <c r="B195" s="60">
        <v>2</v>
      </c>
      <c r="C195" s="61" t="str">
        <f>INDEX(Helper!$N$2:$N$4, MATCH(B195, Helper!$M$2:$M$4, 0))</f>
        <v>Intermediate</v>
      </c>
      <c r="D195" s="61" t="s">
        <v>181</v>
      </c>
      <c r="E195" s="61" t="s">
        <v>182</v>
      </c>
      <c r="F195" s="5">
        <v>0</v>
      </c>
      <c r="G195" s="60">
        <v>9</v>
      </c>
      <c r="H195" s="60" t="str">
        <f>INDEX(Helper!$C:$C, MATCH(G195, Helper!$A:$A, 0))</f>
        <v>C#G#C#F#A#D#</v>
      </c>
      <c r="I195" s="60" t="s">
        <v>990</v>
      </c>
      <c r="J195" s="80" t="s">
        <v>15</v>
      </c>
      <c r="K195" s="60" t="str">
        <f>INDEX(Helper!$F:$F, MATCH(J195, Helper!$E:$E, 0))</f>
        <v>#C2C2A1</v>
      </c>
      <c r="L195" s="61" t="s">
        <v>582</v>
      </c>
      <c r="M195" s="61" t="s">
        <v>648</v>
      </c>
      <c r="N195" s="61" t="s">
        <v>1087</v>
      </c>
      <c r="O195" s="40" t="s">
        <v>1187</v>
      </c>
    </row>
    <row r="196" spans="1:15" x14ac:dyDescent="0.4">
      <c r="A196" s="60">
        <v>193</v>
      </c>
      <c r="B196" s="60">
        <v>2</v>
      </c>
      <c r="C196" s="61" t="str">
        <f>INDEX(Helper!$N$2:$N$4, MATCH(B196, Helper!$M$2:$M$4, 0))</f>
        <v>Intermediate</v>
      </c>
      <c r="D196" s="61" t="s">
        <v>181</v>
      </c>
      <c r="E196" s="61" t="s">
        <v>183</v>
      </c>
      <c r="F196" s="5">
        <v>0</v>
      </c>
      <c r="G196" s="60">
        <v>9</v>
      </c>
      <c r="H196" s="60" t="str">
        <f>INDEX(Helper!$C:$C, MATCH(G196, Helper!$A:$A, 0))</f>
        <v>C#G#C#F#A#D#</v>
      </c>
      <c r="I196" s="60" t="s">
        <v>395</v>
      </c>
      <c r="J196" s="80" t="s">
        <v>15</v>
      </c>
      <c r="K196" s="60" t="str">
        <f>INDEX(Helper!$F:$F, MATCH(J196, Helper!$E:$E, 0))</f>
        <v>#C2C2A1</v>
      </c>
      <c r="L196" s="61" t="s">
        <v>583</v>
      </c>
      <c r="M196" s="61" t="s">
        <v>619</v>
      </c>
      <c r="N196" s="62" t="s">
        <v>1089</v>
      </c>
      <c r="O196" s="40" t="s">
        <v>1146</v>
      </c>
    </row>
    <row r="197" spans="1:15" x14ac:dyDescent="0.4">
      <c r="A197" s="60">
        <v>194</v>
      </c>
      <c r="B197" s="60">
        <v>2</v>
      </c>
      <c r="C197" s="61" t="str">
        <f>INDEX(Helper!$N$2:$N$4, MATCH(B197, Helper!$M$2:$M$4, 0))</f>
        <v>Intermediate</v>
      </c>
      <c r="D197" s="61" t="s">
        <v>118</v>
      </c>
      <c r="E197" s="61" t="s">
        <v>185</v>
      </c>
      <c r="F197" s="5">
        <v>0</v>
      </c>
      <c r="G197" s="60">
        <v>1</v>
      </c>
      <c r="H197" s="60" t="str">
        <f>INDEX(Helper!$C:$C, MATCH(G197, Helper!$A:$A, 0))</f>
        <v>Standard (EADGBE)</v>
      </c>
      <c r="I197" s="60" t="s">
        <v>631</v>
      </c>
      <c r="J197" s="77" t="s">
        <v>11</v>
      </c>
      <c r="K197" s="60" t="str">
        <f>INDEX(Helper!$F:$F, MATCH(J197, Helper!$E:$E, 0))</f>
        <v>#E8AD1D</v>
      </c>
      <c r="L197" s="61" t="s">
        <v>584</v>
      </c>
      <c r="M197" s="61" t="s">
        <v>619</v>
      </c>
      <c r="N197" s="61" t="s">
        <v>1091</v>
      </c>
      <c r="O197" s="40" t="s">
        <v>1171</v>
      </c>
    </row>
    <row r="198" spans="1:15" x14ac:dyDescent="0.4">
      <c r="A198" s="60">
        <v>195</v>
      </c>
      <c r="B198" s="60">
        <v>2</v>
      </c>
      <c r="C198" s="61" t="str">
        <f>INDEX(Helper!$N$2:$N$4, MATCH(B198, Helper!$M$2:$M$4, 0))</f>
        <v>Intermediate</v>
      </c>
      <c r="D198" s="61" t="s">
        <v>186</v>
      </c>
      <c r="E198" s="61" t="s">
        <v>187</v>
      </c>
      <c r="F198" s="5">
        <v>0</v>
      </c>
      <c r="G198" s="60">
        <v>1</v>
      </c>
      <c r="H198" s="60" t="str">
        <f>INDEX(Helper!$C:$C, MATCH(G198, Helper!$A:$A, 0))</f>
        <v>Standard (EADGBE)</v>
      </c>
      <c r="I198" s="60" t="s">
        <v>62</v>
      </c>
      <c r="J198" s="75" t="s">
        <v>10</v>
      </c>
      <c r="K198" s="60" t="str">
        <f>INDEX(Helper!$F:$F, MATCH(J198, Helper!$E:$E, 0))</f>
        <v>#F5943C</v>
      </c>
      <c r="L198" s="61" t="s">
        <v>585</v>
      </c>
      <c r="M198" s="61" t="s">
        <v>619</v>
      </c>
      <c r="N198" s="61" t="s">
        <v>1092</v>
      </c>
      <c r="O198" s="40" t="s">
        <v>1094</v>
      </c>
    </row>
    <row r="199" spans="1:15" x14ac:dyDescent="0.4">
      <c r="A199" s="60">
        <v>196</v>
      </c>
      <c r="B199" s="60">
        <v>2</v>
      </c>
      <c r="C199" s="61" t="str">
        <f>INDEX(Helper!$N$2:$N$4, MATCH(B199, Helper!$M$2:$M$4, 0))</f>
        <v>Intermediate</v>
      </c>
      <c r="D199" s="61" t="s">
        <v>186</v>
      </c>
      <c r="E199" s="61" t="s">
        <v>188</v>
      </c>
      <c r="F199" s="5">
        <v>1</v>
      </c>
      <c r="G199" s="60">
        <v>1</v>
      </c>
      <c r="H199" s="60" t="str">
        <f>INDEX(Helper!$C:$C, MATCH(G199, Helper!$A:$A, 0))</f>
        <v>Standard (EADGBE)</v>
      </c>
      <c r="I199" s="60" t="s">
        <v>64</v>
      </c>
      <c r="J199" s="75" t="s">
        <v>10</v>
      </c>
      <c r="K199" s="60" t="str">
        <f>INDEX(Helper!$F:$F, MATCH(J199, Helper!$E:$E, 0))</f>
        <v>#F5943C</v>
      </c>
      <c r="L199" s="61" t="s">
        <v>586</v>
      </c>
      <c r="M199" s="61" t="s">
        <v>619</v>
      </c>
      <c r="N199" s="61" t="s">
        <v>1093</v>
      </c>
      <c r="O199" s="40" t="s">
        <v>1126</v>
      </c>
    </row>
    <row r="200" spans="1:15" x14ac:dyDescent="0.4">
      <c r="A200" s="60">
        <v>197</v>
      </c>
      <c r="B200" s="60">
        <v>2</v>
      </c>
      <c r="C200" s="61" t="str">
        <f>INDEX(Helper!$N$2:$N$4, MATCH(B200, Helper!$M$2:$M$4, 0))</f>
        <v>Intermediate</v>
      </c>
      <c r="D200" s="61" t="s">
        <v>121</v>
      </c>
      <c r="E200" s="61" t="s">
        <v>189</v>
      </c>
      <c r="F200" s="5">
        <v>0</v>
      </c>
      <c r="G200" s="60">
        <v>3</v>
      </c>
      <c r="H200" s="60" t="str">
        <f>INDEX(Helper!$C:$C, MATCH(G200, Helper!$A:$A, 0))</f>
        <v>Half Step Down (D#G#C#F#A#D#)</v>
      </c>
      <c r="I200" s="60" t="s">
        <v>70</v>
      </c>
      <c r="J200" s="75" t="s">
        <v>10</v>
      </c>
      <c r="K200" s="60" t="str">
        <f>INDEX(Helper!$F:$F, MATCH(J200, Helper!$E:$E, 0))</f>
        <v>#F5943C</v>
      </c>
      <c r="L200" s="61" t="s">
        <v>587</v>
      </c>
      <c r="M200" s="61" t="s">
        <v>619</v>
      </c>
      <c r="N200" s="61" t="s">
        <v>1096</v>
      </c>
      <c r="O200" s="40" t="s">
        <v>1175</v>
      </c>
    </row>
    <row r="201" spans="1:15" x14ac:dyDescent="0.4">
      <c r="A201" s="60">
        <v>198</v>
      </c>
      <c r="B201" s="60">
        <v>2</v>
      </c>
      <c r="C201" s="61" t="str">
        <f>INDEX(Helper!$N$2:$N$4, MATCH(B201, Helper!$M$2:$M$4, 0))</f>
        <v>Intermediate</v>
      </c>
      <c r="D201" s="61" t="s">
        <v>127</v>
      </c>
      <c r="E201" s="61" t="s">
        <v>190</v>
      </c>
      <c r="F201" s="5">
        <v>1</v>
      </c>
      <c r="G201" s="60">
        <v>1</v>
      </c>
      <c r="H201" s="60" t="str">
        <f>INDEX(Helper!$C:$C, MATCH(G201, Helper!$A:$A, 0))</f>
        <v>Standard (EADGBE)</v>
      </c>
      <c r="I201" s="60" t="s">
        <v>395</v>
      </c>
      <c r="J201" s="75" t="s">
        <v>10</v>
      </c>
      <c r="K201" s="60" t="str">
        <f>INDEX(Helper!$F:$F, MATCH(J201, Helper!$E:$E, 0))</f>
        <v>#F5943C</v>
      </c>
      <c r="L201" s="61" t="s">
        <v>588</v>
      </c>
      <c r="M201" s="61" t="s">
        <v>619</v>
      </c>
      <c r="N201" s="61" t="s">
        <v>1098</v>
      </c>
      <c r="O201" s="40" t="s">
        <v>1097</v>
      </c>
    </row>
    <row r="202" spans="1:15" x14ac:dyDescent="0.4">
      <c r="A202" s="60">
        <v>199</v>
      </c>
      <c r="B202" s="60">
        <v>2</v>
      </c>
      <c r="C202" s="61" t="str">
        <f>INDEX(Helper!$N$2:$N$4, MATCH(B202, Helper!$M$2:$M$4, 0))</f>
        <v>Intermediate</v>
      </c>
      <c r="D202" s="61" t="s">
        <v>138</v>
      </c>
      <c r="E202" s="61" t="s">
        <v>1099</v>
      </c>
      <c r="F202" s="5">
        <v>0</v>
      </c>
      <c r="G202" s="60">
        <v>1</v>
      </c>
      <c r="H202" s="60" t="str">
        <f>INDEX(Helper!$C:$C, MATCH(G202, Helper!$A:$A, 0))</f>
        <v>Standard (EADGBE)</v>
      </c>
      <c r="I202" s="60" t="s">
        <v>66</v>
      </c>
      <c r="J202" s="83" t="s">
        <v>12</v>
      </c>
      <c r="K202" s="60" t="str">
        <f>INDEX(Helper!$F:$F, MATCH(J202, Helper!$E:$E, 0))</f>
        <v>#FFE129</v>
      </c>
      <c r="L202" s="61" t="s">
        <v>381</v>
      </c>
      <c r="M202" s="61" t="s">
        <v>619</v>
      </c>
      <c r="N202" s="61" t="s">
        <v>1101</v>
      </c>
      <c r="O202" s="40" t="s">
        <v>1100</v>
      </c>
    </row>
    <row r="203" spans="1:15" x14ac:dyDescent="0.4">
      <c r="A203" s="60">
        <v>200</v>
      </c>
      <c r="B203" s="60">
        <v>2</v>
      </c>
      <c r="C203" s="61" t="str">
        <f>INDEX(Helper!$N$2:$N$4, MATCH(B203, Helper!$M$2:$M$4, 0))</f>
        <v>Intermediate</v>
      </c>
      <c r="D203" s="61" t="s">
        <v>142</v>
      </c>
      <c r="E203" s="61" t="s">
        <v>191</v>
      </c>
      <c r="F203" s="5">
        <v>1</v>
      </c>
      <c r="G203" s="60">
        <v>13</v>
      </c>
      <c r="H203" s="60" t="str">
        <f>INDEX(Helper!$C:$C, MATCH(G203, Helper!$A:$A, 0))</f>
        <v>C Standard (CFA#D#GC)</v>
      </c>
      <c r="I203" s="60" t="s">
        <v>64</v>
      </c>
      <c r="J203" s="77" t="s">
        <v>11</v>
      </c>
      <c r="K203" s="60" t="str">
        <f>INDEX(Helper!$F:$F, MATCH(J203, Helper!$E:$E, 0))</f>
        <v>#E8AD1D</v>
      </c>
      <c r="L203" s="61" t="s">
        <v>589</v>
      </c>
      <c r="M203" s="61" t="s">
        <v>619</v>
      </c>
      <c r="N203" s="61" t="s">
        <v>1104</v>
      </c>
      <c r="O203" s="40" t="s">
        <v>1147</v>
      </c>
    </row>
    <row r="204" spans="1:15" x14ac:dyDescent="0.4">
      <c r="A204" s="60">
        <v>201</v>
      </c>
      <c r="B204" s="60">
        <v>2</v>
      </c>
      <c r="C204" s="61" t="str">
        <f>INDEX(Helper!$N$2:$N$4, MATCH(B204, Helper!$M$2:$M$4, 0))</f>
        <v>Intermediate</v>
      </c>
      <c r="D204" s="61" t="s">
        <v>144</v>
      </c>
      <c r="E204" s="61" t="s">
        <v>192</v>
      </c>
      <c r="F204" s="5">
        <v>1</v>
      </c>
      <c r="G204" s="60">
        <v>2</v>
      </c>
      <c r="H204" s="60" t="str">
        <f>INDEX(Helper!$C:$C, MATCH(G204, Helper!$A:$A, 0))</f>
        <v>Drop D (DADGBE)</v>
      </c>
      <c r="I204" s="60" t="s">
        <v>631</v>
      </c>
      <c r="J204" s="80" t="s">
        <v>15</v>
      </c>
      <c r="K204" s="60" t="str">
        <f>INDEX(Helper!$F:$F, MATCH(J204, Helper!$E:$E, 0))</f>
        <v>#C2C2A1</v>
      </c>
      <c r="L204" s="61" t="s">
        <v>380</v>
      </c>
      <c r="M204" s="61" t="s">
        <v>619</v>
      </c>
      <c r="N204" s="92" t="s">
        <v>1231</v>
      </c>
      <c r="O204" s="40" t="s">
        <v>1232</v>
      </c>
    </row>
    <row r="205" spans="1:15" x14ac:dyDescent="0.4">
      <c r="A205" s="60">
        <v>202</v>
      </c>
      <c r="B205" s="60">
        <v>2</v>
      </c>
      <c r="C205" s="61" t="str">
        <f>INDEX(Helper!$N$2:$N$4, MATCH(B205, Helper!$M$2:$M$4, 0))</f>
        <v>Intermediate</v>
      </c>
      <c r="D205" s="61" t="s">
        <v>146</v>
      </c>
      <c r="E205" s="61" t="s">
        <v>193</v>
      </c>
      <c r="F205" s="5">
        <v>1</v>
      </c>
      <c r="G205" s="60">
        <v>1</v>
      </c>
      <c r="H205" s="60" t="str">
        <f>INDEX(Helper!$C:$C, MATCH(G205, Helper!$A:$A, 0))</f>
        <v>Standard (EADGBE)</v>
      </c>
      <c r="I205" s="60" t="s">
        <v>64</v>
      </c>
      <c r="J205" s="81" t="s">
        <v>13</v>
      </c>
      <c r="K205" s="60" t="str">
        <f>INDEX(Helper!$F:$F, MATCH(J205, Helper!$E:$E, 0))</f>
        <v>#FF4F53</v>
      </c>
      <c r="L205" s="61" t="s">
        <v>590</v>
      </c>
      <c r="M205" s="61" t="s">
        <v>619</v>
      </c>
      <c r="N205" s="61" t="s">
        <v>1108</v>
      </c>
      <c r="O205" s="40" t="s">
        <v>1107</v>
      </c>
    </row>
    <row r="206" spans="1:15" x14ac:dyDescent="0.4">
      <c r="A206" s="60">
        <v>203</v>
      </c>
      <c r="B206" s="60">
        <v>1</v>
      </c>
      <c r="C206" s="61" t="str">
        <f>INDEX(Helper!$N$2:$N$4, MATCH(B206, Helper!$M$2:$M$4, 0))</f>
        <v>Beginner</v>
      </c>
      <c r="D206" s="61" t="s">
        <v>148</v>
      </c>
      <c r="E206" s="61" t="s">
        <v>196</v>
      </c>
      <c r="F206" s="5">
        <v>0</v>
      </c>
      <c r="G206" s="69">
        <v>9</v>
      </c>
      <c r="H206" s="60" t="str">
        <f>INDEX(Helper!$C:$C, MATCH(G206, Helper!$A:$A, 0))</f>
        <v>C#G#C#F#A#D#</v>
      </c>
      <c r="I206" s="60" t="s">
        <v>395</v>
      </c>
      <c r="J206" s="80" t="s">
        <v>15</v>
      </c>
      <c r="K206" s="60" t="str">
        <f>INDEX(Helper!$F:$F, MATCH(J206, Helper!$E:$E, 0))</f>
        <v>#C2C2A1</v>
      </c>
      <c r="L206" s="61" t="s">
        <v>379</v>
      </c>
      <c r="M206" s="61" t="s">
        <v>619</v>
      </c>
      <c r="N206" s="62" t="s">
        <v>965</v>
      </c>
      <c r="O206" s="40" t="s">
        <v>964</v>
      </c>
    </row>
    <row r="207" spans="1:15" x14ac:dyDescent="0.4">
      <c r="A207" s="60">
        <v>204</v>
      </c>
      <c r="B207" s="60">
        <v>2</v>
      </c>
      <c r="C207" s="61" t="str">
        <f>INDEX(Helper!$N$2:$N$4, MATCH(B207, Helper!$M$2:$M$4, 0))</f>
        <v>Intermediate</v>
      </c>
      <c r="D207" s="61" t="s">
        <v>81</v>
      </c>
      <c r="E207" s="61" t="s">
        <v>197</v>
      </c>
      <c r="F207" s="5">
        <v>0</v>
      </c>
      <c r="G207" s="60">
        <v>1</v>
      </c>
      <c r="H207" s="60" t="str">
        <f>INDEX(Helper!$C:$C, MATCH(G207, Helper!$A:$A, 0))</f>
        <v>Standard (EADGBE)</v>
      </c>
      <c r="I207" s="60" t="s">
        <v>65</v>
      </c>
      <c r="J207" s="81" t="s">
        <v>13</v>
      </c>
      <c r="K207" s="60" t="str">
        <f>INDEX(Helper!$F:$F, MATCH(J207, Helper!$E:$E, 0))</f>
        <v>#FF4F53</v>
      </c>
      <c r="L207" s="61" t="s">
        <v>591</v>
      </c>
      <c r="M207" s="61" t="s">
        <v>619</v>
      </c>
      <c r="N207" s="61" t="s">
        <v>1028</v>
      </c>
      <c r="O207" s="40" t="s">
        <v>1027</v>
      </c>
    </row>
    <row r="208" spans="1:15" x14ac:dyDescent="0.4">
      <c r="A208" s="60">
        <v>205</v>
      </c>
      <c r="B208" s="60">
        <v>2</v>
      </c>
      <c r="C208" s="61" t="str">
        <f>INDEX(Helper!$N$2:$N$4, MATCH(B208, Helper!$M$2:$M$4, 0))</f>
        <v>Intermediate</v>
      </c>
      <c r="D208" s="61" t="s">
        <v>81</v>
      </c>
      <c r="E208" s="61" t="s">
        <v>198</v>
      </c>
      <c r="F208" s="5">
        <v>1</v>
      </c>
      <c r="G208" s="60">
        <v>1</v>
      </c>
      <c r="H208" s="60" t="str">
        <f>INDEX(Helper!$C:$C, MATCH(G208, Helper!$A:$A, 0))</f>
        <v>Standard (EADGBE)</v>
      </c>
      <c r="I208" s="60" t="s">
        <v>66</v>
      </c>
      <c r="J208" s="81" t="s">
        <v>13</v>
      </c>
      <c r="K208" s="60" t="str">
        <f>INDEX(Helper!$F:$F, MATCH(J208, Helper!$E:$E, 0))</f>
        <v>#FF4F53</v>
      </c>
      <c r="L208" s="61" t="s">
        <v>1238</v>
      </c>
      <c r="M208" s="61" t="s">
        <v>619</v>
      </c>
      <c r="N208" s="62" t="s">
        <v>1082</v>
      </c>
      <c r="O208" s="40" t="s">
        <v>1029</v>
      </c>
    </row>
    <row r="209" spans="1:15" x14ac:dyDescent="0.4">
      <c r="A209" s="60">
        <v>206</v>
      </c>
      <c r="B209" s="60">
        <v>2</v>
      </c>
      <c r="C209" s="61" t="str">
        <f>INDEX(Helper!$N$2:$N$4, MATCH(B209, Helper!$M$2:$M$4, 0))</f>
        <v>Intermediate</v>
      </c>
      <c r="D209" s="61" t="s">
        <v>81</v>
      </c>
      <c r="E209" s="61" t="s">
        <v>199</v>
      </c>
      <c r="F209" s="5">
        <v>0</v>
      </c>
      <c r="G209" s="60">
        <v>1</v>
      </c>
      <c r="H209" s="60" t="str">
        <f>INDEX(Helper!$C:$C, MATCH(G209, Helper!$A:$A, 0))</f>
        <v>Standard (EADGBE)</v>
      </c>
      <c r="I209" s="60" t="s">
        <v>628</v>
      </c>
      <c r="J209" s="81" t="s">
        <v>13</v>
      </c>
      <c r="K209" s="60" t="str">
        <f>INDEX(Helper!$F:$F, MATCH(J209, Helper!$E:$E, 0))</f>
        <v>#FF4F53</v>
      </c>
      <c r="L209" s="61" t="s">
        <v>593</v>
      </c>
      <c r="M209" s="61" t="s">
        <v>619</v>
      </c>
      <c r="N209" s="61" t="s">
        <v>1031</v>
      </c>
      <c r="O209" s="40" t="s">
        <v>1030</v>
      </c>
    </row>
    <row r="210" spans="1:15" x14ac:dyDescent="0.4">
      <c r="A210" s="60">
        <v>207</v>
      </c>
      <c r="B210" s="60">
        <v>2</v>
      </c>
      <c r="C210" s="61" t="str">
        <f>INDEX(Helper!$N$2:$N$4, MATCH(B210, Helper!$M$2:$M$4, 0))</f>
        <v>Intermediate</v>
      </c>
      <c r="D210" s="61" t="s">
        <v>388</v>
      </c>
      <c r="E210" s="61" t="s">
        <v>1034</v>
      </c>
      <c r="F210" s="5">
        <v>1</v>
      </c>
      <c r="G210" s="60">
        <v>1</v>
      </c>
      <c r="H210" s="60" t="str">
        <f>INDEX(Helper!$C:$C, MATCH(G210, Helper!$A:$A, 0))</f>
        <v>Standard (EADGBE)</v>
      </c>
      <c r="I210" s="60" t="s">
        <v>67</v>
      </c>
      <c r="J210" s="75" t="s">
        <v>10</v>
      </c>
      <c r="K210" s="60" t="str">
        <f>INDEX(Helper!$F:$F, MATCH(J210, Helper!$E:$E, 0))</f>
        <v>#F5943C</v>
      </c>
      <c r="L210" s="61" t="s">
        <v>594</v>
      </c>
      <c r="M210" s="61" t="s">
        <v>619</v>
      </c>
      <c r="N210" s="61" t="s">
        <v>1033</v>
      </c>
      <c r="O210" s="40" t="s">
        <v>1032</v>
      </c>
    </row>
    <row r="211" spans="1:15" x14ac:dyDescent="0.4">
      <c r="A211" s="60">
        <v>208</v>
      </c>
      <c r="B211" s="60">
        <v>3</v>
      </c>
      <c r="C211" s="61" t="str">
        <f>INDEX(Helper!$N$2:$N$4, MATCH(B211, Helper!$M$2:$M$4, 0))</f>
        <v>Advanced</v>
      </c>
      <c r="D211" s="61" t="s">
        <v>388</v>
      </c>
      <c r="E211" s="61" t="s">
        <v>1035</v>
      </c>
      <c r="F211" s="5">
        <v>1</v>
      </c>
      <c r="G211" s="60">
        <v>1</v>
      </c>
      <c r="H211" s="60" t="str">
        <f>INDEX(Helper!$C:$C, MATCH(G211, Helper!$A:$A, 0))</f>
        <v>Standard (EADGBE)</v>
      </c>
      <c r="I211" s="60" t="s">
        <v>63</v>
      </c>
      <c r="J211" s="75" t="s">
        <v>10</v>
      </c>
      <c r="K211" s="60" t="str">
        <f>INDEX(Helper!$F:$F, MATCH(J211, Helper!$E:$E, 0))</f>
        <v>#F5943C</v>
      </c>
      <c r="L211" s="61" t="s">
        <v>595</v>
      </c>
      <c r="M211" s="61" t="s">
        <v>619</v>
      </c>
      <c r="N211" s="62" t="s">
        <v>1040</v>
      </c>
      <c r="O211" s="40" t="s">
        <v>1218</v>
      </c>
    </row>
    <row r="212" spans="1:15" x14ac:dyDescent="0.4">
      <c r="A212" s="60">
        <v>209</v>
      </c>
      <c r="B212" s="60">
        <v>3</v>
      </c>
      <c r="C212" s="61" t="str">
        <f>INDEX(Helper!$N$2:$N$4, MATCH(B212, Helper!$M$2:$M$4, 0))</f>
        <v>Advanced</v>
      </c>
      <c r="D212" s="61" t="s">
        <v>388</v>
      </c>
      <c r="E212" s="61" t="s">
        <v>472</v>
      </c>
      <c r="F212" s="5">
        <v>0</v>
      </c>
      <c r="G212" s="60">
        <v>3</v>
      </c>
      <c r="H212" s="60" t="str">
        <f>INDEX(Helper!$C:$C, MATCH(G212, Helper!$A:$A, 0))</f>
        <v>Half Step Down (D#G#C#F#A#D#)</v>
      </c>
      <c r="I212" s="60" t="s">
        <v>908</v>
      </c>
      <c r="J212" s="75" t="s">
        <v>10</v>
      </c>
      <c r="K212" s="60" t="str">
        <f>INDEX(Helper!$F:$F, MATCH(J212, Helper!$E:$E, 0))</f>
        <v>#F5943C</v>
      </c>
      <c r="L212" s="61" t="s">
        <v>596</v>
      </c>
      <c r="M212" s="61" t="s">
        <v>619</v>
      </c>
      <c r="N212" s="61" t="s">
        <v>1038</v>
      </c>
      <c r="O212" s="40" t="s">
        <v>1037</v>
      </c>
    </row>
    <row r="213" spans="1:15" x14ac:dyDescent="0.4">
      <c r="A213" s="60">
        <v>210</v>
      </c>
      <c r="B213" s="60">
        <v>3</v>
      </c>
      <c r="C213" s="61" t="str">
        <f>INDEX(Helper!$N$2:$N$4, MATCH(B213, Helper!$M$2:$M$4, 0))</f>
        <v>Advanced</v>
      </c>
      <c r="D213" s="61" t="s">
        <v>41</v>
      </c>
      <c r="E213" s="61" t="s">
        <v>200</v>
      </c>
      <c r="F213" s="5">
        <v>0</v>
      </c>
      <c r="G213" s="60">
        <v>3</v>
      </c>
      <c r="H213" s="60" t="str">
        <f>INDEX(Helper!$C:$C, MATCH(G213, Helper!$A:$A, 0))</f>
        <v>Half Step Down (D#G#C#F#A#D#)</v>
      </c>
      <c r="I213" s="60" t="s">
        <v>68</v>
      </c>
      <c r="J213" s="75" t="s">
        <v>10</v>
      </c>
      <c r="K213" s="60" t="str">
        <f>INDEX(Helper!$F:$F, MATCH(J213, Helper!$E:$E, 0))</f>
        <v>#F5943C</v>
      </c>
      <c r="L213" s="61" t="s">
        <v>597</v>
      </c>
      <c r="M213" s="61" t="s">
        <v>619</v>
      </c>
      <c r="N213" s="61" t="s">
        <v>1039</v>
      </c>
      <c r="O213" s="40" t="s">
        <v>1143</v>
      </c>
    </row>
    <row r="214" spans="1:15" x14ac:dyDescent="0.4">
      <c r="A214" s="60">
        <v>211</v>
      </c>
      <c r="B214" s="60">
        <v>3</v>
      </c>
      <c r="C214" s="61" t="str">
        <f>INDEX(Helper!$N$2:$N$4, MATCH(B214, Helper!$M$2:$M$4, 0))</f>
        <v>Advanced</v>
      </c>
      <c r="D214" s="61" t="s">
        <v>99</v>
      </c>
      <c r="E214" s="61" t="s">
        <v>201</v>
      </c>
      <c r="F214" s="5">
        <v>1</v>
      </c>
      <c r="G214" s="60">
        <v>3</v>
      </c>
      <c r="H214" s="60" t="str">
        <f>INDEX(Helper!$C:$C, MATCH(G214, Helper!$A:$A, 0))</f>
        <v>Half Step Down (D#G#C#F#A#D#)</v>
      </c>
      <c r="I214" s="60" t="s">
        <v>908</v>
      </c>
      <c r="J214" s="75" t="s">
        <v>10</v>
      </c>
      <c r="K214" s="60" t="str">
        <f>INDEX(Helper!$F:$F, MATCH(J214, Helper!$E:$E, 0))</f>
        <v>#F5943C</v>
      </c>
      <c r="L214" s="61" t="s">
        <v>598</v>
      </c>
      <c r="M214" s="61" t="s">
        <v>619</v>
      </c>
      <c r="N214" s="61" t="s">
        <v>1041</v>
      </c>
      <c r="O214" s="40" t="s">
        <v>1227</v>
      </c>
    </row>
    <row r="215" spans="1:15" x14ac:dyDescent="0.4">
      <c r="A215" s="60">
        <v>212</v>
      </c>
      <c r="B215" s="60">
        <v>3</v>
      </c>
      <c r="C215" s="61" t="str">
        <f>INDEX(Helper!$N$2:$N$4, MATCH(B215, Helper!$M$2:$M$4, 0))</f>
        <v>Advanced</v>
      </c>
      <c r="D215" s="61" t="s">
        <v>99</v>
      </c>
      <c r="E215" s="61" t="s">
        <v>202</v>
      </c>
      <c r="F215" s="5">
        <v>0</v>
      </c>
      <c r="G215" s="60">
        <v>1</v>
      </c>
      <c r="H215" s="60" t="str">
        <f>INDEX(Helper!$C:$C, MATCH(G215, Helper!$A:$A, 0))</f>
        <v>Standard (EADGBE)</v>
      </c>
      <c r="I215" s="60" t="s">
        <v>68</v>
      </c>
      <c r="J215" s="75" t="s">
        <v>10</v>
      </c>
      <c r="K215" s="60" t="str">
        <f>INDEX(Helper!$F:$F, MATCH(J215, Helper!$E:$E, 0))</f>
        <v>#F5943C</v>
      </c>
      <c r="L215" s="61" t="s">
        <v>599</v>
      </c>
      <c r="M215" s="61" t="s">
        <v>619</v>
      </c>
      <c r="N215" s="62" t="s">
        <v>1043</v>
      </c>
      <c r="O215" s="40" t="s">
        <v>1042</v>
      </c>
    </row>
    <row r="216" spans="1:15" x14ac:dyDescent="0.4">
      <c r="A216" s="60">
        <v>213</v>
      </c>
      <c r="B216" s="60">
        <v>3</v>
      </c>
      <c r="C216" s="61" t="str">
        <f>INDEX(Helper!$N$2:$N$4, MATCH(B216, Helper!$M$2:$M$4, 0))</f>
        <v>Advanced</v>
      </c>
      <c r="D216" s="61" t="s">
        <v>99</v>
      </c>
      <c r="E216" s="61" t="s">
        <v>203</v>
      </c>
      <c r="F216" s="5">
        <v>0</v>
      </c>
      <c r="G216" s="60">
        <v>1</v>
      </c>
      <c r="H216" s="60" t="str">
        <f>INDEX(Helper!$C:$C, MATCH(G216, Helper!$A:$A, 0))</f>
        <v>Standard (EADGBE)</v>
      </c>
      <c r="I216" s="60" t="s">
        <v>631</v>
      </c>
      <c r="J216" s="75" t="s">
        <v>10</v>
      </c>
      <c r="K216" s="60" t="str">
        <f>INDEX(Helper!$F:$F, MATCH(J216, Helper!$E:$E, 0))</f>
        <v>#F5943C</v>
      </c>
      <c r="L216" s="61" t="s">
        <v>378</v>
      </c>
      <c r="M216" s="61" t="s">
        <v>619</v>
      </c>
      <c r="N216" s="62" t="s">
        <v>1049</v>
      </c>
      <c r="O216" s="40" t="s">
        <v>1228</v>
      </c>
    </row>
    <row r="217" spans="1:15" x14ac:dyDescent="0.4">
      <c r="A217" s="60">
        <v>214</v>
      </c>
      <c r="B217" s="60">
        <v>3</v>
      </c>
      <c r="C217" s="61" t="str">
        <f>INDEX(Helper!$N$2:$N$4, MATCH(B217, Helper!$M$2:$M$4, 0))</f>
        <v>Advanced</v>
      </c>
      <c r="D217" s="61" t="s">
        <v>171</v>
      </c>
      <c r="E217" s="61" t="s">
        <v>204</v>
      </c>
      <c r="F217" s="5">
        <v>1</v>
      </c>
      <c r="G217" s="60">
        <v>1</v>
      </c>
      <c r="H217" s="60" t="str">
        <f>INDEX(Helper!$C:$C, MATCH(G217, Helper!$A:$A, 0))</f>
        <v>Standard (EADGBE)</v>
      </c>
      <c r="I217" s="60" t="s">
        <v>63</v>
      </c>
      <c r="J217" s="79" t="s">
        <v>19</v>
      </c>
      <c r="K217" s="60" t="str">
        <f>INDEX(Helper!$F:$F, MATCH(J217, Helper!$E:$E, 0))</f>
        <v>#FFDD21</v>
      </c>
      <c r="L217" s="61" t="s">
        <v>600</v>
      </c>
      <c r="M217" s="61" t="s">
        <v>619</v>
      </c>
      <c r="N217" s="62" t="s">
        <v>1048</v>
      </c>
      <c r="O217" s="40" t="s">
        <v>1045</v>
      </c>
    </row>
    <row r="218" spans="1:15" x14ac:dyDescent="0.4">
      <c r="A218" s="60">
        <v>215</v>
      </c>
      <c r="B218" s="60">
        <v>3</v>
      </c>
      <c r="C218" s="61" t="str">
        <f>INDEX(Helper!$N$2:$N$4, MATCH(B218, Helper!$M$2:$M$4, 0))</f>
        <v>Advanced</v>
      </c>
      <c r="D218" s="61" t="s">
        <v>181</v>
      </c>
      <c r="E218" s="61" t="s">
        <v>205</v>
      </c>
      <c r="F218" s="5">
        <v>1</v>
      </c>
      <c r="G218" s="60">
        <v>9</v>
      </c>
      <c r="H218" s="60" t="str">
        <f>INDEX(Helper!$C:$C, MATCH(G218, Helper!$A:$A, 0))</f>
        <v>C#G#C#F#A#D#</v>
      </c>
      <c r="I218" s="60" t="s">
        <v>908</v>
      </c>
      <c r="J218" s="80" t="s">
        <v>15</v>
      </c>
      <c r="K218" s="60" t="str">
        <f>INDEX(Helper!$F:$F, MATCH(J218, Helper!$E:$E, 0))</f>
        <v>#C2C2A1</v>
      </c>
      <c r="L218" s="61" t="s">
        <v>601</v>
      </c>
      <c r="M218" s="61" t="s">
        <v>619</v>
      </c>
      <c r="N218" s="61" t="s">
        <v>1047</v>
      </c>
      <c r="O218" s="40" t="s">
        <v>1046</v>
      </c>
    </row>
    <row r="219" spans="1:15" ht="167.6" x14ac:dyDescent="0.4">
      <c r="A219" s="60">
        <v>216</v>
      </c>
      <c r="B219" s="60">
        <v>2</v>
      </c>
      <c r="C219" s="61" t="str">
        <f>INDEX(Helper!$N$2:$N$4, MATCH(B219, Helper!$M$2:$M$4, 0))</f>
        <v>Intermediate</v>
      </c>
      <c r="D219" s="61" t="s">
        <v>181</v>
      </c>
      <c r="E219" s="61" t="s">
        <v>206</v>
      </c>
      <c r="F219" s="5">
        <v>1</v>
      </c>
      <c r="G219" s="60">
        <v>11</v>
      </c>
      <c r="H219" s="60" t="str">
        <f>INDEX(Helper!$C:$C, MATCH(G219, Helper!$A:$A, 0))</f>
        <v>CGCFAD</v>
      </c>
      <c r="I219" s="60" t="s">
        <v>68</v>
      </c>
      <c r="J219" s="80" t="s">
        <v>15</v>
      </c>
      <c r="K219" s="60" t="str">
        <f>INDEX(Helper!$F:$F, MATCH(J219, Helper!$E:$E, 0))</f>
        <v>#C2C2A1</v>
      </c>
      <c r="L219" s="61" t="s">
        <v>602</v>
      </c>
      <c r="M219" s="61" t="s">
        <v>619</v>
      </c>
      <c r="N219" s="61" t="s">
        <v>1051</v>
      </c>
      <c r="O219" s="91" t="s">
        <v>1230</v>
      </c>
    </row>
    <row r="220" spans="1:15" x14ac:dyDescent="0.4">
      <c r="A220" s="60">
        <v>217</v>
      </c>
      <c r="B220" s="60">
        <v>3</v>
      </c>
      <c r="C220" s="61" t="str">
        <f>INDEX(Helper!$N$2:$N$4, MATCH(B220, Helper!$M$2:$M$4, 0))</f>
        <v>Advanced</v>
      </c>
      <c r="D220" s="61" t="s">
        <v>181</v>
      </c>
      <c r="E220" s="61" t="s">
        <v>207</v>
      </c>
      <c r="F220" s="5">
        <v>0</v>
      </c>
      <c r="G220" s="60">
        <v>11</v>
      </c>
      <c r="H220" s="60" t="str">
        <f>INDEX(Helper!$C:$C, MATCH(G220, Helper!$A:$A, 0))</f>
        <v>CGCFAD</v>
      </c>
      <c r="I220" s="60" t="s">
        <v>68</v>
      </c>
      <c r="J220" s="80" t="s">
        <v>15</v>
      </c>
      <c r="K220" s="60" t="str">
        <f>INDEX(Helper!$F:$F, MATCH(J220, Helper!$E:$E, 0))</f>
        <v>#C2C2A1</v>
      </c>
      <c r="L220" s="61" t="s">
        <v>603</v>
      </c>
      <c r="M220" s="61" t="s">
        <v>619</v>
      </c>
      <c r="N220" s="61" t="s">
        <v>1055</v>
      </c>
      <c r="O220" s="40" t="s">
        <v>1054</v>
      </c>
    </row>
    <row r="221" spans="1:15" x14ac:dyDescent="0.4">
      <c r="A221" s="60">
        <v>218</v>
      </c>
      <c r="B221" s="60">
        <v>3</v>
      </c>
      <c r="C221" s="61" t="str">
        <f>INDEX(Helper!$N$2:$N$4, MATCH(B221, Helper!$M$2:$M$4, 0))</f>
        <v>Advanced</v>
      </c>
      <c r="D221" s="61" t="s">
        <v>208</v>
      </c>
      <c r="E221" s="61" t="s">
        <v>209</v>
      </c>
      <c r="F221" s="5">
        <v>0</v>
      </c>
      <c r="G221" s="69">
        <v>3</v>
      </c>
      <c r="H221" s="60" t="str">
        <f>INDEX(Helper!$C:$C, MATCH(G221, Helper!$A:$A, 0))</f>
        <v>Half Step Down (D#G#C#F#A#D#)</v>
      </c>
      <c r="I221" s="60" t="s">
        <v>908</v>
      </c>
      <c r="J221" s="81" t="s">
        <v>13</v>
      </c>
      <c r="K221" s="60" t="str">
        <f>INDEX(Helper!$F:$F, MATCH(J221, Helper!$E:$E, 0))</f>
        <v>#FF4F53</v>
      </c>
      <c r="L221" s="61" t="s">
        <v>604</v>
      </c>
      <c r="M221" s="61" t="s">
        <v>619</v>
      </c>
      <c r="N221" s="61" t="s">
        <v>1057</v>
      </c>
      <c r="O221" s="40" t="s">
        <v>1056</v>
      </c>
    </row>
    <row r="222" spans="1:15" x14ac:dyDescent="0.4">
      <c r="A222" s="60">
        <v>219</v>
      </c>
      <c r="B222" s="60">
        <v>3</v>
      </c>
      <c r="C222" s="61" t="str">
        <f>INDEX(Helper!$N$2:$N$4, MATCH(B222, Helper!$M$2:$M$4, 0))</f>
        <v>Advanced</v>
      </c>
      <c r="D222" s="61" t="s">
        <v>210</v>
      </c>
      <c r="E222" s="61" t="s">
        <v>212</v>
      </c>
      <c r="F222" s="5">
        <v>0</v>
      </c>
      <c r="G222" s="60">
        <v>1</v>
      </c>
      <c r="H222" s="60" t="str">
        <f>INDEX(Helper!$C:$C, MATCH(G222, Helper!$A:$A, 0))</f>
        <v>Standard (EADGBE)</v>
      </c>
      <c r="I222" s="60" t="s">
        <v>68</v>
      </c>
      <c r="J222" s="73" t="s">
        <v>21</v>
      </c>
      <c r="K222" s="60" t="str">
        <f>INDEX(Helper!$F:$F, MATCH(J222, Helper!$E:$E, 0))</f>
        <v>#45F0E2</v>
      </c>
      <c r="L222" s="61" t="s">
        <v>605</v>
      </c>
      <c r="M222" s="61" t="s">
        <v>619</v>
      </c>
      <c r="N222" s="61" t="s">
        <v>1059</v>
      </c>
      <c r="O222" s="40" t="s">
        <v>1219</v>
      </c>
    </row>
    <row r="223" spans="1:15" x14ac:dyDescent="0.4">
      <c r="A223" s="60">
        <v>220</v>
      </c>
      <c r="B223" s="60">
        <v>3</v>
      </c>
      <c r="C223" s="61" t="str">
        <f>INDEX(Helper!$N$2:$N$4, MATCH(B223, Helper!$M$2:$M$4, 0))</f>
        <v>Advanced</v>
      </c>
      <c r="D223" s="61" t="s">
        <v>134</v>
      </c>
      <c r="E223" s="61" t="s">
        <v>213</v>
      </c>
      <c r="F223" s="5">
        <v>1</v>
      </c>
      <c r="G223" s="60">
        <v>1</v>
      </c>
      <c r="H223" s="60" t="str">
        <f>INDEX(Helper!$C:$C, MATCH(G223, Helper!$A:$A, 0))</f>
        <v>Standard (EADGBE)</v>
      </c>
      <c r="I223" s="60" t="s">
        <v>395</v>
      </c>
      <c r="J223" s="73" t="s">
        <v>21</v>
      </c>
      <c r="K223" s="60" t="str">
        <f>INDEX(Helper!$F:$F, MATCH(J223, Helper!$E:$E, 0))</f>
        <v>#45F0E2</v>
      </c>
      <c r="L223" s="61" t="s">
        <v>606</v>
      </c>
      <c r="M223" s="61" t="s">
        <v>619</v>
      </c>
      <c r="N223" s="61" t="s">
        <v>1061</v>
      </c>
      <c r="O223" s="40" t="s">
        <v>1060</v>
      </c>
    </row>
    <row r="224" spans="1:15" x14ac:dyDescent="0.4">
      <c r="A224" s="60">
        <v>221</v>
      </c>
      <c r="B224" s="60">
        <v>3</v>
      </c>
      <c r="C224" s="61" t="str">
        <f>INDEX(Helper!$N$2:$N$4, MATCH(B224, Helper!$M$2:$M$4, 0))</f>
        <v>Advanced</v>
      </c>
      <c r="D224" s="61" t="s">
        <v>214</v>
      </c>
      <c r="E224" s="61" t="s">
        <v>215</v>
      </c>
      <c r="F224" s="5">
        <v>0</v>
      </c>
      <c r="G224" s="60">
        <v>12</v>
      </c>
      <c r="H224" s="60" t="str">
        <f>INDEX(Helper!$C:$C, MATCH(G224, Helper!$A:$A, 0))</f>
        <v>Dropped A (AEADF#B)</v>
      </c>
      <c r="I224" s="60" t="s">
        <v>631</v>
      </c>
      <c r="J224" s="80" t="s">
        <v>15</v>
      </c>
      <c r="K224" s="60" t="str">
        <f>INDEX(Helper!$F:$F, MATCH(J224, Helper!$E:$E, 0))</f>
        <v>#C2C2A1</v>
      </c>
      <c r="L224" s="61" t="s">
        <v>607</v>
      </c>
      <c r="M224" s="61" t="s">
        <v>619</v>
      </c>
      <c r="N224" s="61" t="s">
        <v>1063</v>
      </c>
      <c r="O224" s="40" t="s">
        <v>1062</v>
      </c>
    </row>
    <row r="225" spans="1:15" x14ac:dyDescent="0.4">
      <c r="A225" s="60">
        <v>222</v>
      </c>
      <c r="B225" s="60">
        <v>3</v>
      </c>
      <c r="C225" s="61" t="str">
        <f>INDEX(Helper!$N$2:$N$4, MATCH(B225, Helper!$M$2:$M$4, 0))</f>
        <v>Advanced</v>
      </c>
      <c r="D225" s="61" t="s">
        <v>194</v>
      </c>
      <c r="E225" s="61" t="s">
        <v>216</v>
      </c>
      <c r="F225" s="5">
        <v>1</v>
      </c>
      <c r="G225" s="60">
        <v>2</v>
      </c>
      <c r="H225" s="60" t="str">
        <f>INDEX(Helper!$C:$C, MATCH(G225, Helper!$A:$A, 0))</f>
        <v>Drop D (DADGBE)</v>
      </c>
      <c r="I225" s="60" t="s">
        <v>908</v>
      </c>
      <c r="J225" s="80" t="s">
        <v>15</v>
      </c>
      <c r="K225" s="60" t="str">
        <f>INDEX(Helper!$F:$F, MATCH(J225, Helper!$E:$E, 0))</f>
        <v>#C2C2A1</v>
      </c>
      <c r="L225" s="64" t="s">
        <v>608</v>
      </c>
      <c r="M225" s="61" t="s">
        <v>619</v>
      </c>
      <c r="N225" s="64" t="s">
        <v>1066</v>
      </c>
      <c r="O225" s="40" t="s">
        <v>1135</v>
      </c>
    </row>
    <row r="226" spans="1:15" x14ac:dyDescent="0.4">
      <c r="A226" s="60">
        <v>223</v>
      </c>
      <c r="B226" s="60">
        <v>3</v>
      </c>
      <c r="C226" s="61" t="str">
        <f>INDEX(Helper!$N$2:$N$4, MATCH(B226, Helper!$M$2:$M$4, 0))</f>
        <v>Advanced</v>
      </c>
      <c r="D226" s="61" t="s">
        <v>194</v>
      </c>
      <c r="E226" s="61" t="s">
        <v>195</v>
      </c>
      <c r="F226" s="5">
        <v>1</v>
      </c>
      <c r="G226" s="60">
        <v>11</v>
      </c>
      <c r="H226" s="60" t="str">
        <f>INDEX(Helper!$C:$C, MATCH(G226, Helper!$A:$A, 0))</f>
        <v>CGCFAD</v>
      </c>
      <c r="I226" s="60" t="s">
        <v>645</v>
      </c>
      <c r="J226" s="80" t="s">
        <v>15</v>
      </c>
      <c r="K226" s="60" t="str">
        <f>INDEX(Helper!$F:$F, MATCH(J226, Helper!$E:$E, 0))</f>
        <v>#C2C2A1</v>
      </c>
      <c r="L226" s="61" t="s">
        <v>609</v>
      </c>
      <c r="M226" s="61" t="s">
        <v>619</v>
      </c>
      <c r="N226" s="62" t="s">
        <v>1068</v>
      </c>
      <c r="O226" s="40" t="s">
        <v>1220</v>
      </c>
    </row>
    <row r="227" spans="1:15" x14ac:dyDescent="0.4">
      <c r="A227" s="60">
        <v>224</v>
      </c>
      <c r="B227" s="60">
        <v>3</v>
      </c>
      <c r="C227" s="61" t="str">
        <f>INDEX(Helper!$N$2:$N$4, MATCH(B227, Helper!$M$2:$M$4, 0))</f>
        <v>Advanced</v>
      </c>
      <c r="D227" s="61" t="s">
        <v>116</v>
      </c>
      <c r="E227" s="61" t="s">
        <v>184</v>
      </c>
      <c r="F227" s="5">
        <v>0</v>
      </c>
      <c r="G227" s="60">
        <v>1</v>
      </c>
      <c r="H227" s="60" t="str">
        <f>INDEX(Helper!$C:$C, MATCH(G227, Helper!$A:$A, 0))</f>
        <v>Standard (EADGBE)</v>
      </c>
      <c r="I227" s="60" t="s">
        <v>60</v>
      </c>
      <c r="J227" s="79" t="s">
        <v>19</v>
      </c>
      <c r="K227" s="60" t="str">
        <f>INDEX(Helper!$F:$F, MATCH(J227, Helper!$E:$E, 0))</f>
        <v>#FFDD21</v>
      </c>
      <c r="L227" s="61" t="s">
        <v>382</v>
      </c>
      <c r="M227" s="61" t="s">
        <v>619</v>
      </c>
      <c r="N227" s="62" t="s">
        <v>1070</v>
      </c>
      <c r="O227" s="40" t="s">
        <v>1188</v>
      </c>
    </row>
    <row r="228" spans="1:15" x14ac:dyDescent="0.4">
      <c r="A228" s="60">
        <v>225</v>
      </c>
      <c r="B228" s="60">
        <v>3</v>
      </c>
      <c r="C228" s="61" t="str">
        <f>INDEX(Helper!$N$2:$N$4, MATCH(B228, Helper!$M$2:$M$4, 0))</f>
        <v>Advanced</v>
      </c>
      <c r="D228" s="61" t="s">
        <v>178</v>
      </c>
      <c r="E228" s="61" t="s">
        <v>993</v>
      </c>
      <c r="F228" s="5">
        <v>1</v>
      </c>
      <c r="G228" s="60">
        <v>1</v>
      </c>
      <c r="H228" s="60" t="str">
        <f>INDEX(Helper!$C:$C, MATCH(G228, Helper!$A:$A, 0))</f>
        <v>Standard (EADGBE)</v>
      </c>
      <c r="I228" s="60" t="s">
        <v>395</v>
      </c>
      <c r="J228" s="81" t="s">
        <v>13</v>
      </c>
      <c r="K228" s="60" t="str">
        <f>INDEX(Helper!$F:$F, MATCH(J228, Helper!$E:$E, 0))</f>
        <v>#FF4F53</v>
      </c>
      <c r="L228" s="61" t="s">
        <v>610</v>
      </c>
      <c r="M228" s="61" t="s">
        <v>619</v>
      </c>
      <c r="N228" s="61" t="s">
        <v>996</v>
      </c>
      <c r="O228" s="40" t="s">
        <v>995</v>
      </c>
    </row>
    <row r="229" spans="1:15" x14ac:dyDescent="0.4">
      <c r="A229" s="60">
        <v>226</v>
      </c>
      <c r="B229" s="60">
        <v>3</v>
      </c>
      <c r="C229" s="61" t="str">
        <f>INDEX(Helper!$N$2:$N$4, MATCH(B229, Helper!$M$2:$M$4, 0))</f>
        <v>Advanced</v>
      </c>
      <c r="D229" s="61" t="s">
        <v>396</v>
      </c>
      <c r="E229" s="61" t="s">
        <v>397</v>
      </c>
      <c r="F229" s="5">
        <v>0</v>
      </c>
      <c r="G229" s="60">
        <v>1</v>
      </c>
      <c r="H229" s="60" t="str">
        <f>INDEX(Helper!$C:$C, MATCH(G229, Helper!$A:$A, 0))</f>
        <v>Standard (EADGBE)</v>
      </c>
      <c r="I229" s="60" t="s">
        <v>67</v>
      </c>
      <c r="J229" s="80" t="s">
        <v>15</v>
      </c>
      <c r="K229" s="60" t="str">
        <f>INDEX(Helper!$F:$F, MATCH(J229, Helper!$E:$E, 0))</f>
        <v>#C2C2A1</v>
      </c>
      <c r="L229" s="61" t="s">
        <v>398</v>
      </c>
      <c r="M229" s="61" t="s">
        <v>619</v>
      </c>
      <c r="N229" s="61" t="s">
        <v>1072</v>
      </c>
      <c r="O229" s="40" t="s">
        <v>1071</v>
      </c>
    </row>
    <row r="230" spans="1:15" x14ac:dyDescent="0.4">
      <c r="A230" s="60">
        <v>227</v>
      </c>
      <c r="B230" s="60">
        <v>3</v>
      </c>
      <c r="C230" s="61" t="str">
        <f>INDEX(Helper!$N$2:$N$4, MATCH(B230, Helper!$M$2:$M$4, 0))</f>
        <v>Advanced</v>
      </c>
      <c r="D230" s="70" t="s">
        <v>78</v>
      </c>
      <c r="E230" s="70" t="s">
        <v>482</v>
      </c>
      <c r="F230" s="5">
        <v>0</v>
      </c>
      <c r="G230" s="60">
        <v>2</v>
      </c>
      <c r="H230" s="60" t="str">
        <f>INDEX(Helper!$C:$C, MATCH(G230, Helper!$A:$A, 0))</f>
        <v>Drop D (DADGBE)</v>
      </c>
      <c r="I230" s="60" t="s">
        <v>65</v>
      </c>
      <c r="J230" s="81" t="s">
        <v>13</v>
      </c>
      <c r="K230" s="60" t="str">
        <f>INDEX(Helper!$F:$F, MATCH(J230, Helper!$E:$E, 0))</f>
        <v>#FF4F53</v>
      </c>
      <c r="L230" s="61" t="s">
        <v>483</v>
      </c>
      <c r="M230" s="61" t="s">
        <v>619</v>
      </c>
      <c r="N230" s="61" t="s">
        <v>1073</v>
      </c>
      <c r="O230" s="40" t="s">
        <v>1206</v>
      </c>
    </row>
    <row r="231" spans="1:15" x14ac:dyDescent="0.4">
      <c r="A231" s="60">
        <v>228</v>
      </c>
      <c r="B231" s="60">
        <v>1</v>
      </c>
      <c r="C231" s="61" t="str">
        <f>INDEX(Helper!$N$2:$N$4, MATCH(B231, Helper!$M$2:$M$4, 0))</f>
        <v>Beginner</v>
      </c>
      <c r="D231" s="61" t="s">
        <v>151</v>
      </c>
      <c r="E231" s="61" t="s">
        <v>898</v>
      </c>
      <c r="F231" s="5">
        <v>1</v>
      </c>
      <c r="G231" s="60">
        <v>1</v>
      </c>
      <c r="H231" s="60" t="str">
        <f>INDEX(Helper!$C:$C, MATCH(G231, Helper!$A:$A, 0))</f>
        <v>Standard (EADGBE)</v>
      </c>
      <c r="I231" s="60" t="s">
        <v>645</v>
      </c>
      <c r="J231" s="81" t="s">
        <v>13</v>
      </c>
      <c r="K231" s="60" t="str">
        <f>INDEX(Helper!$F:$F, MATCH(J231, Helper!$E:$E, 0))</f>
        <v>#FF4F53</v>
      </c>
      <c r="L231" s="61" t="s">
        <v>994</v>
      </c>
      <c r="M231" s="61" t="s">
        <v>648</v>
      </c>
      <c r="N231" s="62" t="s">
        <v>1075</v>
      </c>
      <c r="O231" s="40" t="s">
        <v>1173</v>
      </c>
    </row>
    <row r="232" spans="1:15" x14ac:dyDescent="0.4">
      <c r="A232" s="60">
        <v>229</v>
      </c>
      <c r="B232" s="60">
        <v>2</v>
      </c>
      <c r="C232" s="61" t="str">
        <f>INDEX(Helper!$N$2:$N$4, MATCH(B232, Helper!$M$2:$M$4, 0))</f>
        <v>Intermediate</v>
      </c>
      <c r="D232" s="61" t="s">
        <v>1026</v>
      </c>
      <c r="E232" s="61" t="s">
        <v>1025</v>
      </c>
      <c r="F232" s="5">
        <v>1</v>
      </c>
      <c r="G232" s="60">
        <v>3</v>
      </c>
      <c r="H232" s="60" t="str">
        <f>INDEX(Helper!$C:$C, MATCH(G232, Helper!$A:$A, 0))</f>
        <v>Half Step Down (D#G#C#F#A#D#)</v>
      </c>
      <c r="I232" s="60" t="s">
        <v>639</v>
      </c>
      <c r="J232" s="81" t="s">
        <v>13</v>
      </c>
      <c r="K232" s="60" t="str">
        <f>INDEX(Helper!$F:$F, MATCH(J232, Helper!$E:$E, 0))</f>
        <v>#FF4F53</v>
      </c>
      <c r="L232" s="61" t="s">
        <v>1076</v>
      </c>
      <c r="M232" s="61" t="s">
        <v>619</v>
      </c>
      <c r="N232" s="62" t="s">
        <v>1077</v>
      </c>
      <c r="O232" s="40" t="s">
        <v>1229</v>
      </c>
    </row>
    <row r="233" spans="1:15" x14ac:dyDescent="0.4">
      <c r="A233" s="60">
        <v>230</v>
      </c>
      <c r="B233" s="60">
        <v>3</v>
      </c>
      <c r="C233" s="61" t="str">
        <f>INDEX(Helper!$N$2:$N$4, MATCH(B233, Helper!$M$2:$M$4, 0))</f>
        <v>Advanced</v>
      </c>
      <c r="D233" s="61" t="s">
        <v>254</v>
      </c>
      <c r="E233" s="61" t="s">
        <v>1174</v>
      </c>
      <c r="F233" s="5">
        <v>0</v>
      </c>
      <c r="G233" s="60">
        <v>1</v>
      </c>
      <c r="H233" s="60" t="str">
        <f>INDEX(Helper!$C:$C, MATCH(G233, Helper!$A:$A, 0))</f>
        <v>Standard (EADGBE)</v>
      </c>
      <c r="I233" s="60" t="s">
        <v>990</v>
      </c>
      <c r="J233" s="80" t="s">
        <v>15</v>
      </c>
      <c r="K233" s="60" t="str">
        <f>INDEX(Helper!$F:$F, MATCH(J233, Helper!$E:$E, 0))</f>
        <v>#C2C2A1</v>
      </c>
      <c r="L233" s="61" t="s">
        <v>1078</v>
      </c>
      <c r="M233" s="61" t="s">
        <v>619</v>
      </c>
      <c r="N233" s="62" t="s">
        <v>1080</v>
      </c>
      <c r="O233" s="40" t="s">
        <v>1079</v>
      </c>
    </row>
  </sheetData>
  <sortState ref="A4:M233">
    <sortCondition ref="A4:A1000"/>
  </sortState>
  <mergeCells count="12">
    <mergeCell ref="A1:A2"/>
    <mergeCell ref="G1:H1"/>
    <mergeCell ref="O1:O2"/>
    <mergeCell ref="J1:K1"/>
    <mergeCell ref="L1:L2"/>
    <mergeCell ref="I1:I2"/>
    <mergeCell ref="E1:E2"/>
    <mergeCell ref="D1:D2"/>
    <mergeCell ref="F1:F2"/>
    <mergeCell ref="B1:C2"/>
    <mergeCell ref="N1:N2"/>
    <mergeCell ref="M1:M2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  <hyperlink ref="N204" r:id="rId155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"/>
  <sheetViews>
    <sheetView zoomScale="120" zoomScaleNormal="120" workbookViewId="0">
      <selection activeCell="I15" sqref="I15"/>
    </sheetView>
  </sheetViews>
  <sheetFormatPr defaultColWidth="8.84375" defaultRowHeight="14.6" x14ac:dyDescent="0.4"/>
  <cols>
    <col min="7" max="7" width="10.3046875" bestFit="1" customWidth="1"/>
    <col min="8" max="8" width="11.15234375" bestFit="1" customWidth="1"/>
    <col min="9" max="10" width="11.15234375" customWidth="1"/>
  </cols>
  <sheetData>
    <row r="1" spans="1:11" x14ac:dyDescent="0.4">
      <c r="A1">
        <f>COUNTA(3:3)</f>
        <v>11</v>
      </c>
      <c r="B1" t="s">
        <v>73</v>
      </c>
      <c r="C1">
        <v>4</v>
      </c>
    </row>
    <row r="2" spans="1:11" x14ac:dyDescent="0.4">
      <c r="A2" s="5" t="s">
        <v>0</v>
      </c>
      <c r="B2" s="5" t="s">
        <v>2</v>
      </c>
      <c r="C2" s="5" t="s">
        <v>3</v>
      </c>
      <c r="D2" s="6" t="s">
        <v>83</v>
      </c>
      <c r="E2" s="6" t="s">
        <v>617</v>
      </c>
      <c r="F2" s="5" t="s">
        <v>8</v>
      </c>
      <c r="G2" s="5" t="s">
        <v>616</v>
      </c>
      <c r="H2" s="5" t="s">
        <v>615</v>
      </c>
      <c r="I2" s="5" t="s">
        <v>620</v>
      </c>
      <c r="J2" s="5" t="s">
        <v>614</v>
      </c>
      <c r="K2" s="5" t="s">
        <v>71</v>
      </c>
    </row>
    <row r="3" spans="1:11" x14ac:dyDescent="0.4">
      <c r="A3" s="7" t="str">
        <f>QuickGuitarRiffs!A3</f>
        <v>A</v>
      </c>
      <c r="B3" s="7" t="str">
        <f>QuickGuitarRiffs!D3</f>
        <v>D</v>
      </c>
      <c r="C3" s="7" t="str">
        <f>QuickGuitarRiffs!E3</f>
        <v>E</v>
      </c>
      <c r="D3" s="7" t="str">
        <f>QuickGuitarRiffs!B3</f>
        <v>B</v>
      </c>
      <c r="E3" s="7" t="str">
        <f>QuickGuitarRiffs!H3</f>
        <v>H</v>
      </c>
      <c r="F3" s="7" t="str">
        <f>QuickGuitarRiffs!I3</f>
        <v>I</v>
      </c>
      <c r="G3" s="7" t="str">
        <f>QuickGuitarRiffs!K3</f>
        <v>K</v>
      </c>
      <c r="H3" s="7" t="str">
        <f>QuickGuitarRiffs!L3</f>
        <v>L</v>
      </c>
      <c r="I3" s="7" t="str">
        <f>QuickGuitarRiffs!M3</f>
        <v>M</v>
      </c>
      <c r="J3" s="7" t="str">
        <f>QuickGuitarRiffs!N3</f>
        <v>N</v>
      </c>
      <c r="K3" s="7" t="str">
        <f>QuickGuitarRiffs!O3</f>
        <v>O</v>
      </c>
    </row>
    <row r="4" spans="1:11" x14ac:dyDescent="0.4">
      <c r="A4" s="3">
        <f ca="1">COLUMN(INDIRECT(A3&amp;1))</f>
        <v>1</v>
      </c>
      <c r="B4" s="3">
        <f ca="1">COLUMN(INDIRECT(B3&amp;1))</f>
        <v>4</v>
      </c>
      <c r="C4" s="3">
        <f t="shared" ref="C4:K4" ca="1" si="0">COLUMN(INDIRECT(C3&amp;1))</f>
        <v>5</v>
      </c>
      <c r="D4" s="3">
        <f t="shared" ref="D4" ca="1" si="1">COLUMN(INDIRECT(D3&amp;1))</f>
        <v>2</v>
      </c>
      <c r="E4" s="3">
        <f t="shared" ca="1" si="0"/>
        <v>8</v>
      </c>
      <c r="F4" s="3">
        <f t="shared" ca="1" si="0"/>
        <v>9</v>
      </c>
      <c r="G4" s="3">
        <f t="shared" ca="1" si="0"/>
        <v>11</v>
      </c>
      <c r="H4" s="3">
        <f t="shared" ca="1" si="0"/>
        <v>12</v>
      </c>
      <c r="I4" s="3">
        <f t="shared" ca="1" si="0"/>
        <v>13</v>
      </c>
      <c r="J4" s="3">
        <f t="shared" ca="1" si="0"/>
        <v>14</v>
      </c>
      <c r="K4" s="3">
        <f t="shared" ca="1" si="0"/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Helper</vt:lpstr>
      <vt:lpstr>Spread</vt:lpstr>
      <vt:lpstr>WIP</vt:lpstr>
      <vt:lpstr>QuickGuitarRiffs</vt:lpstr>
      <vt:lpstr>T_DATABASE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</cp:lastModifiedBy>
  <dcterms:created xsi:type="dcterms:W3CDTF">2018-07-09T16:39:25Z</dcterms:created>
  <dcterms:modified xsi:type="dcterms:W3CDTF">2018-09-25T15:21:24Z</dcterms:modified>
</cp:coreProperties>
</file>